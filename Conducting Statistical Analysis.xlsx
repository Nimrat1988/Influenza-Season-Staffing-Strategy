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mrat/Desktop/Career Foundry /Data Immersion - Acheivement 1/"/>
    </mc:Choice>
  </mc:AlternateContent>
  <xr:revisionPtr revIDLastSave="0" documentId="13_ncr:1_{7B842F0F-A3A7-FE40-9F28-9EAB49ACF02B}" xr6:coauthVersionLast="47" xr6:coauthVersionMax="47" xr10:uidLastSave="{00000000-0000-0000-0000-000000000000}"/>
  <bookViews>
    <workbookView xWindow="-20740" yWindow="-21100" windowWidth="38400" windowHeight="19400" activeTab="1" xr2:uid="{7029DECF-1B5C-8C4A-BB2B-C183B5E6DEBF}"/>
  </bookViews>
  <sheets>
    <sheet name="Integrated data" sheetId="1" r:id="rId1"/>
    <sheet name="Statistical analysis" sheetId="2" r:id="rId2"/>
    <sheet name="Influenza dealth - pivot chart" sheetId="3" r:id="rId3"/>
    <sheet name="Census data - pivot chart" sheetId="4" r:id="rId4"/>
    <sheet name="Integrated data - old" sheetId="5" r:id="rId5"/>
  </sheets>
  <calcPr calcId="191029"/>
  <pivotCaches>
    <pivotCache cacheId="455" r:id="rId6"/>
    <pivotCache cacheId="45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B21" i="2"/>
  <c r="F15" i="2"/>
  <c r="E15" i="2"/>
  <c r="E14" i="2"/>
  <c r="E11" i="2"/>
  <c r="E10" i="2"/>
  <c r="E9" i="2"/>
  <c r="E7" i="2"/>
  <c r="B15" i="2"/>
  <c r="B14" i="2"/>
  <c r="B12" i="2"/>
  <c r="B11" i="2"/>
  <c r="B10" i="2"/>
  <c r="B9" i="2"/>
  <c r="B7" i="2"/>
  <c r="X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3" i="1"/>
  <c r="E13" i="2" l="1"/>
  <c r="F10" i="2"/>
  <c r="E12" i="2"/>
  <c r="F11" i="2"/>
  <c r="F13" i="2" s="1"/>
  <c r="F7" i="2"/>
  <c r="C9" i="2"/>
  <c r="F9" i="2"/>
  <c r="C11" i="2"/>
  <c r="C7" i="2"/>
  <c r="C10" i="2"/>
  <c r="B13" i="2"/>
  <c r="F12" i="2" l="1"/>
  <c r="C13" i="2"/>
  <c r="F14" i="2"/>
  <c r="C12" i="2"/>
  <c r="C14" i="2" s="1"/>
  <c r="C15" i="2" s="1"/>
</calcChain>
</file>

<file path=xl/sharedStrings.xml><?xml version="1.0" encoding="utf-8"?>
<sst xmlns="http://schemas.openxmlformats.org/spreadsheetml/2006/main" count="2010" uniqueCount="581">
  <si>
    <t>Influenza deaths</t>
  </si>
  <si>
    <t>Population</t>
  </si>
  <si>
    <t>Death rate</t>
  </si>
  <si>
    <t>State</t>
  </si>
  <si>
    <t>Year</t>
  </si>
  <si>
    <t>Combined key</t>
  </si>
  <si>
    <t>&lt; 5 years</t>
  </si>
  <si>
    <t>5-14 years</t>
  </si>
  <si>
    <t>15-24 years</t>
  </si>
  <si>
    <t>25-34 years</t>
  </si>
  <si>
    <t>35-44 years</t>
  </si>
  <si>
    <t>45-54 years</t>
  </si>
  <si>
    <t>55-64 years</t>
  </si>
  <si>
    <t>65-74 years</t>
  </si>
  <si>
    <t>75-84 years</t>
  </si>
  <si>
    <t>85+ years</t>
  </si>
  <si>
    <t>Total Deaths</t>
  </si>
  <si>
    <t>Total population</t>
  </si>
  <si>
    <t xml:space="preserve"> Alabama</t>
  </si>
  <si>
    <t>Alabama,2009</t>
  </si>
  <si>
    <t>Alabama,2010</t>
  </si>
  <si>
    <t>Alabama,2011</t>
  </si>
  <si>
    <t>Alabama,2012</t>
  </si>
  <si>
    <t>Alabama,2013</t>
  </si>
  <si>
    <t>Alabama,2014</t>
  </si>
  <si>
    <t>Alabama,2015</t>
  </si>
  <si>
    <t>Alabama,2016</t>
  </si>
  <si>
    <t>Alabama,2017</t>
  </si>
  <si>
    <t xml:space="preserve"> Alaska</t>
  </si>
  <si>
    <t>Alaska,2009</t>
  </si>
  <si>
    <t>Alaska,2010</t>
  </si>
  <si>
    <t>Alaska,2011</t>
  </si>
  <si>
    <t>Alaska,2012</t>
  </si>
  <si>
    <t>Alaska,2013</t>
  </si>
  <si>
    <t>Alaska,2014</t>
  </si>
  <si>
    <t>Alaska,2015</t>
  </si>
  <si>
    <t>Alaska,2016</t>
  </si>
  <si>
    <t>Alaska,2017</t>
  </si>
  <si>
    <t xml:space="preserve"> Arizona</t>
  </si>
  <si>
    <t>Arizona,2009</t>
  </si>
  <si>
    <t>Arizona,2010</t>
  </si>
  <si>
    <t>Arizona,2011</t>
  </si>
  <si>
    <t>Arizona,2012</t>
  </si>
  <si>
    <t>Arizona,2013</t>
  </si>
  <si>
    <t>Arizona,2014</t>
  </si>
  <si>
    <t>Arizona,2015</t>
  </si>
  <si>
    <t>Arizona,2016</t>
  </si>
  <si>
    <t>Arizona,2017</t>
  </si>
  <si>
    <t xml:space="preserve"> Arkansas</t>
  </si>
  <si>
    <t>Arkansas,2009</t>
  </si>
  <si>
    <t>Arkansas,2010</t>
  </si>
  <si>
    <t>Arkansas,2011</t>
  </si>
  <si>
    <t>Arkansas,2012</t>
  </si>
  <si>
    <t>Arkansas,2013</t>
  </si>
  <si>
    <t>Arkansas,2014</t>
  </si>
  <si>
    <t>Arkansas,2015</t>
  </si>
  <si>
    <t>Arkansas,2016</t>
  </si>
  <si>
    <t>Arkansas,2017</t>
  </si>
  <si>
    <t xml:space="preserve"> California</t>
  </si>
  <si>
    <t>California,2009</t>
  </si>
  <si>
    <t>California,2010</t>
  </si>
  <si>
    <t>California,2011</t>
  </si>
  <si>
    <t>California,2012</t>
  </si>
  <si>
    <t>California,2013</t>
  </si>
  <si>
    <t>California,2014</t>
  </si>
  <si>
    <t>California,2015</t>
  </si>
  <si>
    <t>California,2016</t>
  </si>
  <si>
    <t>California,2017</t>
  </si>
  <si>
    <t xml:space="preserve"> Colorado</t>
  </si>
  <si>
    <t>Colorado,2009</t>
  </si>
  <si>
    <t>Colorado,2010</t>
  </si>
  <si>
    <t>Colorado,2011</t>
  </si>
  <si>
    <t>Colorado,2012</t>
  </si>
  <si>
    <t>Colorado,2013</t>
  </si>
  <si>
    <t>Colorado,2014</t>
  </si>
  <si>
    <t>Colorado,2015</t>
  </si>
  <si>
    <t>Colorado,2016</t>
  </si>
  <si>
    <t>Colorado,2017</t>
  </si>
  <si>
    <t xml:space="preserve"> Connecticut</t>
  </si>
  <si>
    <t>Connecticut,2009</t>
  </si>
  <si>
    <t>Connecticut,2010</t>
  </si>
  <si>
    <t>Connecticut,2011</t>
  </si>
  <si>
    <t>Connecticut,2012</t>
  </si>
  <si>
    <t>Connecticut,2013</t>
  </si>
  <si>
    <t>Connecticut,2014</t>
  </si>
  <si>
    <t>Connecticut,2015</t>
  </si>
  <si>
    <t>Connecticut,2016</t>
  </si>
  <si>
    <t>Connecticut,2017</t>
  </si>
  <si>
    <t xml:space="preserve"> Delaware</t>
  </si>
  <si>
    <t>Delaware,2009</t>
  </si>
  <si>
    <t>Delaware,2010</t>
  </si>
  <si>
    <t>Delaware,2011</t>
  </si>
  <si>
    <t>Delaware,2012</t>
  </si>
  <si>
    <t>Delaware,2013</t>
  </si>
  <si>
    <t>Delaware,2014</t>
  </si>
  <si>
    <t>Delaware,2015</t>
  </si>
  <si>
    <t>Delaware,2016</t>
  </si>
  <si>
    <t>Delaware,2017</t>
  </si>
  <si>
    <t xml:space="preserve"> District of Columbia</t>
  </si>
  <si>
    <t>District of Columbia,2009</t>
  </si>
  <si>
    <t>District of Columbia,2010</t>
  </si>
  <si>
    <t>District of Columbia,2011</t>
  </si>
  <si>
    <t>District of Columbia,2012</t>
  </si>
  <si>
    <t>District of Columbia,2013</t>
  </si>
  <si>
    <t>District of Columbia,2014</t>
  </si>
  <si>
    <t>District of Columbia,2015</t>
  </si>
  <si>
    <t>District of Columbia,2016</t>
  </si>
  <si>
    <t>District of Columbia,2017</t>
  </si>
  <si>
    <t xml:space="preserve"> Florida</t>
  </si>
  <si>
    <t>Florida,2009</t>
  </si>
  <si>
    <t>Florida,2010</t>
  </si>
  <si>
    <t>Florida,2011</t>
  </si>
  <si>
    <t>Florida,2012</t>
  </si>
  <si>
    <t>Florida,2013</t>
  </si>
  <si>
    <t>Florida,2014</t>
  </si>
  <si>
    <t>Florida,2015</t>
  </si>
  <si>
    <t>Florida,2016</t>
  </si>
  <si>
    <t>Florida,2017</t>
  </si>
  <si>
    <t xml:space="preserve"> Georgia</t>
  </si>
  <si>
    <t>Georgia,2009</t>
  </si>
  <si>
    <t>Georgia,2010</t>
  </si>
  <si>
    <t>Georgia,2011</t>
  </si>
  <si>
    <t>Georgia,2012</t>
  </si>
  <si>
    <t>Georgia,2013</t>
  </si>
  <si>
    <t>Georgia,2014</t>
  </si>
  <si>
    <t>Georgia,2015</t>
  </si>
  <si>
    <t>Georgia,2016</t>
  </si>
  <si>
    <t>Georgia,2017</t>
  </si>
  <si>
    <t xml:space="preserve"> Hawaii</t>
  </si>
  <si>
    <t>Hawaii,2009</t>
  </si>
  <si>
    <t>Hawaii,2010</t>
  </si>
  <si>
    <t>Hawaii,2011</t>
  </si>
  <si>
    <t>Hawaii,2012</t>
  </si>
  <si>
    <t>Hawaii,2013</t>
  </si>
  <si>
    <t>Hawaii,2014</t>
  </si>
  <si>
    <t>Hawaii,2015</t>
  </si>
  <si>
    <t>Hawaii,2016</t>
  </si>
  <si>
    <t>Hawaii,2017</t>
  </si>
  <si>
    <t xml:space="preserve"> Idaho</t>
  </si>
  <si>
    <t>Idaho,2009</t>
  </si>
  <si>
    <t>Idaho,2010</t>
  </si>
  <si>
    <t>Idaho,2011</t>
  </si>
  <si>
    <t>Idaho,2012</t>
  </si>
  <si>
    <t>Idaho,2013</t>
  </si>
  <si>
    <t>Idaho,2014</t>
  </si>
  <si>
    <t>Idaho,2015</t>
  </si>
  <si>
    <t>Idaho,2016</t>
  </si>
  <si>
    <t>Idaho,2017</t>
  </si>
  <si>
    <t xml:space="preserve"> Illinois</t>
  </si>
  <si>
    <t>Illinois,2009</t>
  </si>
  <si>
    <t>Illinois,2010</t>
  </si>
  <si>
    <t>Illinois,2011</t>
  </si>
  <si>
    <t>Illinois,2012</t>
  </si>
  <si>
    <t>Illinois,2013</t>
  </si>
  <si>
    <t>Illinois,2014</t>
  </si>
  <si>
    <t>Illinois,2015</t>
  </si>
  <si>
    <t>Illinois,2016</t>
  </si>
  <si>
    <t>Illinois,2017</t>
  </si>
  <si>
    <t xml:space="preserve"> Indiana</t>
  </si>
  <si>
    <t>Indiana,2009</t>
  </si>
  <si>
    <t>Indiana,2010</t>
  </si>
  <si>
    <t>Indiana,2011</t>
  </si>
  <si>
    <t>Indiana,2012</t>
  </si>
  <si>
    <t>Indiana,2013</t>
  </si>
  <si>
    <t>Indiana,2014</t>
  </si>
  <si>
    <t>Indiana,2015</t>
  </si>
  <si>
    <t>Indiana,2016</t>
  </si>
  <si>
    <t>Indiana,2017</t>
  </si>
  <si>
    <t xml:space="preserve"> Iowa</t>
  </si>
  <si>
    <t>Iowa,2009</t>
  </si>
  <si>
    <t>Iowa,2010</t>
  </si>
  <si>
    <t>Iowa,2011</t>
  </si>
  <si>
    <t>Iowa,2012</t>
  </si>
  <si>
    <t>Iowa,2013</t>
  </si>
  <si>
    <t>Iowa,2014</t>
  </si>
  <si>
    <t>Iowa,2015</t>
  </si>
  <si>
    <t>Iowa,2016</t>
  </si>
  <si>
    <t>Iowa,2017</t>
  </si>
  <si>
    <t xml:space="preserve"> Kansas</t>
  </si>
  <si>
    <t>Kansas,2009</t>
  </si>
  <si>
    <t>Kansas,2010</t>
  </si>
  <si>
    <t>Kansas,2011</t>
  </si>
  <si>
    <t>Kansas,2012</t>
  </si>
  <si>
    <t>Kansas,2013</t>
  </si>
  <si>
    <t>Kansas,2014</t>
  </si>
  <si>
    <t>Kansas,2015</t>
  </si>
  <si>
    <t>Kansas,2016</t>
  </si>
  <si>
    <t>Kansas,2017</t>
  </si>
  <si>
    <t xml:space="preserve"> Kentucky</t>
  </si>
  <si>
    <t>Kentucky,2009</t>
  </si>
  <si>
    <t>Kentucky,2010</t>
  </si>
  <si>
    <t>Kentucky,2011</t>
  </si>
  <si>
    <t>Kentucky,2012</t>
  </si>
  <si>
    <t>Kentucky,2013</t>
  </si>
  <si>
    <t>Kentucky,2014</t>
  </si>
  <si>
    <t>Kentucky,2015</t>
  </si>
  <si>
    <t>Kentucky,2016</t>
  </si>
  <si>
    <t>Kentucky,2017</t>
  </si>
  <si>
    <t xml:space="preserve"> Louisiana</t>
  </si>
  <si>
    <t>Louisiana,2009</t>
  </si>
  <si>
    <t>Louisiana,2010</t>
  </si>
  <si>
    <t>Louisiana,2011</t>
  </si>
  <si>
    <t>Louisiana,2012</t>
  </si>
  <si>
    <t>Louisiana,2013</t>
  </si>
  <si>
    <t>Louisiana,2014</t>
  </si>
  <si>
    <t>Louisiana,2015</t>
  </si>
  <si>
    <t>Louisiana,2016</t>
  </si>
  <si>
    <t>Louisiana,2017</t>
  </si>
  <si>
    <t xml:space="preserve"> Maine</t>
  </si>
  <si>
    <t>Maine,2009</t>
  </si>
  <si>
    <t>Maine,2010</t>
  </si>
  <si>
    <t>Maine,2011</t>
  </si>
  <si>
    <t>Maine,2012</t>
  </si>
  <si>
    <t>Maine,2013</t>
  </si>
  <si>
    <t>Maine,2014</t>
  </si>
  <si>
    <t>Maine,2015</t>
  </si>
  <si>
    <t>Maine,2016</t>
  </si>
  <si>
    <t>Maine,2017</t>
  </si>
  <si>
    <t xml:space="preserve"> Maryland</t>
  </si>
  <si>
    <t>Maryland,2009</t>
  </si>
  <si>
    <t>Maryland,2010</t>
  </si>
  <si>
    <t>Maryland,2011</t>
  </si>
  <si>
    <t>Maryland,2012</t>
  </si>
  <si>
    <t>Maryland,2013</t>
  </si>
  <si>
    <t>Maryland,2014</t>
  </si>
  <si>
    <t>Maryland,2015</t>
  </si>
  <si>
    <t>Maryland,2016</t>
  </si>
  <si>
    <t>Maryland,2017</t>
  </si>
  <si>
    <t xml:space="preserve"> Massachusetts</t>
  </si>
  <si>
    <t>Massachusetts,2009</t>
  </si>
  <si>
    <t>Massachusetts,2010</t>
  </si>
  <si>
    <t>Massachusetts,2011</t>
  </si>
  <si>
    <t>Massachusetts,2012</t>
  </si>
  <si>
    <t>Massachusetts,2013</t>
  </si>
  <si>
    <t>Massachusetts,2014</t>
  </si>
  <si>
    <t>Massachusetts,2015</t>
  </si>
  <si>
    <t>Massachusetts,2016</t>
  </si>
  <si>
    <t>Massachusetts,2017</t>
  </si>
  <si>
    <t xml:space="preserve"> Michigan</t>
  </si>
  <si>
    <t>Michigan,2009</t>
  </si>
  <si>
    <t>Michigan,2010</t>
  </si>
  <si>
    <t>Michigan,2011</t>
  </si>
  <si>
    <t>Michigan,2012</t>
  </si>
  <si>
    <t>Michigan,2013</t>
  </si>
  <si>
    <t>Michigan,2014</t>
  </si>
  <si>
    <t>Michigan,2015</t>
  </si>
  <si>
    <t>Michigan,2016</t>
  </si>
  <si>
    <t>Michigan,2017</t>
  </si>
  <si>
    <t xml:space="preserve"> Minnesota</t>
  </si>
  <si>
    <t>Minnesota,2009</t>
  </si>
  <si>
    <t>Minnesota,2010</t>
  </si>
  <si>
    <t>Minnesota,2011</t>
  </si>
  <si>
    <t>Minnesota,2012</t>
  </si>
  <si>
    <t>Minnesota,2013</t>
  </si>
  <si>
    <t>Minnesota,2014</t>
  </si>
  <si>
    <t>Minnesota,2015</t>
  </si>
  <si>
    <t>Minnesota,2016</t>
  </si>
  <si>
    <t>Minnesota,2017</t>
  </si>
  <si>
    <t xml:space="preserve"> Mississippi</t>
  </si>
  <si>
    <t>Mississippi,2009</t>
  </si>
  <si>
    <t>Mississippi,2010</t>
  </si>
  <si>
    <t>Mississippi,2011</t>
  </si>
  <si>
    <t>Mississippi,2012</t>
  </si>
  <si>
    <t>Mississippi,2013</t>
  </si>
  <si>
    <t>Mississippi,2014</t>
  </si>
  <si>
    <t>Mississippi,2015</t>
  </si>
  <si>
    <t>Mississippi,2016</t>
  </si>
  <si>
    <t>Mississippi,2017</t>
  </si>
  <si>
    <t xml:space="preserve"> Missouri</t>
  </si>
  <si>
    <t>Missouri,2009</t>
  </si>
  <si>
    <t>Missouri,2010</t>
  </si>
  <si>
    <t>Missouri,2011</t>
  </si>
  <si>
    <t>Missouri,2012</t>
  </si>
  <si>
    <t>Missouri,2013</t>
  </si>
  <si>
    <t>Missouri,2014</t>
  </si>
  <si>
    <t>Missouri,2015</t>
  </si>
  <si>
    <t>Missouri,2016</t>
  </si>
  <si>
    <t>Missouri,2017</t>
  </si>
  <si>
    <t xml:space="preserve"> Montana</t>
  </si>
  <si>
    <t>Montana,2009</t>
  </si>
  <si>
    <t>Montana,2010</t>
  </si>
  <si>
    <t>Montana,2011</t>
  </si>
  <si>
    <t>Montana,2012</t>
  </si>
  <si>
    <t>Montana,2013</t>
  </si>
  <si>
    <t>Montana,2014</t>
  </si>
  <si>
    <t>Montana,2015</t>
  </si>
  <si>
    <t>Montana,2016</t>
  </si>
  <si>
    <t>Montana,2017</t>
  </si>
  <si>
    <t xml:space="preserve"> Nebraska</t>
  </si>
  <si>
    <t>Nebraska,2009</t>
  </si>
  <si>
    <t>Nebraska,2010</t>
  </si>
  <si>
    <t>Nebraska,2011</t>
  </si>
  <si>
    <t>Nebraska,2012</t>
  </si>
  <si>
    <t>Nebraska,2013</t>
  </si>
  <si>
    <t>Nebraska,2014</t>
  </si>
  <si>
    <t>Nebraska,2015</t>
  </si>
  <si>
    <t>Nebraska,2016</t>
  </si>
  <si>
    <t>Nebraska,2017</t>
  </si>
  <si>
    <t xml:space="preserve"> Nevada</t>
  </si>
  <si>
    <t>Nevada,2009</t>
  </si>
  <si>
    <t>Nevada,2010</t>
  </si>
  <si>
    <t>Nevada,2011</t>
  </si>
  <si>
    <t>Nevada,2012</t>
  </si>
  <si>
    <t>Nevada,2013</t>
  </si>
  <si>
    <t>Nevada,2014</t>
  </si>
  <si>
    <t>Nevada,2015</t>
  </si>
  <si>
    <t>Nevada,2016</t>
  </si>
  <si>
    <t>Nevada,2017</t>
  </si>
  <si>
    <t xml:space="preserve"> New Hampshire</t>
  </si>
  <si>
    <t>New Hampshire,2009</t>
  </si>
  <si>
    <t>New Hampshire,2010</t>
  </si>
  <si>
    <t>New Hampshire,2011</t>
  </si>
  <si>
    <t>New Hampshire,2012</t>
  </si>
  <si>
    <t>New Hampshire,2013</t>
  </si>
  <si>
    <t>New Hampshire,2014</t>
  </si>
  <si>
    <t>New Hampshire,2015</t>
  </si>
  <si>
    <t>New Hampshire,2016</t>
  </si>
  <si>
    <t>New Hampshire,2017</t>
  </si>
  <si>
    <t xml:space="preserve"> New Jersey</t>
  </si>
  <si>
    <t>New Jersey,2009</t>
  </si>
  <si>
    <t>New Jersey,2010</t>
  </si>
  <si>
    <t>New Jersey,2011</t>
  </si>
  <si>
    <t>New Jersey,2012</t>
  </si>
  <si>
    <t>New Jersey,2013</t>
  </si>
  <si>
    <t>New Jersey,2014</t>
  </si>
  <si>
    <t>New Jersey,2015</t>
  </si>
  <si>
    <t>New Jersey,2016</t>
  </si>
  <si>
    <t>New Jersey,2017</t>
  </si>
  <si>
    <t xml:space="preserve"> New Mexico</t>
  </si>
  <si>
    <t>New Mexico,2009</t>
  </si>
  <si>
    <t>New Mexico,2010</t>
  </si>
  <si>
    <t>New Mexico,2011</t>
  </si>
  <si>
    <t>New Mexico,2012</t>
  </si>
  <si>
    <t>New Mexico,2013</t>
  </si>
  <si>
    <t>New Mexico,2014</t>
  </si>
  <si>
    <t>New Mexico,2015</t>
  </si>
  <si>
    <t>New Mexico,2016</t>
  </si>
  <si>
    <t>New Mexico,2017</t>
  </si>
  <si>
    <t xml:space="preserve"> New York</t>
  </si>
  <si>
    <t>New York,2009</t>
  </si>
  <si>
    <t>New York,2010</t>
  </si>
  <si>
    <t>New York,2011</t>
  </si>
  <si>
    <t>New York,2012</t>
  </si>
  <si>
    <t>New York,2013</t>
  </si>
  <si>
    <t>New York,2014</t>
  </si>
  <si>
    <t>New York,2015</t>
  </si>
  <si>
    <t>New York,2016</t>
  </si>
  <si>
    <t>New York,2017</t>
  </si>
  <si>
    <t xml:space="preserve"> North Carolina</t>
  </si>
  <si>
    <t>North Carolina,2009</t>
  </si>
  <si>
    <t>North Carolina,2010</t>
  </si>
  <si>
    <t>North Carolina,2011</t>
  </si>
  <si>
    <t>North Carolina,2012</t>
  </si>
  <si>
    <t>North Carolina,2013</t>
  </si>
  <si>
    <t>North Carolina,2014</t>
  </si>
  <si>
    <t>North Carolina,2015</t>
  </si>
  <si>
    <t>North Carolina,2016</t>
  </si>
  <si>
    <t>North Carolina,2017</t>
  </si>
  <si>
    <t xml:space="preserve"> North Dakota</t>
  </si>
  <si>
    <t>North Dakota,2009</t>
  </si>
  <si>
    <t>North Dakota,2010</t>
  </si>
  <si>
    <t>North Dakota,2011</t>
  </si>
  <si>
    <t>North Dakota,2012</t>
  </si>
  <si>
    <t>North Dakota,2013</t>
  </si>
  <si>
    <t>North Dakota,2014</t>
  </si>
  <si>
    <t>North Dakota,2015</t>
  </si>
  <si>
    <t>North Dakota,2016</t>
  </si>
  <si>
    <t>North Dakota,2017</t>
  </si>
  <si>
    <t xml:space="preserve"> Ohio</t>
  </si>
  <si>
    <t>Ohio,2009</t>
  </si>
  <si>
    <t>Ohio,2010</t>
  </si>
  <si>
    <t>Ohio,2011</t>
  </si>
  <si>
    <t>Ohio,2012</t>
  </si>
  <si>
    <t>Ohio,2013</t>
  </si>
  <si>
    <t>Ohio,2014</t>
  </si>
  <si>
    <t>Ohio,2015</t>
  </si>
  <si>
    <t>Ohio,2016</t>
  </si>
  <si>
    <t>Ohio,2017</t>
  </si>
  <si>
    <t xml:space="preserve"> Oklahoma</t>
  </si>
  <si>
    <t>Oklahoma,2009</t>
  </si>
  <si>
    <t>Oklahoma,2010</t>
  </si>
  <si>
    <t>Oklahoma,2011</t>
  </si>
  <si>
    <t>Oklahoma,2012</t>
  </si>
  <si>
    <t>Oklahoma,2013</t>
  </si>
  <si>
    <t>Oklahoma,2014</t>
  </si>
  <si>
    <t>Oklahoma,2015</t>
  </si>
  <si>
    <t>Oklahoma,2016</t>
  </si>
  <si>
    <t>Oklahoma,2017</t>
  </si>
  <si>
    <t xml:space="preserve"> Oregon</t>
  </si>
  <si>
    <t>Oregon,2009</t>
  </si>
  <si>
    <t>Oregon,2010</t>
  </si>
  <si>
    <t>Oregon,2011</t>
  </si>
  <si>
    <t>Oregon,2012</t>
  </si>
  <si>
    <t>Oregon,2013</t>
  </si>
  <si>
    <t>Oregon,2014</t>
  </si>
  <si>
    <t>Oregon,2015</t>
  </si>
  <si>
    <t>Oregon,2016</t>
  </si>
  <si>
    <t>Oregon,2017</t>
  </si>
  <si>
    <t xml:space="preserve"> Pennsylvania</t>
  </si>
  <si>
    <t>Pennsylvania,2009</t>
  </si>
  <si>
    <t>Pennsylvania,2010</t>
  </si>
  <si>
    <t>Pennsylvania,2011</t>
  </si>
  <si>
    <t>Pennsylvania,2012</t>
  </si>
  <si>
    <t>Pennsylvania,2013</t>
  </si>
  <si>
    <t>Pennsylvania,2014</t>
  </si>
  <si>
    <t>Pennsylvania,2015</t>
  </si>
  <si>
    <t>Pennsylvania,2016</t>
  </si>
  <si>
    <t>Pennsylvania,2017</t>
  </si>
  <si>
    <t xml:space="preserve"> Puerto Rico</t>
  </si>
  <si>
    <t>Puerto Rico,2009</t>
  </si>
  <si>
    <t>Puerto Rico,2010</t>
  </si>
  <si>
    <t>Puerto Rico,2011</t>
  </si>
  <si>
    <t>Puerto Rico,2012</t>
  </si>
  <si>
    <t>Puerto Rico,2013</t>
  </si>
  <si>
    <t>Puerto Rico,2014</t>
  </si>
  <si>
    <t>Puerto Rico,2015</t>
  </si>
  <si>
    <t>Puerto Rico,2016</t>
  </si>
  <si>
    <t>Puerto Rico,2017</t>
  </si>
  <si>
    <t xml:space="preserve"> Rhode Island</t>
  </si>
  <si>
    <t>Rhode Island,2009</t>
  </si>
  <si>
    <t>Rhode Island,2010</t>
  </si>
  <si>
    <t>Rhode Island,2011</t>
  </si>
  <si>
    <t>Rhode Island,2012</t>
  </si>
  <si>
    <t>Rhode Island,2013</t>
  </si>
  <si>
    <t>Rhode Island,2014</t>
  </si>
  <si>
    <t>Rhode Island,2015</t>
  </si>
  <si>
    <t>Rhode Island,2016</t>
  </si>
  <si>
    <t>Rhode Island,2017</t>
  </si>
  <si>
    <t xml:space="preserve"> South Carolina</t>
  </si>
  <si>
    <t>South Carolina,2009</t>
  </si>
  <si>
    <t>South Carolina,2010</t>
  </si>
  <si>
    <t>South Carolina,2011</t>
  </si>
  <si>
    <t>South Carolina,2012</t>
  </si>
  <si>
    <t>South Carolina,2013</t>
  </si>
  <si>
    <t>South Carolina,2014</t>
  </si>
  <si>
    <t>South Carolina,2015</t>
  </si>
  <si>
    <t>South Carolina,2016</t>
  </si>
  <si>
    <t>South Carolina,2017</t>
  </si>
  <si>
    <t xml:space="preserve"> South Dakota</t>
  </si>
  <si>
    <t>South Dakota,2009</t>
  </si>
  <si>
    <t>South Dakota,2010</t>
  </si>
  <si>
    <t>South Dakota,2011</t>
  </si>
  <si>
    <t>South Dakota,2012</t>
  </si>
  <si>
    <t>South Dakota,2013</t>
  </si>
  <si>
    <t>South Dakota,2014</t>
  </si>
  <si>
    <t>South Dakota,2015</t>
  </si>
  <si>
    <t>South Dakota,2016</t>
  </si>
  <si>
    <t>South Dakota,2017</t>
  </si>
  <si>
    <t xml:space="preserve"> Tennessee</t>
  </si>
  <si>
    <t>Tennessee,2009</t>
  </si>
  <si>
    <t>Tennessee,2010</t>
  </si>
  <si>
    <t>Tennessee,2011</t>
  </si>
  <si>
    <t>Tennessee,2012</t>
  </si>
  <si>
    <t>Tennessee,2013</t>
  </si>
  <si>
    <t>Tennessee,2014</t>
  </si>
  <si>
    <t>Tennessee,2015</t>
  </si>
  <si>
    <t>Tennessee,2016</t>
  </si>
  <si>
    <t>Tennessee,2017</t>
  </si>
  <si>
    <t xml:space="preserve"> Texas</t>
  </si>
  <si>
    <t>Texas,2009</t>
  </si>
  <si>
    <t>Texas,2010</t>
  </si>
  <si>
    <t>Texas,2011</t>
  </si>
  <si>
    <t>Texas,2012</t>
  </si>
  <si>
    <t>Texas,2013</t>
  </si>
  <si>
    <t>Texas,2014</t>
  </si>
  <si>
    <t>Texas,2015</t>
  </si>
  <si>
    <t>Texas,2016</t>
  </si>
  <si>
    <t>Texas,2017</t>
  </si>
  <si>
    <t xml:space="preserve"> Utah</t>
  </si>
  <si>
    <t>Utah,2009</t>
  </si>
  <si>
    <t>Utah,2010</t>
  </si>
  <si>
    <t>Utah,2011</t>
  </si>
  <si>
    <t>Utah,2012</t>
  </si>
  <si>
    <t>Utah,2013</t>
  </si>
  <si>
    <t>Utah,2014</t>
  </si>
  <si>
    <t>Utah,2015</t>
  </si>
  <si>
    <t>Utah,2016</t>
  </si>
  <si>
    <t>Utah,2017</t>
  </si>
  <si>
    <t xml:space="preserve"> Vermont</t>
  </si>
  <si>
    <t>Vermont,2009</t>
  </si>
  <si>
    <t>Vermont,2010</t>
  </si>
  <si>
    <t>Vermont,2011</t>
  </si>
  <si>
    <t>Vermont,2012</t>
  </si>
  <si>
    <t>Vermont,2013</t>
  </si>
  <si>
    <t>Vermont,2014</t>
  </si>
  <si>
    <t>Vermont,2015</t>
  </si>
  <si>
    <t>Vermont,2016</t>
  </si>
  <si>
    <t>Vermont,2017</t>
  </si>
  <si>
    <t xml:space="preserve"> Virginia</t>
  </si>
  <si>
    <t>Virginia,2009</t>
  </si>
  <si>
    <t>Virginia,2010</t>
  </si>
  <si>
    <t>Virginia,2011</t>
  </si>
  <si>
    <t>Virginia,2012</t>
  </si>
  <si>
    <t>Virginia,2013</t>
  </si>
  <si>
    <t>Virginia,2014</t>
  </si>
  <si>
    <t>Virginia,2015</t>
  </si>
  <si>
    <t>Virginia,2016</t>
  </si>
  <si>
    <t>Virginia,2017</t>
  </si>
  <si>
    <t xml:space="preserve"> Washington</t>
  </si>
  <si>
    <t>Washington,2009</t>
  </si>
  <si>
    <t>Washington,2010</t>
  </si>
  <si>
    <t>Washington,2011</t>
  </si>
  <si>
    <t>Washington,2012</t>
  </si>
  <si>
    <t>Washington,2013</t>
  </si>
  <si>
    <t>Washington,2014</t>
  </si>
  <si>
    <t>Washington,2015</t>
  </si>
  <si>
    <t>Washington,2016</t>
  </si>
  <si>
    <t>Washington,2017</t>
  </si>
  <si>
    <t xml:space="preserve"> West Virginia</t>
  </si>
  <si>
    <t>West Virginia,2009</t>
  </si>
  <si>
    <t>West Virginia,2010</t>
  </si>
  <si>
    <t>West Virginia,2011</t>
  </si>
  <si>
    <t>West Virginia,2012</t>
  </si>
  <si>
    <t>West Virginia,2013</t>
  </si>
  <si>
    <t>West Virginia,2014</t>
  </si>
  <si>
    <t>West Virginia,2015</t>
  </si>
  <si>
    <t>West Virginia,2016</t>
  </si>
  <si>
    <t>West Virginia,2017</t>
  </si>
  <si>
    <t xml:space="preserve"> Wisconsin</t>
  </si>
  <si>
    <t>Wisconsin,2009</t>
  </si>
  <si>
    <t>Wisconsin,2010</t>
  </si>
  <si>
    <t>Wisconsin,2011</t>
  </si>
  <si>
    <t>Wisconsin,2012</t>
  </si>
  <si>
    <t>Wisconsin,2013</t>
  </si>
  <si>
    <t>Wisconsin,2014</t>
  </si>
  <si>
    <t>Wisconsin,2015</t>
  </si>
  <si>
    <t>Wisconsin,2016</t>
  </si>
  <si>
    <t>Wisconsin,2017</t>
  </si>
  <si>
    <t xml:space="preserve"> Wyoming</t>
  </si>
  <si>
    <t>Wyoming,2009</t>
  </si>
  <si>
    <t>Wyoming,2010</t>
  </si>
  <si>
    <t>Wyoming,2011</t>
  </si>
  <si>
    <t>Wyoming,2012</t>
  </si>
  <si>
    <t>Wyoming,2013</t>
  </si>
  <si>
    <t>Wyoming,2014</t>
  </si>
  <si>
    <t>Wyoming,2015</t>
  </si>
  <si>
    <t>Wyoming,2016</t>
  </si>
  <si>
    <t>Wyoming,2017</t>
  </si>
  <si>
    <t>Dataset Name</t>
  </si>
  <si>
    <t>Sample or Population</t>
  </si>
  <si>
    <t>Normal Distribution</t>
  </si>
  <si>
    <t>Variance</t>
  </si>
  <si>
    <t>Standard Deviation</t>
  </si>
  <si>
    <t>Mean</t>
  </si>
  <si>
    <t>Outlier Percentage</t>
  </si>
  <si>
    <t>Correlation</t>
  </si>
  <si>
    <t>Variables</t>
  </si>
  <si>
    <t>Proposed Relationship</t>
  </si>
  <si>
    <t>Correlation Coefficient</t>
  </si>
  <si>
    <t>Strength of Correlation</t>
  </si>
  <si>
    <t>Usefulness / Interpretation</t>
  </si>
  <si>
    <t>Influenza Deaths</t>
  </si>
  <si>
    <t>Sample</t>
  </si>
  <si>
    <t>Hypothesis</t>
  </si>
  <si>
    <t>Poupulation</t>
  </si>
  <si>
    <t>Sum of &lt; 5 years</t>
  </si>
  <si>
    <t>Sum of 5-14 years</t>
  </si>
  <si>
    <t>Sum of 15-24 years</t>
  </si>
  <si>
    <t>Sum of 25-34 years</t>
  </si>
  <si>
    <t>Sum of 35-44 years</t>
  </si>
  <si>
    <t>Sum of 45-54 years</t>
  </si>
  <si>
    <t>Sum of 55-64 years</t>
  </si>
  <si>
    <t>Sum of 65-74 years</t>
  </si>
  <si>
    <t>Sum of 75-84 years</t>
  </si>
  <si>
    <t>Sum of 85+ years</t>
  </si>
  <si>
    <t>Upper value SD</t>
  </si>
  <si>
    <t>Lower value SD</t>
  </si>
  <si>
    <t>Outliers</t>
  </si>
  <si>
    <t>Under 65 years</t>
  </si>
  <si>
    <t>65 - 85+ years</t>
  </si>
  <si>
    <t>65 - 85 + years</t>
  </si>
  <si>
    <t>Under 65 year</t>
  </si>
  <si>
    <t>65+ years</t>
  </si>
  <si>
    <t>Strong relationship</t>
  </si>
  <si>
    <t>If a person is over 65 years, then there are more chances to die from influenza.</t>
  </si>
  <si>
    <t>Deaths 65+ / Populations 65+</t>
  </si>
  <si>
    <t>Deaths under 65 / Population under 65</t>
  </si>
  <si>
    <t>Higher number of people with the above age group, higher the rate of influenza deaths</t>
  </si>
  <si>
    <t>Higher the number of people with the above age group, lower the rate of influenza deaths</t>
  </si>
  <si>
    <t>Strong relationship suggests that higher the number of 65 years old people then deaths will be higher. More staff needs to be allocated.</t>
  </si>
  <si>
    <t>Strong relationship suggests that, under the age of 65 years will less likely to die from influenza flu.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</si>
</sst>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theme="7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0" xfId="0" applyFont="1" applyFill="1"/>
    <xf numFmtId="0" fontId="3" fillId="5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164" fontId="0" fillId="0" borderId="0" xfId="1" applyNumberFormat="1" applyFont="1"/>
    <xf numFmtId="10" fontId="0" fillId="0" borderId="0" xfId="2" applyNumberFormat="1" applyFont="1"/>
    <xf numFmtId="37" fontId="0" fillId="0" borderId="0" xfId="1" applyNumberFormat="1" applyFont="1"/>
    <xf numFmtId="2" fontId="0" fillId="0" borderId="0" xfId="0" applyNumberFormat="1"/>
    <xf numFmtId="43" fontId="0" fillId="0" borderId="0" xfId="1" applyFont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8" borderId="0" xfId="0" applyFont="1" applyFill="1"/>
    <xf numFmtId="0" fontId="3" fillId="9" borderId="2" xfId="0" applyFont="1" applyFill="1" applyBorder="1" applyAlignment="1">
      <alignment horizontal="center"/>
    </xf>
    <xf numFmtId="164" fontId="0" fillId="8" borderId="0" xfId="1" applyNumberFormat="1" applyFont="1" applyFill="1"/>
    <xf numFmtId="0" fontId="0" fillId="8" borderId="0" xfId="0" applyFill="1"/>
    <xf numFmtId="9" fontId="0" fillId="0" borderId="0" xfId="2" applyFont="1"/>
    <xf numFmtId="0" fontId="3" fillId="9" borderId="4" xfId="0" applyFont="1" applyFill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5" xfId="0" applyBorder="1"/>
    <xf numFmtId="2" fontId="0" fillId="0" borderId="5" xfId="0" applyNumberFormat="1" applyBorder="1"/>
    <xf numFmtId="43" fontId="0" fillId="0" borderId="5" xfId="1" applyFont="1" applyBorder="1"/>
    <xf numFmtId="9" fontId="0" fillId="0" borderId="5" xfId="2" applyFont="1" applyBorder="1"/>
    <xf numFmtId="0" fontId="4" fillId="0" borderId="5" xfId="0" applyFont="1" applyBorder="1" applyAlignment="1">
      <alignment horizontal="center"/>
    </xf>
    <xf numFmtId="0" fontId="2" fillId="0" borderId="0" xfId="0" applyFont="1" applyFill="1"/>
    <xf numFmtId="164" fontId="0" fillId="0" borderId="0" xfId="1" applyNumberFormat="1" applyFont="1" applyFill="1"/>
    <xf numFmtId="0" fontId="0" fillId="0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 1.8.xlsx]Influenza dealth - pivot chart!PivotTable78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'Influenza dealth - pivot chart'!$A$3</c:f>
              <c:strCache>
                <c:ptCount val="1"/>
                <c:pt idx="0">
                  <c:v>Sum of &lt; 5 years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'Influenza dealth - pivot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'Influenza dealth - pivot chart'!$A$4</c:f>
              <c:numCache>
                <c:formatCode>General</c:formatCode>
                <c:ptCount val="1"/>
                <c:pt idx="0">
                  <c:v>50367.607843137273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2-6F47-AE2C-83FAF9459905}"/>
            </c:ext>
          </c:extLst>
        </c:ser>
        <c:ser>
          <c:idx val="1"/>
          <c:order val="1"/>
          <c:tx>
            <c:strRef>
              <c:f>'Influenza dealth - pivot chart'!$B$3</c:f>
              <c:strCache>
                <c:ptCount val="1"/>
                <c:pt idx="0">
                  <c:v>Sum of 5-14 years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'Influenza dealth - pivot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'Influenza dealth - pivot chart'!$B$4</c:f>
              <c:numCache>
                <c:formatCode>General</c:formatCode>
                <c:ptCount val="1"/>
                <c:pt idx="0">
                  <c:v>25414.745098039228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E2-6F47-AE2C-83FAF9459905}"/>
            </c:ext>
          </c:extLst>
        </c:ser>
        <c:ser>
          <c:idx val="2"/>
          <c:order val="2"/>
          <c:tx>
            <c:strRef>
              <c:f>'Influenza dealth - pivot chart'!$C$3</c:f>
              <c:strCache>
                <c:ptCount val="1"/>
                <c:pt idx="0">
                  <c:v>Sum of 15-24 years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'Influenza dealth - pivot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'Influenza dealth - pivot chart'!$C$4</c:f>
              <c:numCache>
                <c:formatCode>General</c:formatCode>
                <c:ptCount val="1"/>
                <c:pt idx="0">
                  <c:v>25318.901960784326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E2-6F47-AE2C-83FAF9459905}"/>
            </c:ext>
          </c:extLst>
        </c:ser>
        <c:ser>
          <c:idx val="3"/>
          <c:order val="3"/>
          <c:tx>
            <c:strRef>
              <c:f>'Influenza dealth - pivot chart'!$D$3</c:f>
              <c:strCache>
                <c:ptCount val="1"/>
                <c:pt idx="0">
                  <c:v>Sum of 25-34 years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'Influenza dealth - pivot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'Influenza dealth - pivot chart'!$D$4</c:f>
              <c:numCache>
                <c:formatCode>General</c:formatCode>
                <c:ptCount val="1"/>
                <c:pt idx="0">
                  <c:v>25575.843137254909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E2-6F47-AE2C-83FAF9459905}"/>
            </c:ext>
          </c:extLst>
        </c:ser>
        <c:ser>
          <c:idx val="4"/>
          <c:order val="4"/>
          <c:tx>
            <c:strRef>
              <c:f>'Influenza dealth - pivot chart'!$E$3</c:f>
              <c:strCache>
                <c:ptCount val="1"/>
                <c:pt idx="0">
                  <c:v>Sum of 35-44 years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'Influenza dealth - pivot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'Influenza dealth - pivot chart'!$E$4</c:f>
              <c:numCache>
                <c:formatCode>General</c:formatCode>
                <c:ptCount val="1"/>
                <c:pt idx="0">
                  <c:v>26236.549019607839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E2-6F47-AE2C-83FAF9459905}"/>
            </c:ext>
          </c:extLst>
        </c:ser>
        <c:ser>
          <c:idx val="5"/>
          <c:order val="5"/>
          <c:tx>
            <c:strRef>
              <c:f>'Influenza dealth - pivot chart'!$F$3</c:f>
              <c:strCache>
                <c:ptCount val="1"/>
                <c:pt idx="0">
                  <c:v>Sum of 45-54 years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'Influenza dealth - pivot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'Influenza dealth - pivot chart'!$F$4</c:f>
              <c:numCache>
                <c:formatCode>General</c:formatCode>
                <c:ptCount val="1"/>
                <c:pt idx="0">
                  <c:v>30561.72549019607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E2-6F47-AE2C-83FAF9459905}"/>
            </c:ext>
          </c:extLst>
        </c:ser>
        <c:ser>
          <c:idx val="6"/>
          <c:order val="6"/>
          <c:tx>
            <c:strRef>
              <c:f>'Influenza dealth - pivot chart'!$G$3</c:f>
              <c:strCache>
                <c:ptCount val="1"/>
                <c:pt idx="0">
                  <c:v>Sum of 55-64 years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'Influenza dealth - pivot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'Influenza dealth - pivot chart'!$G$4</c:f>
              <c:numCache>
                <c:formatCode>General</c:formatCode>
                <c:ptCount val="1"/>
                <c:pt idx="0">
                  <c:v>46201.490196078441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E2-6F47-AE2C-83FAF9459905}"/>
            </c:ext>
          </c:extLst>
        </c:ser>
        <c:ser>
          <c:idx val="7"/>
          <c:order val="7"/>
          <c:tx>
            <c:strRef>
              <c:f>'Influenza dealth - pivot chart'!$H$3</c:f>
              <c:strCache>
                <c:ptCount val="1"/>
                <c:pt idx="0">
                  <c:v>Sum of 65-74 years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'Influenza dealth - pivot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'Influenza dealth - pivot chart'!$H$4</c:f>
              <c:numCache>
                <c:formatCode>General</c:formatCode>
                <c:ptCount val="1"/>
                <c:pt idx="0">
                  <c:v>69451.60784313723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1E2-6F47-AE2C-83FAF9459905}"/>
            </c:ext>
          </c:extLst>
        </c:ser>
        <c:ser>
          <c:idx val="8"/>
          <c:order val="8"/>
          <c:tx>
            <c:strRef>
              <c:f>'Influenza dealth - pivot chart'!$I$3</c:f>
              <c:strCache>
                <c:ptCount val="1"/>
                <c:pt idx="0">
                  <c:v>Sum of 75-84 years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'Influenza dealth - pivot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'Influenza dealth - pivot chart'!$I$4</c:f>
              <c:numCache>
                <c:formatCode>General</c:formatCode>
                <c:ptCount val="1"/>
                <c:pt idx="0">
                  <c:v>124861.17647058822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E2-6F47-AE2C-83FAF9459905}"/>
            </c:ext>
          </c:extLst>
        </c:ser>
        <c:ser>
          <c:idx val="9"/>
          <c:order val="9"/>
          <c:tx>
            <c:strRef>
              <c:f>'Influenza dealth - pivot chart'!$J$3</c:f>
              <c:strCache>
                <c:ptCount val="1"/>
                <c:pt idx="0">
                  <c:v>Sum of 85+ years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'Influenza dealth - pivot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'Influenza dealth - pivot chart'!$J$4</c:f>
              <c:numCache>
                <c:formatCode>General</c:formatCode>
                <c:ptCount val="1"/>
                <c:pt idx="0">
                  <c:v>222531.45098039228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1E2-6F47-AE2C-83FAF9459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7360095"/>
        <c:axId val="1867497151"/>
      </c:barChart>
      <c:catAx>
        <c:axId val="186736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497151"/>
        <c:crosses val="autoZero"/>
        <c:auto val="1"/>
        <c:lblAlgn val="ctr"/>
        <c:lblOffset val="100"/>
        <c:noMultiLvlLbl val="0"/>
      </c:catAx>
      <c:valAx>
        <c:axId val="186749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36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 1.8.xlsx]Census data - pivot chart!PivotTable79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'Census data - pivot chart'!$A$3</c:f>
              <c:strCache>
                <c:ptCount val="1"/>
                <c:pt idx="0">
                  <c:v>Sum of &lt; 5 years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'Census data - pivot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'Census data - pivot chart'!$A$4</c:f>
              <c:numCache>
                <c:formatCode>_(* #,##0_);_(* \(#,##0\);_(* "-"??_);_(@_)</c:formatCode>
                <c:ptCount val="1"/>
                <c:pt idx="0">
                  <c:v>182873757.12500021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E-074E-A8C6-D41F4E5A4A3B}"/>
            </c:ext>
          </c:extLst>
        </c:ser>
        <c:ser>
          <c:idx val="1"/>
          <c:order val="1"/>
          <c:tx>
            <c:strRef>
              <c:f>'Census data - pivot chart'!$B$3</c:f>
              <c:strCache>
                <c:ptCount val="1"/>
                <c:pt idx="0">
                  <c:v>Sum of 5-14 years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'Census data - pivot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'Census data - pivot chart'!$B$4</c:f>
              <c:numCache>
                <c:formatCode>_(* #,##0_);_(* \(#,##0\);_(* "-"??_);_(@_)</c:formatCode>
                <c:ptCount val="1"/>
                <c:pt idx="0">
                  <c:v>373150810.86100006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7E-074E-A8C6-D41F4E5A4A3B}"/>
            </c:ext>
          </c:extLst>
        </c:ser>
        <c:ser>
          <c:idx val="2"/>
          <c:order val="2"/>
          <c:tx>
            <c:strRef>
              <c:f>'Census data - pivot chart'!$C$3</c:f>
              <c:strCache>
                <c:ptCount val="1"/>
                <c:pt idx="0">
                  <c:v>Sum of 15-24 years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'Census data - pivot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'Census data - pivot chart'!$C$4</c:f>
              <c:numCache>
                <c:formatCode>_(* #,##0_);_(* \(#,##0\);_(* "-"??_);_(@_)</c:formatCode>
                <c:ptCount val="1"/>
                <c:pt idx="0">
                  <c:v>397461876.54300016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7E-074E-A8C6-D41F4E5A4A3B}"/>
            </c:ext>
          </c:extLst>
        </c:ser>
        <c:ser>
          <c:idx val="3"/>
          <c:order val="3"/>
          <c:tx>
            <c:strRef>
              <c:f>'Census data - pivot chart'!$D$3</c:f>
              <c:strCache>
                <c:ptCount val="1"/>
                <c:pt idx="0">
                  <c:v>Sum of 25-34 years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'Census data - pivot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'Census data - pivot chart'!$D$4</c:f>
              <c:numCache>
                <c:formatCode>_(* #,##0_);_(* \(#,##0\);_(* "-"??_);_(@_)</c:formatCode>
                <c:ptCount val="1"/>
                <c:pt idx="0">
                  <c:v>381170735.97600007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7E-074E-A8C6-D41F4E5A4A3B}"/>
            </c:ext>
          </c:extLst>
        </c:ser>
        <c:ser>
          <c:idx val="4"/>
          <c:order val="4"/>
          <c:tx>
            <c:strRef>
              <c:f>'Census data - pivot chart'!$E$3</c:f>
              <c:strCache>
                <c:ptCount val="1"/>
                <c:pt idx="0">
                  <c:v>Sum of 35-44 years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'Census data - pivot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'Census data - pivot chart'!$E$4</c:f>
              <c:numCache>
                <c:formatCode>_(* #,##0_);_(* \(#,##0\);_(* "-"??_);_(@_)</c:formatCode>
                <c:ptCount val="1"/>
                <c:pt idx="0">
                  <c:v>375607500.12699974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7E-074E-A8C6-D41F4E5A4A3B}"/>
            </c:ext>
          </c:extLst>
        </c:ser>
        <c:ser>
          <c:idx val="5"/>
          <c:order val="5"/>
          <c:tx>
            <c:strRef>
              <c:f>'Census data - pivot chart'!$F$3</c:f>
              <c:strCache>
                <c:ptCount val="1"/>
                <c:pt idx="0">
                  <c:v>Sum of 45-54 years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'Census data - pivot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'Census data - pivot chart'!$F$4</c:f>
              <c:numCache>
                <c:formatCode>_(* #,##0_);_(* \(#,##0\);_(* "-"??_);_(@_)</c:formatCode>
                <c:ptCount val="1"/>
                <c:pt idx="0">
                  <c:v>400655936.71499974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7E-074E-A8C6-D41F4E5A4A3B}"/>
            </c:ext>
          </c:extLst>
        </c:ser>
        <c:ser>
          <c:idx val="6"/>
          <c:order val="6"/>
          <c:tx>
            <c:strRef>
              <c:f>'Census data - pivot chart'!$G$3</c:f>
              <c:strCache>
                <c:ptCount val="1"/>
                <c:pt idx="0">
                  <c:v>Sum of 55-64 years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'Census data - pivot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'Census data - pivot chart'!$G$4</c:f>
              <c:numCache>
                <c:formatCode>_(* #,##0_);_(* \(#,##0\);_(* "-"??_);_(@_)</c:formatCode>
                <c:ptCount val="1"/>
                <c:pt idx="0">
                  <c:v>339391461.35099971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7E-074E-A8C6-D41F4E5A4A3B}"/>
            </c:ext>
          </c:extLst>
        </c:ser>
        <c:ser>
          <c:idx val="7"/>
          <c:order val="7"/>
          <c:tx>
            <c:strRef>
              <c:f>'Census data - pivot chart'!$H$3</c:f>
              <c:strCache>
                <c:ptCount val="1"/>
                <c:pt idx="0">
                  <c:v>Sum of 65-74 years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'Census data - pivot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'Census data - pivot chart'!$H$4</c:f>
              <c:numCache>
                <c:formatCode>_(* #,##0_);_(* \(#,##0\);_(* "-"??_);_(@_)</c:formatCode>
                <c:ptCount val="1"/>
                <c:pt idx="0">
                  <c:v>212116930.67900002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67E-074E-A8C6-D41F4E5A4A3B}"/>
            </c:ext>
          </c:extLst>
        </c:ser>
        <c:ser>
          <c:idx val="8"/>
          <c:order val="8"/>
          <c:tx>
            <c:strRef>
              <c:f>'Census data - pivot chart'!$I$3</c:f>
              <c:strCache>
                <c:ptCount val="1"/>
                <c:pt idx="0">
                  <c:v>Sum of 75-84 years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'Census data - pivot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'Census data - pivot chart'!$I$4</c:f>
              <c:numCache>
                <c:formatCode>_(* #,##0_);_(* \(#,##0\);_(* "-"??_);_(@_)</c:formatCode>
                <c:ptCount val="1"/>
                <c:pt idx="0">
                  <c:v>122184173.23399998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7E-074E-A8C6-D41F4E5A4A3B}"/>
            </c:ext>
          </c:extLst>
        </c:ser>
        <c:ser>
          <c:idx val="9"/>
          <c:order val="9"/>
          <c:tx>
            <c:strRef>
              <c:f>'Census data - pivot chart'!$J$3</c:f>
              <c:strCache>
                <c:ptCount val="1"/>
                <c:pt idx="0">
                  <c:v>Sum of 85+ years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'Census data - pivot chart'!$A$4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'Census data - pivot chart'!$J$4</c:f>
              <c:numCache>
                <c:formatCode>_(* #,##0_);_(* \(#,##0\);_(* "-"??_);_(@_)</c:formatCode>
                <c:ptCount val="1"/>
                <c:pt idx="0">
                  <c:v>51428487.929000013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67E-074E-A8C6-D41F4E5A4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9145264"/>
        <c:axId val="1099732032"/>
      </c:barChart>
      <c:catAx>
        <c:axId val="109914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732032"/>
        <c:crosses val="autoZero"/>
        <c:auto val="1"/>
        <c:lblAlgn val="ctr"/>
        <c:lblOffset val="100"/>
        <c:noMultiLvlLbl val="0"/>
      </c:catAx>
      <c:valAx>
        <c:axId val="10997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14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9</xdr:row>
      <xdr:rowOff>6350</xdr:rowOff>
    </xdr:from>
    <xdr:to>
      <xdr:col>11</xdr:col>
      <xdr:colOff>381000</xdr:colOff>
      <xdr:row>28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CF28A6-2EE9-1B4D-FE99-4E42C2E51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10</xdr:row>
      <xdr:rowOff>88900</xdr:rowOff>
    </xdr:from>
    <xdr:to>
      <xdr:col>9</xdr:col>
      <xdr:colOff>520700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D97A88-AD03-509C-29D9-7B40C9712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mrat Pal Kaur" refreshedDate="45936.575349884261" createdVersion="8" refreshedVersion="8" minRefreshableVersion="3" recordCount="468" xr:uid="{8263D520-C5FB-9E47-A1ED-DFF1D5016798}">
  <cacheSource type="worksheet">
    <worksheetSource ref="A2:P470" sheet="Integrated data"/>
  </cacheSource>
  <cacheFields count="14">
    <cacheField name="State" numFmtId="0">
      <sharedItems/>
    </cacheField>
    <cacheField name="Year" numFmtId="0">
      <sharedItems containsSemiMixedTypes="0" containsString="0" containsNumber="1" containsInteger="1" minValue="2009" maxValue="2017"/>
    </cacheField>
    <cacheField name="Combined key" numFmtId="0">
      <sharedItems/>
    </cacheField>
    <cacheField name="&lt; 5 years" numFmtId="0">
      <sharedItems containsSemiMixedTypes="0" containsString="0" containsNumber="1" minValue="58" maxValue="155"/>
    </cacheField>
    <cacheField name="5-14 years" numFmtId="0">
      <sharedItems containsSemiMixedTypes="0" containsString="0" containsNumber="1" minValue="22" maxValue="87"/>
    </cacheField>
    <cacheField name="15-24 years" numFmtId="0">
      <sharedItems containsSemiMixedTypes="0" containsString="0" containsNumber="1" minValue="28" maxValue="85"/>
    </cacheField>
    <cacheField name="25-34 years" numFmtId="0">
      <sharedItems containsSemiMixedTypes="0" containsString="0" containsNumber="1" minValue="29" maxValue="117"/>
    </cacheField>
    <cacheField name="35-44 years" numFmtId="0">
      <sharedItems containsSemiMixedTypes="0" containsString="0" containsNumber="1" minValue="23" maxValue="186"/>
    </cacheField>
    <cacheField name="45-54 years" numFmtId="0">
      <sharedItems containsSemiMixedTypes="0" containsString="0" containsNumber="1" minValue="25" maxValue="346"/>
    </cacheField>
    <cacheField name="55-64 years" numFmtId="0">
      <sharedItems containsSemiMixedTypes="0" containsString="0" containsNumber="1" minValue="29" maxValue="589"/>
    </cacheField>
    <cacheField name="65-74 years" numFmtId="0">
      <sharedItems containsSemiMixedTypes="0" containsString="0" containsNumber="1" minValue="21" maxValue="930"/>
    </cacheField>
    <cacheField name="75-84 years" numFmtId="0">
      <sharedItems containsSemiMixedTypes="0" containsString="0" containsNumber="1" minValue="24" maxValue="1633"/>
    </cacheField>
    <cacheField name="85+ years" numFmtId="0">
      <sharedItems containsSemiMixedTypes="0" containsString="0" containsNumber="1" minValue="26" maxValue="3264"/>
    </cacheField>
    <cacheField name="Total Deaths" numFmtId="0">
      <sharedItems containsSemiMixedTypes="0" containsString="0" containsNumber="1" minValue="498" maxValue="66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mrat Pal Kaur" refreshedDate="45936.613666203702" createdVersion="8" refreshedVersion="8" minRefreshableVersion="3" recordCount="468" xr:uid="{77C5CA1B-186F-3B4C-AC58-75604FBC4AAC}">
  <cacheSource type="worksheet">
    <worksheetSource ref="Q2:AA470" sheet="Integrated data"/>
  </cacheSource>
  <cacheFields count="11">
    <cacheField name="&lt; 5 years" numFmtId="164">
      <sharedItems containsSemiMixedTypes="0" containsString="0" containsNumber="1" minValue="25489.142999999996" maxValue="2706816.1960000009"/>
    </cacheField>
    <cacheField name="5-14 years" numFmtId="164">
      <sharedItems containsSemiMixedTypes="0" containsString="0" containsNumber="1" minValue="52027.164000000004" maxValue="5123024.9670000002"/>
    </cacheField>
    <cacheField name="15-24 years" numFmtId="164">
      <sharedItems containsSemiMixedTypes="0" containsString="0" containsNumber="1" minValue="70389.62" maxValue="5609051.987999999"/>
    </cacheField>
    <cacheField name="25-34 years" numFmtId="164">
      <sharedItems containsSemiMixedTypes="0" containsString="0" containsNumber="1" minValue="59504.741999999991" maxValue="5792865"/>
    </cacheField>
    <cacheField name="35-44 years" numFmtId="164">
      <sharedItems containsSemiMixedTypes="0" containsString="0" containsNumber="1" minValue="61516.443999999996" maxValue="5353470.8099999996"/>
    </cacheField>
    <cacheField name="45-54 years" numFmtId="164">
      <sharedItems containsSemiMixedTypes="0" containsString="0" containsNumber="1" minValue="68859.576000000001" maxValue="5282260.0699999975"/>
    </cacheField>
    <cacheField name="55-64 years" numFmtId="164">
      <sharedItems containsSemiMixedTypes="0" containsString="0" containsNumber="1" minValue="61507.877999999997" maxValue="4573860"/>
    </cacheField>
    <cacheField name="65-74 years" numFmtId="164">
      <sharedItems containsSemiMixedTypes="0" containsString="0" containsNumber="1" minValue="33323.114999999998" maxValue="2930983"/>
    </cacheField>
    <cacheField name="75-84 years" numFmtId="164">
      <sharedItems containsSemiMixedTypes="0" containsString="0" containsNumber="1" minValue="14680.168" maxValue="1498514"/>
    </cacheField>
    <cacheField name="Under 85 year" numFmtId="164">
      <sharedItems containsSemiMixedTypes="0" containsString="0" containsNumber="1" minValue="498903.40700000001" maxValue="38165856.182000004"/>
    </cacheField>
    <cacheField name="85+ years" numFmtId="164">
      <sharedItems containsSemiMixedTypes="0" containsString="0" containsNumber="1" minValue="4467.2799999999988" maxValue="6855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8">
  <r>
    <s v=" Alabama"/>
    <n v="2009"/>
    <s v="Alabama,2009"/>
    <n v="86"/>
    <n v="55"/>
    <n v="69"/>
    <n v="53"/>
    <n v="68"/>
    <n v="60"/>
    <n v="73"/>
    <n v="110"/>
    <n v="261"/>
    <n v="356"/>
    <n v="1191"/>
  </r>
  <r>
    <s v=" Alabama"/>
    <n v="2010"/>
    <s v="Alabama,2010"/>
    <n v="131"/>
    <n v="62"/>
    <n v="63"/>
    <n v="38"/>
    <n v="55"/>
    <n v="57"/>
    <n v="73"/>
    <n v="157"/>
    <n v="263"/>
    <n v="348"/>
    <n v="1247"/>
  </r>
  <r>
    <s v=" Alabama"/>
    <n v="2011"/>
    <s v="Alabama,2011"/>
    <n v="95"/>
    <n v="55"/>
    <n v="63"/>
    <n v="47"/>
    <n v="42"/>
    <n v="57"/>
    <n v="80"/>
    <n v="130"/>
    <n v="292"/>
    <n v="348"/>
    <n v="1209"/>
  </r>
  <r>
    <s v=" Alabama"/>
    <n v="2012"/>
    <s v="Alabama,2012"/>
    <n v="101"/>
    <n v="49"/>
    <n v="35"/>
    <n v="64"/>
    <n v="44"/>
    <n v="59"/>
    <n v="62"/>
    <n v="123"/>
    <n v="270"/>
    <n v="358"/>
    <n v="1165"/>
  </r>
  <r>
    <s v=" Alabama"/>
    <n v="2013"/>
    <s v="Alabama,2013"/>
    <n v="101"/>
    <n v="60"/>
    <n v="53"/>
    <n v="47"/>
    <n v="59"/>
    <n v="51"/>
    <n v="109"/>
    <n v="135"/>
    <n v="283"/>
    <n v="381"/>
    <n v="1279"/>
  </r>
  <r>
    <s v=" Alabama"/>
    <n v="2014"/>
    <s v="Alabama,2014"/>
    <n v="106"/>
    <n v="56"/>
    <n v="46"/>
    <n v="72"/>
    <n v="85"/>
    <n v="85"/>
    <n v="78"/>
    <n v="181"/>
    <n v="261"/>
    <n v="345"/>
    <n v="1315"/>
  </r>
  <r>
    <s v=" Alabama"/>
    <n v="2015"/>
    <s v="Alabama,2015"/>
    <n v="109"/>
    <n v="46"/>
    <n v="35"/>
    <n v="48"/>
    <n v="62"/>
    <n v="43"/>
    <n v="124"/>
    <n v="203"/>
    <n v="308"/>
    <n v="381"/>
    <n v="1359"/>
  </r>
  <r>
    <s v=" Alabama"/>
    <n v="2016"/>
    <s v="Alabama,2016"/>
    <n v="92"/>
    <n v="69"/>
    <n v="68"/>
    <n v="52"/>
    <n v="58"/>
    <n v="66"/>
    <n v="119"/>
    <n v="191"/>
    <n v="277"/>
    <n v="289"/>
    <n v="1281"/>
  </r>
  <r>
    <s v=" Alabama"/>
    <n v="2017"/>
    <s v="Alabama,2017"/>
    <n v="94"/>
    <n v="60"/>
    <n v="62"/>
    <n v="59"/>
    <n v="58"/>
    <n v="61"/>
    <n v="112"/>
    <n v="227"/>
    <n v="338"/>
    <n v="375"/>
    <n v="1446"/>
  </r>
  <r>
    <s v=" Alaska"/>
    <n v="2009"/>
    <s v="Alaska,2009"/>
    <n v="121"/>
    <n v="47"/>
    <n v="60"/>
    <n v="73"/>
    <n v="32"/>
    <n v="40"/>
    <n v="62"/>
    <n v="58"/>
    <n v="53"/>
    <n v="69"/>
    <n v="615"/>
  </r>
  <r>
    <s v=" Alaska"/>
    <n v="2010"/>
    <s v="Alaska,2010"/>
    <n v="120"/>
    <n v="49"/>
    <n v="64"/>
    <n v="56"/>
    <n v="70"/>
    <n v="66"/>
    <n v="44"/>
    <n v="54"/>
    <n v="44"/>
    <n v="71"/>
    <n v="638"/>
  </r>
  <r>
    <s v=" Alaska"/>
    <n v="2011"/>
    <s v="Alaska,2011"/>
    <n v="93"/>
    <n v="39"/>
    <n v="46"/>
    <n v="65"/>
    <n v="57"/>
    <n v="62"/>
    <n v="65"/>
    <n v="44"/>
    <n v="58"/>
    <n v="65"/>
    <n v="594"/>
  </r>
  <r>
    <s v=" Alaska"/>
    <n v="2012"/>
    <s v="Alaska,2012"/>
    <n v="110"/>
    <n v="52"/>
    <n v="57"/>
    <n v="63"/>
    <n v="68"/>
    <n v="43"/>
    <n v="56"/>
    <n v="48"/>
    <n v="59"/>
    <n v="62"/>
    <n v="618"/>
  </r>
  <r>
    <s v=" Alaska"/>
    <n v="2013"/>
    <s v="Alaska,2013"/>
    <n v="97"/>
    <n v="43"/>
    <n v="45"/>
    <n v="50"/>
    <n v="62"/>
    <n v="68"/>
    <n v="66"/>
    <n v="53"/>
    <n v="50"/>
    <n v="64"/>
    <n v="598"/>
  </r>
  <r>
    <s v=" Alaska"/>
    <n v="2014"/>
    <s v="Alaska,2014"/>
    <n v="103"/>
    <n v="50"/>
    <n v="52"/>
    <n v="57"/>
    <n v="57"/>
    <n v="67"/>
    <n v="60"/>
    <n v="51"/>
    <n v="54"/>
    <n v="54"/>
    <n v="605"/>
  </r>
  <r>
    <s v=" Alaska"/>
    <n v="2015"/>
    <s v="Alaska,2015"/>
    <n v="105"/>
    <n v="45"/>
    <n v="47"/>
    <n v="68"/>
    <n v="61"/>
    <n v="67"/>
    <n v="45"/>
    <n v="59"/>
    <n v="51"/>
    <n v="66"/>
    <n v="614"/>
  </r>
  <r>
    <s v=" Alaska"/>
    <n v="2016"/>
    <s v="Alaska,2016"/>
    <n v="134"/>
    <n v="63"/>
    <n v="46"/>
    <n v="49"/>
    <n v="47"/>
    <n v="56"/>
    <n v="55"/>
    <n v="64"/>
    <n v="49"/>
    <n v="38"/>
    <n v="601"/>
  </r>
  <r>
    <s v=" Alaska"/>
    <n v="2017"/>
    <s v="Alaska,2017"/>
    <n v="129"/>
    <n v="54"/>
    <n v="48"/>
    <n v="59"/>
    <n v="47"/>
    <n v="54"/>
    <n v="64"/>
    <n v="59"/>
    <n v="56"/>
    <n v="43"/>
    <n v="613"/>
  </r>
  <r>
    <s v=" Arizona"/>
    <n v="2009"/>
    <s v="Arizona,2009"/>
    <n v="124"/>
    <n v="56"/>
    <n v="54"/>
    <n v="57"/>
    <n v="69"/>
    <n v="59"/>
    <n v="77"/>
    <n v="160"/>
    <n v="278"/>
    <n v="350"/>
    <n v="1284"/>
  </r>
  <r>
    <s v=" Arizona"/>
    <n v="2010"/>
    <s v="Arizona,2010"/>
    <n v="94"/>
    <n v="51"/>
    <n v="67"/>
    <n v="51"/>
    <n v="38"/>
    <n v="50"/>
    <n v="64"/>
    <n v="89"/>
    <n v="216"/>
    <n v="295"/>
    <n v="1015"/>
  </r>
  <r>
    <s v=" Arizona"/>
    <n v="2011"/>
    <s v="Arizona,2011"/>
    <n v="128"/>
    <n v="45"/>
    <n v="43"/>
    <n v="62"/>
    <n v="57"/>
    <n v="72"/>
    <n v="71"/>
    <n v="107"/>
    <n v="192"/>
    <n v="269"/>
    <n v="1046"/>
  </r>
  <r>
    <s v=" Arizona"/>
    <n v="2012"/>
    <s v="Arizona,2012"/>
    <n v="119"/>
    <n v="59"/>
    <n v="43"/>
    <n v="65"/>
    <n v="58"/>
    <n v="59"/>
    <n v="65"/>
    <n v="82"/>
    <n v="206"/>
    <n v="273"/>
    <n v="1029"/>
  </r>
  <r>
    <s v=" Arizona"/>
    <n v="2013"/>
    <s v="Arizona,2013"/>
    <n v="96"/>
    <n v="67"/>
    <n v="61"/>
    <n v="65"/>
    <n v="67"/>
    <n v="50"/>
    <n v="53"/>
    <n v="78"/>
    <n v="197"/>
    <n v="348"/>
    <n v="1082"/>
  </r>
  <r>
    <s v=" Arizona"/>
    <n v="2014"/>
    <s v="Arizona,2014"/>
    <n v="123"/>
    <n v="55"/>
    <n v="70"/>
    <n v="56"/>
    <n v="54"/>
    <n v="55"/>
    <n v="62"/>
    <n v="122"/>
    <n v="185"/>
    <n v="270"/>
    <n v="1052"/>
  </r>
  <r>
    <s v=" Arizona"/>
    <n v="2015"/>
    <s v="Arizona,2015"/>
    <n v="127"/>
    <n v="42"/>
    <n v="52"/>
    <n v="57"/>
    <n v="56"/>
    <n v="60"/>
    <n v="58"/>
    <n v="105"/>
    <n v="207"/>
    <n v="321"/>
    <n v="1085"/>
  </r>
  <r>
    <s v=" Arizona"/>
    <n v="2016"/>
    <s v="Arizona,2016"/>
    <n v="101"/>
    <n v="64"/>
    <n v="57"/>
    <n v="50"/>
    <n v="43"/>
    <n v="80"/>
    <n v="104"/>
    <n v="157"/>
    <n v="213"/>
    <n v="299"/>
    <n v="1168"/>
  </r>
  <r>
    <s v=" Arizona"/>
    <n v="2017"/>
    <s v="Arizona,2017"/>
    <n v="116"/>
    <n v="43"/>
    <n v="58"/>
    <n v="64"/>
    <n v="59"/>
    <n v="46"/>
    <n v="88"/>
    <n v="136"/>
    <n v="218"/>
    <n v="339"/>
    <n v="1167"/>
  </r>
  <r>
    <s v=" Arkansas"/>
    <n v="2009"/>
    <s v="Arkansas,2009"/>
    <n v="103"/>
    <n v="50"/>
    <n v="46"/>
    <n v="53"/>
    <n v="69"/>
    <n v="57"/>
    <n v="62"/>
    <n v="55"/>
    <n v="198"/>
    <n v="288"/>
    <n v="981"/>
  </r>
  <r>
    <s v=" Arkansas"/>
    <n v="2010"/>
    <s v="Arkansas,2010"/>
    <n v="97"/>
    <n v="55"/>
    <n v="54"/>
    <n v="49"/>
    <n v="49"/>
    <n v="56"/>
    <n v="54"/>
    <n v="70"/>
    <n v="178"/>
    <n v="263"/>
    <n v="925"/>
  </r>
  <r>
    <s v=" Arkansas"/>
    <n v="2011"/>
    <s v="Arkansas,2011"/>
    <n v="125"/>
    <n v="56"/>
    <n v="45"/>
    <n v="50"/>
    <n v="62"/>
    <n v="62"/>
    <n v="57"/>
    <n v="77"/>
    <n v="195"/>
    <n v="343"/>
    <n v="1072"/>
  </r>
  <r>
    <s v=" Arkansas"/>
    <n v="2012"/>
    <s v="Arkansas,2012"/>
    <n v="115"/>
    <n v="52"/>
    <n v="53"/>
    <n v="64"/>
    <n v="62"/>
    <n v="63"/>
    <n v="80"/>
    <n v="80"/>
    <n v="160"/>
    <n v="353"/>
    <n v="1082"/>
  </r>
  <r>
    <s v=" Arkansas"/>
    <n v="2013"/>
    <s v="Arkansas,2013"/>
    <n v="119"/>
    <n v="77"/>
    <n v="65"/>
    <n v="56"/>
    <n v="55"/>
    <n v="59"/>
    <n v="61"/>
    <n v="141"/>
    <n v="183"/>
    <n v="335"/>
    <n v="1151"/>
  </r>
  <r>
    <s v=" Arkansas"/>
    <n v="2014"/>
    <s v="Arkansas,2014"/>
    <n v="107"/>
    <n v="45"/>
    <n v="55"/>
    <n v="57"/>
    <n v="49"/>
    <n v="48"/>
    <n v="91"/>
    <n v="87"/>
    <n v="176"/>
    <n v="260"/>
    <n v="975"/>
  </r>
  <r>
    <s v=" Arkansas"/>
    <n v="2015"/>
    <s v="Arkansas,2015"/>
    <n v="81"/>
    <n v="62"/>
    <n v="60"/>
    <n v="33"/>
    <n v="52"/>
    <n v="56"/>
    <n v="63"/>
    <n v="105"/>
    <n v="185"/>
    <n v="268"/>
    <n v="965"/>
  </r>
  <r>
    <s v=" Arkansas"/>
    <n v="2016"/>
    <s v="Arkansas,2016"/>
    <n v="99"/>
    <n v="44"/>
    <n v="51"/>
    <n v="35"/>
    <n v="53"/>
    <n v="55"/>
    <n v="48"/>
    <n v="119"/>
    <n v="164"/>
    <n v="239"/>
    <n v="907"/>
  </r>
  <r>
    <s v=" Arkansas"/>
    <n v="2017"/>
    <s v="Arkansas,2017"/>
    <n v="101"/>
    <n v="55"/>
    <n v="53"/>
    <n v="54"/>
    <n v="42"/>
    <n v="48"/>
    <n v="70"/>
    <n v="117"/>
    <n v="220"/>
    <n v="240"/>
    <n v="1000"/>
  </r>
  <r>
    <s v=" California"/>
    <n v="2009"/>
    <s v="California,2009"/>
    <n v="82"/>
    <n v="56"/>
    <n v="58"/>
    <n v="117"/>
    <n v="186"/>
    <n v="346"/>
    <n v="436"/>
    <n v="708"/>
    <n v="1633"/>
    <n v="2856"/>
    <n v="6478"/>
  </r>
  <r>
    <s v=" California"/>
    <n v="2010"/>
    <s v="California,2010"/>
    <n v="139"/>
    <n v="61"/>
    <n v="66"/>
    <n v="65"/>
    <n v="71"/>
    <n v="143"/>
    <n v="351"/>
    <n v="695"/>
    <n v="1579"/>
    <n v="2955"/>
    <n v="6125"/>
  </r>
  <r>
    <s v=" California"/>
    <n v="2011"/>
    <s v="California,2011"/>
    <n v="77"/>
    <n v="57"/>
    <n v="61"/>
    <n v="74"/>
    <n v="88"/>
    <n v="215"/>
    <n v="444"/>
    <n v="671"/>
    <n v="1617"/>
    <n v="3050"/>
    <n v="6354"/>
  </r>
  <r>
    <s v=" California"/>
    <n v="2012"/>
    <s v="California,2012"/>
    <n v="115"/>
    <n v="57"/>
    <n v="47"/>
    <n v="63"/>
    <n v="70"/>
    <n v="161"/>
    <n v="412"/>
    <n v="738"/>
    <n v="1443"/>
    <n v="2938"/>
    <n v="6044"/>
  </r>
  <r>
    <s v=" California"/>
    <n v="2013"/>
    <s v="California,2013"/>
    <n v="101"/>
    <n v="48"/>
    <n v="44"/>
    <n v="54"/>
    <n v="65"/>
    <n v="179"/>
    <n v="501"/>
    <n v="828"/>
    <n v="1602"/>
    <n v="3264"/>
    <n v="6686"/>
  </r>
  <r>
    <s v=" California"/>
    <n v="2014"/>
    <s v="California,2014"/>
    <n v="111"/>
    <n v="44"/>
    <n v="57"/>
    <n v="82"/>
    <n v="130"/>
    <n v="260"/>
    <n v="589"/>
    <n v="800"/>
    <n v="1450"/>
    <n v="2638"/>
    <n v="6161"/>
  </r>
  <r>
    <s v=" California"/>
    <n v="2015"/>
    <s v="California,2015"/>
    <n v="125"/>
    <n v="56"/>
    <n v="56"/>
    <n v="71"/>
    <n v="66"/>
    <n v="174"/>
    <n v="441"/>
    <n v="869"/>
    <n v="1537"/>
    <n v="3017"/>
    <n v="6412"/>
  </r>
  <r>
    <s v=" California"/>
    <n v="2016"/>
    <s v="California,2016"/>
    <n v="116"/>
    <n v="41"/>
    <n v="64"/>
    <n v="54"/>
    <n v="77"/>
    <n v="181"/>
    <n v="511"/>
    <n v="921"/>
    <n v="1439"/>
    <n v="2725"/>
    <n v="6129"/>
  </r>
  <r>
    <s v=" California"/>
    <n v="2017"/>
    <s v="California,2017"/>
    <n v="101"/>
    <n v="59"/>
    <n v="66"/>
    <n v="57"/>
    <n v="74"/>
    <n v="168"/>
    <n v="503"/>
    <n v="930"/>
    <n v="1595"/>
    <n v="2985"/>
    <n v="6538"/>
  </r>
  <r>
    <s v=" Colorado"/>
    <n v="2009"/>
    <s v="Colorado,2009"/>
    <n v="83"/>
    <n v="45"/>
    <n v="64"/>
    <n v="45"/>
    <n v="69"/>
    <n v="54"/>
    <n v="79"/>
    <n v="54"/>
    <n v="152"/>
    <n v="266"/>
    <n v="911"/>
  </r>
  <r>
    <s v=" Colorado"/>
    <n v="2010"/>
    <s v="Colorado,2010"/>
    <n v="91"/>
    <n v="52"/>
    <n v="56"/>
    <n v="57"/>
    <n v="43"/>
    <n v="61"/>
    <n v="46"/>
    <n v="48"/>
    <n v="133"/>
    <n v="260"/>
    <n v="847"/>
  </r>
  <r>
    <s v=" Colorado"/>
    <n v="2011"/>
    <s v="Colorado,2011"/>
    <n v="111"/>
    <n v="39"/>
    <n v="36"/>
    <n v="57"/>
    <n v="53"/>
    <n v="68"/>
    <n v="70"/>
    <n v="66"/>
    <n v="128"/>
    <n v="272"/>
    <n v="900"/>
  </r>
  <r>
    <s v=" Colorado"/>
    <n v="2012"/>
    <s v="Colorado,2012"/>
    <n v="77"/>
    <n v="75"/>
    <n v="33"/>
    <n v="45"/>
    <n v="55"/>
    <n v="50"/>
    <n v="32"/>
    <n v="44"/>
    <n v="129"/>
    <n v="254"/>
    <n v="794"/>
  </r>
  <r>
    <s v=" Colorado"/>
    <n v="2013"/>
    <s v="Colorado,2013"/>
    <n v="96"/>
    <n v="57"/>
    <n v="55"/>
    <n v="71"/>
    <n v="74"/>
    <n v="52"/>
    <n v="76"/>
    <n v="70"/>
    <n v="109"/>
    <n v="280"/>
    <n v="940"/>
  </r>
  <r>
    <s v=" Colorado"/>
    <n v="2014"/>
    <s v="Colorado,2014"/>
    <n v="117"/>
    <n v="56"/>
    <n v="55"/>
    <n v="63"/>
    <n v="50"/>
    <n v="64"/>
    <n v="71"/>
    <n v="101"/>
    <n v="130"/>
    <n v="286"/>
    <n v="993"/>
  </r>
  <r>
    <s v=" Colorado"/>
    <n v="2015"/>
    <s v="Colorado,2015"/>
    <n v="85"/>
    <n v="71"/>
    <n v="55"/>
    <n v="60"/>
    <n v="50"/>
    <n v="61"/>
    <n v="63"/>
    <n v="52"/>
    <n v="146"/>
    <n v="302"/>
    <n v="945"/>
  </r>
  <r>
    <s v=" Colorado"/>
    <n v="2016"/>
    <s v="Colorado,2016"/>
    <n v="123"/>
    <n v="56"/>
    <n v="45"/>
    <n v="55"/>
    <n v="61"/>
    <n v="61"/>
    <n v="60"/>
    <n v="57"/>
    <n v="104"/>
    <n v="236"/>
    <n v="858"/>
  </r>
  <r>
    <s v=" Colorado"/>
    <n v="2017"/>
    <s v="Colorado,2017"/>
    <n v="105"/>
    <n v="61"/>
    <n v="35"/>
    <n v="69"/>
    <n v="65"/>
    <n v="55"/>
    <n v="86"/>
    <n v="74"/>
    <n v="99"/>
    <n v="242"/>
    <n v="891"/>
  </r>
  <r>
    <s v=" Connecticut"/>
    <n v="2009"/>
    <s v="Connecticut,2009"/>
    <n v="85"/>
    <n v="45"/>
    <n v="62"/>
    <n v="46"/>
    <n v="23"/>
    <n v="42"/>
    <n v="67"/>
    <n v="62"/>
    <n v="175"/>
    <n v="364"/>
    <n v="971"/>
  </r>
  <r>
    <s v=" Connecticut"/>
    <n v="2010"/>
    <s v="Connecticut,2010"/>
    <n v="105"/>
    <n v="70"/>
    <n v="48"/>
    <n v="62"/>
    <n v="40"/>
    <n v="39"/>
    <n v="50"/>
    <n v="68"/>
    <n v="125"/>
    <n v="339"/>
    <n v="946"/>
  </r>
  <r>
    <s v=" Connecticut"/>
    <n v="2011"/>
    <s v="Connecticut,2011"/>
    <n v="110"/>
    <n v="49"/>
    <n v="56"/>
    <n v="43"/>
    <n v="60"/>
    <n v="49"/>
    <n v="50"/>
    <n v="41"/>
    <n v="140"/>
    <n v="415"/>
    <n v="1013"/>
  </r>
  <r>
    <s v=" Connecticut"/>
    <n v="2012"/>
    <s v="Connecticut,2012"/>
    <n v="126"/>
    <n v="56"/>
    <n v="54"/>
    <n v="54"/>
    <n v="48"/>
    <n v="49"/>
    <n v="67"/>
    <n v="38"/>
    <n v="136"/>
    <n v="317"/>
    <n v="945"/>
  </r>
  <r>
    <s v=" Connecticut"/>
    <n v="2013"/>
    <s v="Connecticut,2013"/>
    <n v="106"/>
    <n v="47"/>
    <n v="56"/>
    <n v="44"/>
    <n v="57"/>
    <n v="44"/>
    <n v="54"/>
    <n v="75"/>
    <n v="113"/>
    <n v="377"/>
    <n v="973"/>
  </r>
  <r>
    <s v=" Connecticut"/>
    <n v="2014"/>
    <s v="Connecticut,2014"/>
    <n v="107"/>
    <n v="57"/>
    <n v="55"/>
    <n v="54"/>
    <n v="74"/>
    <n v="28"/>
    <n v="41"/>
    <n v="86"/>
    <n v="122"/>
    <n v="364"/>
    <n v="988"/>
  </r>
  <r>
    <s v=" Connecticut"/>
    <n v="2015"/>
    <s v="Connecticut,2015"/>
    <n v="114"/>
    <n v="54"/>
    <n v="42"/>
    <n v="53"/>
    <n v="61"/>
    <n v="49"/>
    <n v="57"/>
    <n v="63"/>
    <n v="150"/>
    <n v="397"/>
    <n v="1040"/>
  </r>
  <r>
    <s v=" Connecticut"/>
    <n v="2016"/>
    <s v="Connecticut,2016"/>
    <n v="93"/>
    <n v="67"/>
    <n v="49"/>
    <n v="52"/>
    <n v="51"/>
    <n v="51"/>
    <n v="56"/>
    <n v="65"/>
    <n v="113"/>
    <n v="307"/>
    <n v="904"/>
  </r>
  <r>
    <s v=" Connecticut"/>
    <n v="2017"/>
    <s v="Connecticut,2017"/>
    <n v="86"/>
    <n v="64"/>
    <n v="56"/>
    <n v="84"/>
    <n v="68"/>
    <n v="61"/>
    <n v="47"/>
    <n v="72"/>
    <n v="122"/>
    <n v="389"/>
    <n v="1049"/>
  </r>
  <r>
    <s v=" Delaware"/>
    <n v="2009"/>
    <s v="Delaware,2009"/>
    <n v="105"/>
    <n v="68"/>
    <n v="46"/>
    <n v="41"/>
    <n v="50"/>
    <n v="51"/>
    <n v="40"/>
    <n v="48"/>
    <n v="53"/>
    <n v="57"/>
    <n v="559"/>
  </r>
  <r>
    <s v=" Delaware"/>
    <n v="2010"/>
    <s v="Delaware,2010"/>
    <n v="114"/>
    <n v="57"/>
    <n v="54"/>
    <n v="69"/>
    <n v="55"/>
    <n v="35"/>
    <n v="52"/>
    <n v="49"/>
    <n v="38"/>
    <n v="49"/>
    <n v="572"/>
  </r>
  <r>
    <s v=" Delaware"/>
    <n v="2011"/>
    <s v="Delaware,2011"/>
    <n v="81"/>
    <n v="50"/>
    <n v="59"/>
    <n v="67"/>
    <n v="35"/>
    <n v="49"/>
    <n v="72"/>
    <n v="50"/>
    <n v="71"/>
    <n v="66"/>
    <n v="600"/>
  </r>
  <r>
    <s v=" Delaware"/>
    <n v="2012"/>
    <s v="Delaware,2012"/>
    <n v="90"/>
    <n v="45"/>
    <n v="65"/>
    <n v="59"/>
    <n v="52"/>
    <n v="56"/>
    <n v="48"/>
    <n v="56"/>
    <n v="64"/>
    <n v="74"/>
    <n v="609"/>
  </r>
  <r>
    <s v=" Delaware"/>
    <n v="2013"/>
    <s v="Delaware,2013"/>
    <n v="97"/>
    <n v="69"/>
    <n v="39"/>
    <n v="62"/>
    <n v="51"/>
    <n v="41"/>
    <n v="53"/>
    <n v="57"/>
    <n v="55"/>
    <n v="64"/>
    <n v="588"/>
  </r>
  <r>
    <s v=" Delaware"/>
    <n v="2014"/>
    <s v="Delaware,2014"/>
    <n v="137"/>
    <n v="45"/>
    <n v="44"/>
    <n v="43"/>
    <n v="57"/>
    <n v="50"/>
    <n v="55"/>
    <n v="63"/>
    <n v="46"/>
    <n v="63"/>
    <n v="603"/>
  </r>
  <r>
    <s v=" Delaware"/>
    <n v="2015"/>
    <s v="Delaware,2015"/>
    <n v="90"/>
    <n v="49"/>
    <n v="63"/>
    <n v="61"/>
    <n v="57"/>
    <n v="42"/>
    <n v="52"/>
    <n v="69"/>
    <n v="63"/>
    <n v="66"/>
    <n v="612"/>
  </r>
  <r>
    <s v=" Delaware"/>
    <n v="2016"/>
    <s v="Delaware,2016"/>
    <n v="121"/>
    <n v="58"/>
    <n v="46"/>
    <n v="50"/>
    <n v="55"/>
    <n v="71"/>
    <n v="43"/>
    <n v="60"/>
    <n v="59"/>
    <n v="71"/>
    <n v="634"/>
  </r>
  <r>
    <s v=" Delaware"/>
    <n v="2017"/>
    <s v="Delaware,2017"/>
    <n v="117"/>
    <n v="50"/>
    <n v="52"/>
    <n v="54"/>
    <n v="62"/>
    <n v="55"/>
    <n v="50"/>
    <n v="58"/>
    <n v="60"/>
    <n v="65"/>
    <n v="623"/>
  </r>
  <r>
    <s v=" District of Columbia"/>
    <n v="2009"/>
    <s v="District of Columbia,2009"/>
    <n v="106"/>
    <n v="60"/>
    <n v="45"/>
    <n v="50"/>
    <n v="49"/>
    <n v="62"/>
    <n v="40"/>
    <n v="45"/>
    <n v="66"/>
    <n v="76"/>
    <n v="599"/>
  </r>
  <r>
    <s v=" District of Columbia"/>
    <n v="2010"/>
    <s v="District of Columbia,2010"/>
    <n v="85"/>
    <n v="51"/>
    <n v="57"/>
    <n v="60"/>
    <n v="66"/>
    <n v="63"/>
    <n v="57"/>
    <n v="60"/>
    <n v="48"/>
    <n v="42"/>
    <n v="589"/>
  </r>
  <r>
    <s v=" District of Columbia"/>
    <n v="2011"/>
    <s v="District of Columbia,2011"/>
    <n v="95"/>
    <n v="62"/>
    <n v="54"/>
    <n v="32"/>
    <n v="47"/>
    <n v="40"/>
    <n v="45"/>
    <n v="55"/>
    <n v="40"/>
    <n v="67"/>
    <n v="537"/>
  </r>
  <r>
    <s v=" District of Columbia"/>
    <n v="2012"/>
    <s v="District of Columbia,2012"/>
    <n v="117"/>
    <n v="66"/>
    <n v="57"/>
    <n v="60"/>
    <n v="65"/>
    <n v="52"/>
    <n v="48"/>
    <n v="60"/>
    <n v="58"/>
    <n v="59"/>
    <n v="642"/>
  </r>
  <r>
    <s v=" District of Columbia"/>
    <n v="2013"/>
    <s v="District of Columbia,2013"/>
    <n v="118"/>
    <n v="52"/>
    <n v="48"/>
    <n v="66"/>
    <n v="50"/>
    <n v="69"/>
    <n v="51"/>
    <n v="31"/>
    <n v="67"/>
    <n v="64"/>
    <n v="616"/>
  </r>
  <r>
    <s v=" District of Columbia"/>
    <n v="2014"/>
    <s v="District of Columbia,2014"/>
    <n v="119"/>
    <n v="68"/>
    <n v="47"/>
    <n v="48"/>
    <n v="46"/>
    <n v="44"/>
    <n v="71"/>
    <n v="53"/>
    <n v="51"/>
    <n v="44"/>
    <n v="591"/>
  </r>
  <r>
    <s v=" District of Columbia"/>
    <n v="2015"/>
    <s v="District of Columbia,2015"/>
    <n v="99"/>
    <n v="45"/>
    <n v="42"/>
    <n v="46"/>
    <n v="51"/>
    <n v="42"/>
    <n v="54"/>
    <n v="50"/>
    <n v="56"/>
    <n v="67"/>
    <n v="552"/>
  </r>
  <r>
    <s v=" District of Columbia"/>
    <n v="2016"/>
    <s v="District of Columbia,2016"/>
    <n v="119"/>
    <n v="55"/>
    <n v="45"/>
    <n v="46"/>
    <n v="45"/>
    <n v="52"/>
    <n v="53"/>
    <n v="57"/>
    <n v="52"/>
    <n v="44"/>
    <n v="568"/>
  </r>
  <r>
    <s v=" District of Columbia"/>
    <n v="2017"/>
    <s v="District of Columbia,2017"/>
    <n v="127"/>
    <n v="48"/>
    <n v="54"/>
    <n v="67"/>
    <n v="53"/>
    <n v="57"/>
    <n v="50"/>
    <n v="51"/>
    <n v="56"/>
    <n v="58"/>
    <n v="621"/>
  </r>
  <r>
    <s v=" Florida"/>
    <n v="2009"/>
    <s v="Florida,2009"/>
    <n v="102"/>
    <n v="32"/>
    <n v="57"/>
    <n v="78"/>
    <n v="72"/>
    <n v="168"/>
    <n v="201"/>
    <n v="284"/>
    <n v="604"/>
    <n v="973"/>
    <n v="2571"/>
  </r>
  <r>
    <s v=" Florida"/>
    <n v="2010"/>
    <s v="Florida,2010"/>
    <n v="155"/>
    <n v="64"/>
    <n v="56"/>
    <n v="58"/>
    <n v="67"/>
    <n v="101"/>
    <n v="157"/>
    <n v="294"/>
    <n v="648"/>
    <n v="962"/>
    <n v="2562"/>
  </r>
  <r>
    <s v=" Florida"/>
    <n v="2011"/>
    <s v="Florida,2011"/>
    <n v="111"/>
    <n v="51"/>
    <n v="75"/>
    <n v="63"/>
    <n v="68"/>
    <n v="106"/>
    <n v="193"/>
    <n v="327"/>
    <n v="629"/>
    <n v="1078"/>
    <n v="2701"/>
  </r>
  <r>
    <s v=" Florida"/>
    <n v="2012"/>
    <s v="Florida,2012"/>
    <n v="108"/>
    <n v="61"/>
    <n v="50"/>
    <n v="39"/>
    <n v="60"/>
    <n v="81"/>
    <n v="195"/>
    <n v="324"/>
    <n v="606"/>
    <n v="1055"/>
    <n v="2579"/>
  </r>
  <r>
    <s v=" Florida"/>
    <n v="2013"/>
    <s v="Florida,2013"/>
    <n v="104"/>
    <n v="51"/>
    <n v="57"/>
    <n v="40"/>
    <n v="67"/>
    <n v="131"/>
    <n v="278"/>
    <n v="374"/>
    <n v="609"/>
    <n v="1153"/>
    <n v="2864"/>
  </r>
  <r>
    <s v=" Florida"/>
    <n v="2014"/>
    <s v="Florida,2014"/>
    <n v="123"/>
    <n v="39"/>
    <n v="66"/>
    <n v="63"/>
    <n v="87"/>
    <n v="168"/>
    <n v="277"/>
    <n v="388"/>
    <n v="671"/>
    <n v="1084"/>
    <n v="2966"/>
  </r>
  <r>
    <s v=" Florida"/>
    <n v="2015"/>
    <s v="Florida,2015"/>
    <n v="104"/>
    <n v="66"/>
    <n v="68"/>
    <n v="60"/>
    <n v="66"/>
    <n v="91"/>
    <n v="224"/>
    <n v="441"/>
    <n v="733"/>
    <n v="1097"/>
    <n v="2950"/>
  </r>
  <r>
    <s v=" Florida"/>
    <n v="2016"/>
    <s v="Florida,2016"/>
    <n v="109"/>
    <n v="55"/>
    <n v="53"/>
    <n v="48"/>
    <n v="71"/>
    <n v="135"/>
    <n v="274"/>
    <n v="471"/>
    <n v="701"/>
    <n v="1088"/>
    <n v="3005"/>
  </r>
  <r>
    <s v=" Florida"/>
    <n v="2017"/>
    <s v="Florida,2017"/>
    <n v="86"/>
    <n v="58"/>
    <n v="74"/>
    <n v="60"/>
    <n v="64"/>
    <n v="75"/>
    <n v="300"/>
    <n v="516"/>
    <n v="744"/>
    <n v="1294"/>
    <n v="3271"/>
  </r>
  <r>
    <s v=" Georgia"/>
    <n v="2009"/>
    <s v="Georgia,2009"/>
    <n v="96"/>
    <n v="66"/>
    <n v="47"/>
    <n v="59"/>
    <n v="50"/>
    <n v="71"/>
    <n v="130"/>
    <n v="192"/>
    <n v="410"/>
    <n v="562"/>
    <n v="1683"/>
  </r>
  <r>
    <s v=" Georgia"/>
    <n v="2010"/>
    <s v="Georgia,2010"/>
    <n v="120"/>
    <n v="61"/>
    <n v="41"/>
    <n v="51"/>
    <n v="76"/>
    <n v="54"/>
    <n v="107"/>
    <n v="223"/>
    <n v="392"/>
    <n v="557"/>
    <n v="1682"/>
  </r>
  <r>
    <s v=" Georgia"/>
    <n v="2011"/>
    <s v="Georgia,2011"/>
    <n v="113"/>
    <n v="54"/>
    <n v="53"/>
    <n v="56"/>
    <n v="59"/>
    <n v="60"/>
    <n v="147"/>
    <n v="253"/>
    <n v="376"/>
    <n v="544"/>
    <n v="1715"/>
  </r>
  <r>
    <s v=" Georgia"/>
    <n v="2012"/>
    <s v="Georgia,2012"/>
    <n v="76"/>
    <n v="51"/>
    <n v="57"/>
    <n v="59"/>
    <n v="61"/>
    <n v="68"/>
    <n v="134"/>
    <n v="164"/>
    <n v="419"/>
    <n v="533"/>
    <n v="1622"/>
  </r>
  <r>
    <s v=" Georgia"/>
    <n v="2013"/>
    <s v="Georgia,2013"/>
    <n v="128"/>
    <n v="44"/>
    <n v="45"/>
    <n v="56"/>
    <n v="70"/>
    <n v="92"/>
    <n v="138"/>
    <n v="229"/>
    <n v="398"/>
    <n v="531"/>
    <n v="1731"/>
  </r>
  <r>
    <s v=" Georgia"/>
    <n v="2014"/>
    <s v="Georgia,2014"/>
    <n v="96"/>
    <n v="56"/>
    <n v="37"/>
    <n v="50"/>
    <n v="55"/>
    <n v="94"/>
    <n v="194"/>
    <n v="257"/>
    <n v="348"/>
    <n v="528"/>
    <n v="1715"/>
  </r>
  <r>
    <s v=" Georgia"/>
    <n v="2015"/>
    <s v="Georgia,2015"/>
    <n v="118"/>
    <n v="41"/>
    <n v="42"/>
    <n v="40"/>
    <n v="58"/>
    <n v="55"/>
    <n v="168"/>
    <n v="241"/>
    <n v="419"/>
    <n v="499"/>
    <n v="1681"/>
  </r>
  <r>
    <s v=" Georgia"/>
    <n v="2016"/>
    <s v="Georgia,2016"/>
    <n v="124"/>
    <n v="49"/>
    <n v="51"/>
    <n v="57"/>
    <n v="55"/>
    <n v="71"/>
    <n v="194"/>
    <n v="266"/>
    <n v="351"/>
    <n v="451"/>
    <n v="1669"/>
  </r>
  <r>
    <s v=" Georgia"/>
    <n v="2017"/>
    <s v="Georgia,2017"/>
    <n v="103"/>
    <n v="51"/>
    <n v="30"/>
    <n v="60"/>
    <n v="45"/>
    <n v="74"/>
    <n v="157"/>
    <n v="274"/>
    <n v="391"/>
    <n v="452"/>
    <n v="1637"/>
  </r>
  <r>
    <s v=" Hawaii"/>
    <n v="2009"/>
    <s v="Hawaii,2009"/>
    <n v="93"/>
    <n v="57"/>
    <n v="42"/>
    <n v="45"/>
    <n v="55"/>
    <n v="38"/>
    <n v="58"/>
    <n v="52"/>
    <n v="82"/>
    <n v="132"/>
    <n v="654"/>
  </r>
  <r>
    <s v=" Hawaii"/>
    <n v="2010"/>
    <s v="Hawaii,2010"/>
    <n v="124"/>
    <n v="51"/>
    <n v="59"/>
    <n v="73"/>
    <n v="53"/>
    <n v="49"/>
    <n v="45"/>
    <n v="56"/>
    <n v="65"/>
    <n v="133"/>
    <n v="708"/>
  </r>
  <r>
    <s v=" Hawaii"/>
    <n v="2011"/>
    <s v="Hawaii,2011"/>
    <n v="116"/>
    <n v="55"/>
    <n v="44"/>
    <n v="48"/>
    <n v="66"/>
    <n v="38"/>
    <n v="58"/>
    <n v="63"/>
    <n v="62"/>
    <n v="183"/>
    <n v="733"/>
  </r>
  <r>
    <s v=" Hawaii"/>
    <n v="2012"/>
    <s v="Hawaii,2012"/>
    <n v="132"/>
    <n v="62"/>
    <n v="67"/>
    <n v="44"/>
    <n v="45"/>
    <n v="53"/>
    <n v="51"/>
    <n v="65"/>
    <n v="65"/>
    <n v="239"/>
    <n v="823"/>
  </r>
  <r>
    <s v=" Hawaii"/>
    <n v="2013"/>
    <s v="Hawaii,2013"/>
    <n v="148"/>
    <n v="38"/>
    <n v="56"/>
    <n v="51"/>
    <n v="63"/>
    <n v="43"/>
    <n v="58"/>
    <n v="65"/>
    <n v="92"/>
    <n v="252"/>
    <n v="866"/>
  </r>
  <r>
    <s v=" Hawaii"/>
    <n v="2014"/>
    <s v="Hawaii,2014"/>
    <n v="129"/>
    <n v="64"/>
    <n v="47"/>
    <n v="42"/>
    <n v="66"/>
    <n v="75"/>
    <n v="46"/>
    <n v="46"/>
    <n v="92"/>
    <n v="224"/>
    <n v="831"/>
  </r>
  <r>
    <s v=" Hawaii"/>
    <n v="2015"/>
    <s v="Hawaii,2015"/>
    <n v="102"/>
    <n v="31"/>
    <n v="44"/>
    <n v="46"/>
    <n v="34"/>
    <n v="43"/>
    <n v="67"/>
    <n v="21"/>
    <n v="88"/>
    <n v="326"/>
    <n v="802"/>
  </r>
  <r>
    <s v=" Hawaii"/>
    <n v="2016"/>
    <s v="Hawaii,2016"/>
    <n v="99"/>
    <n v="62"/>
    <n v="62"/>
    <n v="73"/>
    <n v="59"/>
    <n v="46"/>
    <n v="58"/>
    <n v="45"/>
    <n v="72"/>
    <n v="303"/>
    <n v="879"/>
  </r>
  <r>
    <s v=" Hawaii"/>
    <n v="2017"/>
    <s v="Hawaii,2017"/>
    <n v="111"/>
    <n v="51"/>
    <n v="62"/>
    <n v="54"/>
    <n v="40"/>
    <n v="45"/>
    <n v="53"/>
    <n v="50"/>
    <n v="102"/>
    <n v="382"/>
    <n v="950"/>
  </r>
  <r>
    <s v=" Idaho"/>
    <n v="2009"/>
    <s v="Idaho,2009"/>
    <n v="111"/>
    <n v="52"/>
    <n v="61"/>
    <n v="52"/>
    <n v="58"/>
    <n v="55"/>
    <n v="58"/>
    <n v="37"/>
    <n v="33"/>
    <n v="61"/>
    <n v="578"/>
  </r>
  <r>
    <s v=" Idaho"/>
    <n v="2010"/>
    <s v="Idaho,2010"/>
    <n v="106"/>
    <n v="50"/>
    <n v="72"/>
    <n v="48"/>
    <n v="60"/>
    <n v="45"/>
    <n v="53"/>
    <n v="51"/>
    <n v="55"/>
    <n v="99"/>
    <n v="639"/>
  </r>
  <r>
    <s v=" Idaho"/>
    <n v="2011"/>
    <s v="Idaho,2011"/>
    <n v="115"/>
    <n v="70"/>
    <n v="61"/>
    <n v="33"/>
    <n v="39"/>
    <n v="40"/>
    <n v="55"/>
    <n v="51"/>
    <n v="52"/>
    <n v="104"/>
    <n v="620"/>
  </r>
  <r>
    <s v=" Idaho"/>
    <n v="2012"/>
    <s v="Idaho,2012"/>
    <n v="114"/>
    <n v="48"/>
    <n v="59"/>
    <n v="53"/>
    <n v="61"/>
    <n v="48"/>
    <n v="41"/>
    <n v="44"/>
    <n v="36"/>
    <n v="92"/>
    <n v="596"/>
  </r>
  <r>
    <s v=" Idaho"/>
    <n v="2013"/>
    <s v="Idaho,2013"/>
    <n v="103"/>
    <n v="60"/>
    <n v="53"/>
    <n v="61"/>
    <n v="53"/>
    <n v="53"/>
    <n v="44"/>
    <n v="64"/>
    <n v="48"/>
    <n v="120"/>
    <n v="659"/>
  </r>
  <r>
    <s v=" Idaho"/>
    <n v="2014"/>
    <s v="Idaho,2014"/>
    <n v="92"/>
    <n v="47"/>
    <n v="65"/>
    <n v="60"/>
    <n v="46"/>
    <n v="56"/>
    <n v="49"/>
    <n v="62"/>
    <n v="80"/>
    <n v="91"/>
    <n v="648"/>
  </r>
  <r>
    <s v=" Idaho"/>
    <n v="2015"/>
    <s v="Idaho,2015"/>
    <n v="81"/>
    <n v="65"/>
    <n v="67"/>
    <n v="30"/>
    <n v="56"/>
    <n v="70"/>
    <n v="53"/>
    <n v="54"/>
    <n v="62"/>
    <n v="106"/>
    <n v="644"/>
  </r>
  <r>
    <s v=" Idaho"/>
    <n v="2016"/>
    <s v="Idaho,2016"/>
    <n v="114"/>
    <n v="52"/>
    <n v="64"/>
    <n v="56"/>
    <n v="40"/>
    <n v="57"/>
    <n v="57"/>
    <n v="65"/>
    <n v="40"/>
    <n v="88"/>
    <n v="633"/>
  </r>
  <r>
    <s v=" Idaho"/>
    <n v="2017"/>
    <s v="Idaho,2017"/>
    <n v="104"/>
    <n v="58"/>
    <n v="56"/>
    <n v="60"/>
    <n v="58"/>
    <n v="56"/>
    <n v="46"/>
    <n v="51"/>
    <n v="87"/>
    <n v="115"/>
    <n v="691"/>
  </r>
  <r>
    <s v=" Illinois"/>
    <n v="2009"/>
    <s v="Illinois,2009"/>
    <n v="119"/>
    <n v="64"/>
    <n v="55"/>
    <n v="55"/>
    <n v="65"/>
    <n v="112"/>
    <n v="173"/>
    <n v="263"/>
    <n v="589"/>
    <n v="1154"/>
    <n v="2649"/>
  </r>
  <r>
    <s v=" Illinois"/>
    <n v="2010"/>
    <s v="Illinois,2010"/>
    <n v="120"/>
    <n v="67"/>
    <n v="58"/>
    <n v="55"/>
    <n v="39"/>
    <n v="55"/>
    <n v="149"/>
    <n v="247"/>
    <n v="597"/>
    <n v="1068"/>
    <n v="2455"/>
  </r>
  <r>
    <s v=" Illinois"/>
    <n v="2011"/>
    <s v="Illinois,2011"/>
    <n v="114"/>
    <n v="65"/>
    <n v="61"/>
    <n v="55"/>
    <n v="40"/>
    <n v="65"/>
    <n v="201"/>
    <n v="256"/>
    <n v="625"/>
    <n v="1168"/>
    <n v="2650"/>
  </r>
  <r>
    <s v=" Illinois"/>
    <n v="2012"/>
    <s v="Illinois,2012"/>
    <n v="113"/>
    <n v="57"/>
    <n v="34"/>
    <n v="42"/>
    <n v="66"/>
    <n v="71"/>
    <n v="185"/>
    <n v="292"/>
    <n v="559"/>
    <n v="1132"/>
    <n v="2551"/>
  </r>
  <r>
    <s v=" Illinois"/>
    <n v="2013"/>
    <s v="Illinois,2013"/>
    <n v="104"/>
    <n v="61"/>
    <n v="55"/>
    <n v="63"/>
    <n v="44"/>
    <n v="51"/>
    <n v="182"/>
    <n v="315"/>
    <n v="600"/>
    <n v="1207"/>
    <n v="2682"/>
  </r>
  <r>
    <s v=" Illinois"/>
    <n v="2014"/>
    <s v="Illinois,2014"/>
    <n v="109"/>
    <n v="44"/>
    <n v="53"/>
    <n v="65"/>
    <n v="56"/>
    <n v="96"/>
    <n v="192"/>
    <n v="333"/>
    <n v="577"/>
    <n v="1215"/>
    <n v="2740"/>
  </r>
  <r>
    <s v=" Illinois"/>
    <n v="2015"/>
    <s v="Illinois,2015"/>
    <n v="94"/>
    <n v="74"/>
    <n v="58"/>
    <n v="51"/>
    <n v="91"/>
    <n v="70"/>
    <n v="190"/>
    <n v="315"/>
    <n v="541"/>
    <n v="1141"/>
    <n v="2625"/>
  </r>
  <r>
    <s v=" Illinois"/>
    <n v="2016"/>
    <s v="Illinois,2016"/>
    <n v="118"/>
    <n v="44"/>
    <n v="61"/>
    <n v="54"/>
    <n v="47"/>
    <n v="66"/>
    <n v="217"/>
    <n v="333"/>
    <n v="519"/>
    <n v="947"/>
    <n v="2406"/>
  </r>
  <r>
    <s v=" Illinois"/>
    <n v="2017"/>
    <s v="Illinois,2017"/>
    <n v="127"/>
    <n v="47"/>
    <n v="49"/>
    <n v="54"/>
    <n v="60"/>
    <n v="58"/>
    <n v="202"/>
    <n v="370"/>
    <n v="587"/>
    <n v="1069"/>
    <n v="2623"/>
  </r>
  <r>
    <s v=" Indiana"/>
    <n v="2009"/>
    <s v="Indiana,2009"/>
    <n v="85"/>
    <n v="61"/>
    <n v="58"/>
    <n v="62"/>
    <n v="63"/>
    <n v="48"/>
    <n v="73"/>
    <n v="109"/>
    <n v="296"/>
    <n v="537"/>
    <n v="1392"/>
  </r>
  <r>
    <s v=" Indiana"/>
    <n v="2010"/>
    <s v="Indiana,2010"/>
    <n v="116"/>
    <n v="64"/>
    <n v="60"/>
    <n v="72"/>
    <n v="47"/>
    <n v="76"/>
    <n v="76"/>
    <n v="125"/>
    <n v="311"/>
    <n v="549"/>
    <n v="1496"/>
  </r>
  <r>
    <s v=" Indiana"/>
    <n v="2011"/>
    <s v="Indiana,2011"/>
    <n v="112"/>
    <n v="47"/>
    <n v="61"/>
    <n v="43"/>
    <n v="52"/>
    <n v="43"/>
    <n v="51"/>
    <n v="111"/>
    <n v="250"/>
    <n v="458"/>
    <n v="1228"/>
  </r>
  <r>
    <s v=" Indiana"/>
    <n v="2012"/>
    <s v="Indiana,2012"/>
    <n v="80"/>
    <n v="66"/>
    <n v="66"/>
    <n v="42"/>
    <n v="47"/>
    <n v="54"/>
    <n v="67"/>
    <n v="73"/>
    <n v="244"/>
    <n v="472"/>
    <n v="1211"/>
  </r>
  <r>
    <s v=" Indiana"/>
    <n v="2013"/>
    <s v="Indiana,2013"/>
    <n v="114"/>
    <n v="64"/>
    <n v="52"/>
    <n v="42"/>
    <n v="55"/>
    <n v="75"/>
    <n v="94"/>
    <n v="116"/>
    <n v="265"/>
    <n v="532"/>
    <n v="1409"/>
  </r>
  <r>
    <s v=" Indiana"/>
    <n v="2014"/>
    <s v="Indiana,2014"/>
    <n v="85"/>
    <n v="66"/>
    <n v="60"/>
    <n v="55"/>
    <n v="59"/>
    <n v="35"/>
    <n v="111"/>
    <n v="124"/>
    <n v="250"/>
    <n v="455"/>
    <n v="1300"/>
  </r>
  <r>
    <s v=" Indiana"/>
    <n v="2015"/>
    <s v="Indiana,2015"/>
    <n v="97"/>
    <n v="36"/>
    <n v="73"/>
    <n v="66"/>
    <n v="64"/>
    <n v="59"/>
    <n v="60"/>
    <n v="131"/>
    <n v="273"/>
    <n v="480"/>
    <n v="1339"/>
  </r>
  <r>
    <s v=" Indiana"/>
    <n v="2016"/>
    <s v="Indiana,2016"/>
    <n v="123"/>
    <n v="52"/>
    <n v="69"/>
    <n v="70"/>
    <n v="48"/>
    <n v="66"/>
    <n v="90"/>
    <n v="152"/>
    <n v="229"/>
    <n v="387"/>
    <n v="1286"/>
  </r>
  <r>
    <s v=" Indiana"/>
    <n v="2017"/>
    <s v="Indiana,2017"/>
    <n v="111"/>
    <n v="52"/>
    <n v="52"/>
    <n v="56"/>
    <n v="60"/>
    <n v="72"/>
    <n v="84"/>
    <n v="162"/>
    <n v="276"/>
    <n v="456"/>
    <n v="1381"/>
  </r>
  <r>
    <s v=" Iowa"/>
    <n v="2009"/>
    <s v="Iowa,2009"/>
    <n v="109"/>
    <n v="38"/>
    <n v="49"/>
    <n v="56"/>
    <n v="44"/>
    <n v="65"/>
    <n v="63"/>
    <n v="45"/>
    <n v="154"/>
    <n v="342"/>
    <n v="965"/>
  </r>
  <r>
    <s v=" Iowa"/>
    <n v="2010"/>
    <s v="Iowa,2010"/>
    <n v="91"/>
    <n v="40"/>
    <n v="59"/>
    <n v="49"/>
    <n v="27"/>
    <n v="54"/>
    <n v="42"/>
    <n v="47"/>
    <n v="140"/>
    <n v="319"/>
    <n v="868"/>
  </r>
  <r>
    <s v=" Iowa"/>
    <n v="2011"/>
    <s v="Iowa,2011"/>
    <n v="86"/>
    <n v="50"/>
    <n v="30"/>
    <n v="61"/>
    <n v="58"/>
    <n v="53"/>
    <n v="55"/>
    <n v="54"/>
    <n v="129"/>
    <n v="388"/>
    <n v="964"/>
  </r>
  <r>
    <s v=" Iowa"/>
    <n v="2012"/>
    <s v="Iowa,2012"/>
    <n v="89"/>
    <n v="66"/>
    <n v="49"/>
    <n v="55"/>
    <n v="41"/>
    <n v="58"/>
    <n v="57"/>
    <n v="44"/>
    <n v="122"/>
    <n v="411"/>
    <n v="992"/>
  </r>
  <r>
    <s v=" Iowa"/>
    <n v="2013"/>
    <s v="Iowa,2013"/>
    <n v="108"/>
    <n v="64"/>
    <n v="54"/>
    <n v="57"/>
    <n v="54"/>
    <n v="54"/>
    <n v="51"/>
    <n v="60"/>
    <n v="167"/>
    <n v="452"/>
    <n v="1121"/>
  </r>
  <r>
    <s v=" Iowa"/>
    <n v="2014"/>
    <s v="Iowa,2014"/>
    <n v="133"/>
    <n v="50"/>
    <n v="63"/>
    <n v="49"/>
    <n v="43"/>
    <n v="53"/>
    <n v="49"/>
    <n v="57"/>
    <n v="111"/>
    <n v="333"/>
    <n v="941"/>
  </r>
  <r>
    <s v=" Iowa"/>
    <n v="2015"/>
    <s v="Iowa,2015"/>
    <n v="95"/>
    <n v="55"/>
    <n v="40"/>
    <n v="61"/>
    <n v="61"/>
    <n v="72"/>
    <n v="59"/>
    <n v="66"/>
    <n v="115"/>
    <n v="353"/>
    <n v="977"/>
  </r>
  <r>
    <s v=" Iowa"/>
    <n v="2016"/>
    <s v="Iowa,2016"/>
    <n v="110"/>
    <n v="40"/>
    <n v="55"/>
    <n v="55"/>
    <n v="39"/>
    <n v="44"/>
    <n v="67"/>
    <n v="61"/>
    <n v="90"/>
    <n v="294"/>
    <n v="855"/>
  </r>
  <r>
    <s v=" Iowa"/>
    <n v="2017"/>
    <s v="Iowa,2017"/>
    <n v="96"/>
    <n v="87"/>
    <n v="59"/>
    <n v="60"/>
    <n v="43"/>
    <n v="40"/>
    <n v="47"/>
    <n v="58"/>
    <n v="92"/>
    <n v="327"/>
    <n v="909"/>
  </r>
  <r>
    <s v=" Kansas"/>
    <n v="2009"/>
    <s v="Kansas,2009"/>
    <n v="103"/>
    <n v="50"/>
    <n v="56"/>
    <n v="49"/>
    <n v="56"/>
    <n v="59"/>
    <n v="66"/>
    <n v="61"/>
    <n v="138"/>
    <n v="322"/>
    <n v="960"/>
  </r>
  <r>
    <s v=" Kansas"/>
    <n v="2010"/>
    <s v="Kansas,2010"/>
    <n v="75"/>
    <n v="35"/>
    <n v="46"/>
    <n v="47"/>
    <n v="47"/>
    <n v="63"/>
    <n v="60"/>
    <n v="60"/>
    <n v="117"/>
    <n v="303"/>
    <n v="853"/>
  </r>
  <r>
    <s v=" Kansas"/>
    <n v="2011"/>
    <s v="Kansas,2011"/>
    <n v="98"/>
    <n v="49"/>
    <n v="51"/>
    <n v="55"/>
    <n v="45"/>
    <n v="70"/>
    <n v="47"/>
    <n v="63"/>
    <n v="122"/>
    <n v="374"/>
    <n v="974"/>
  </r>
  <r>
    <s v=" Kansas"/>
    <n v="2012"/>
    <s v="Kansas,2012"/>
    <n v="107"/>
    <n v="48"/>
    <n v="77"/>
    <n v="32"/>
    <n v="48"/>
    <n v="53"/>
    <n v="50"/>
    <n v="67"/>
    <n v="158"/>
    <n v="348"/>
    <n v="988"/>
  </r>
  <r>
    <s v=" Kansas"/>
    <n v="2013"/>
    <s v="Kansas,2013"/>
    <n v="108"/>
    <n v="51"/>
    <n v="51"/>
    <n v="43"/>
    <n v="50"/>
    <n v="50"/>
    <n v="37"/>
    <n v="69"/>
    <n v="130"/>
    <n v="403"/>
    <n v="992"/>
  </r>
  <r>
    <s v=" Kansas"/>
    <n v="2014"/>
    <s v="Kansas,2014"/>
    <n v="108"/>
    <n v="51"/>
    <n v="53"/>
    <n v="69"/>
    <n v="53"/>
    <n v="61"/>
    <n v="62"/>
    <n v="73"/>
    <n v="143"/>
    <n v="307"/>
    <n v="980"/>
  </r>
  <r>
    <s v=" Kansas"/>
    <n v="2015"/>
    <s v="Kansas,2015"/>
    <n v="121"/>
    <n v="48"/>
    <n v="63"/>
    <n v="40"/>
    <n v="60"/>
    <n v="53"/>
    <n v="63"/>
    <n v="67"/>
    <n v="142"/>
    <n v="360"/>
    <n v="1017"/>
  </r>
  <r>
    <s v=" Kansas"/>
    <n v="2016"/>
    <s v="Kansas,2016"/>
    <n v="111"/>
    <n v="33"/>
    <n v="61"/>
    <n v="69"/>
    <n v="58"/>
    <n v="53"/>
    <n v="55"/>
    <n v="66"/>
    <n v="103"/>
    <n v="272"/>
    <n v="881"/>
  </r>
  <r>
    <s v=" Kansas"/>
    <n v="2017"/>
    <s v="Kansas,2017"/>
    <n v="120"/>
    <n v="53"/>
    <n v="57"/>
    <n v="61"/>
    <n v="55"/>
    <n v="71"/>
    <n v="65"/>
    <n v="75"/>
    <n v="103"/>
    <n v="287"/>
    <n v="947"/>
  </r>
  <r>
    <s v=" Kentucky"/>
    <n v="2009"/>
    <s v="Kentucky,2009"/>
    <n v="81"/>
    <n v="62"/>
    <n v="59"/>
    <n v="59"/>
    <n v="60"/>
    <n v="39"/>
    <n v="76"/>
    <n v="133"/>
    <n v="268"/>
    <n v="398"/>
    <n v="1235"/>
  </r>
  <r>
    <s v=" Kentucky"/>
    <n v="2010"/>
    <s v="Kentucky,2010"/>
    <n v="115"/>
    <n v="40"/>
    <n v="68"/>
    <n v="57"/>
    <n v="47"/>
    <n v="56"/>
    <n v="52"/>
    <n v="106"/>
    <n v="266"/>
    <n v="407"/>
    <n v="1214"/>
  </r>
  <r>
    <s v=" Kentucky"/>
    <n v="2011"/>
    <s v="Kentucky,2011"/>
    <n v="104"/>
    <n v="45"/>
    <n v="49"/>
    <n v="67"/>
    <n v="47"/>
    <n v="63"/>
    <n v="56"/>
    <n v="115"/>
    <n v="256"/>
    <n v="386"/>
    <n v="1188"/>
  </r>
  <r>
    <s v=" Kentucky"/>
    <n v="2012"/>
    <s v="Kentucky,2012"/>
    <n v="110"/>
    <n v="68"/>
    <n v="61"/>
    <n v="53"/>
    <n v="52"/>
    <n v="46"/>
    <n v="76"/>
    <n v="113"/>
    <n v="244"/>
    <n v="357"/>
    <n v="1180"/>
  </r>
  <r>
    <s v=" Kentucky"/>
    <n v="2013"/>
    <s v="Kentucky,2013"/>
    <n v="97"/>
    <n v="60"/>
    <n v="64"/>
    <n v="51"/>
    <n v="49"/>
    <n v="62"/>
    <n v="60"/>
    <n v="142"/>
    <n v="228"/>
    <n v="377"/>
    <n v="1190"/>
  </r>
  <r>
    <s v=" Kentucky"/>
    <n v="2014"/>
    <s v="Kentucky,2014"/>
    <n v="98"/>
    <n v="60"/>
    <n v="61"/>
    <n v="37"/>
    <n v="55"/>
    <n v="68"/>
    <n v="89"/>
    <n v="161"/>
    <n v="257"/>
    <n v="374"/>
    <n v="1260"/>
  </r>
  <r>
    <s v=" Kentucky"/>
    <n v="2015"/>
    <s v="Kentucky,2015"/>
    <n v="121"/>
    <n v="38"/>
    <n v="54"/>
    <n v="60"/>
    <n v="74"/>
    <n v="41"/>
    <n v="76"/>
    <n v="162"/>
    <n v="234"/>
    <n v="390"/>
    <n v="1250"/>
  </r>
  <r>
    <s v=" Kentucky"/>
    <n v="2016"/>
    <s v="Kentucky,2016"/>
    <n v="117"/>
    <n v="63"/>
    <n v="62"/>
    <n v="41"/>
    <n v="59"/>
    <n v="55"/>
    <n v="91"/>
    <n v="166"/>
    <n v="222"/>
    <n v="318"/>
    <n v="1194"/>
  </r>
  <r>
    <s v=" Kentucky"/>
    <n v="2017"/>
    <s v="Kentucky,2017"/>
    <n v="82"/>
    <n v="36"/>
    <n v="52"/>
    <n v="40"/>
    <n v="45"/>
    <n v="41"/>
    <n v="79"/>
    <n v="145"/>
    <n v="270"/>
    <n v="328"/>
    <n v="1118"/>
  </r>
  <r>
    <s v=" Louisiana"/>
    <n v="2009"/>
    <s v="Louisiana,2009"/>
    <n v="103"/>
    <n v="64"/>
    <n v="63"/>
    <n v="60"/>
    <n v="62"/>
    <n v="52"/>
    <n v="45"/>
    <n v="99"/>
    <n v="243"/>
    <n v="345"/>
    <n v="1136"/>
  </r>
  <r>
    <s v=" Louisiana"/>
    <n v="2010"/>
    <s v="Louisiana,2010"/>
    <n v="140"/>
    <n v="62"/>
    <n v="48"/>
    <n v="60"/>
    <n v="51"/>
    <n v="43"/>
    <n v="59"/>
    <n v="143"/>
    <n v="247"/>
    <n v="338"/>
    <n v="1191"/>
  </r>
  <r>
    <s v=" Louisiana"/>
    <n v="2011"/>
    <s v="Louisiana,2011"/>
    <n v="96"/>
    <n v="53"/>
    <n v="48"/>
    <n v="50"/>
    <n v="45"/>
    <n v="55"/>
    <n v="69"/>
    <n v="87"/>
    <n v="242"/>
    <n v="341"/>
    <n v="1086"/>
  </r>
  <r>
    <s v=" Louisiana"/>
    <n v="2012"/>
    <s v="Louisiana,2012"/>
    <n v="110"/>
    <n v="67"/>
    <n v="68"/>
    <n v="62"/>
    <n v="52"/>
    <n v="59"/>
    <n v="70"/>
    <n v="100"/>
    <n v="218"/>
    <n v="313"/>
    <n v="1119"/>
  </r>
  <r>
    <s v=" Louisiana"/>
    <n v="2013"/>
    <s v="Louisiana,2013"/>
    <n v="133"/>
    <n v="41"/>
    <n v="74"/>
    <n v="54"/>
    <n v="59"/>
    <n v="56"/>
    <n v="114"/>
    <n v="116"/>
    <n v="193"/>
    <n v="344"/>
    <n v="1184"/>
  </r>
  <r>
    <s v=" Louisiana"/>
    <n v="2014"/>
    <s v="Louisiana,2014"/>
    <n v="95"/>
    <n v="61"/>
    <n v="66"/>
    <n v="56"/>
    <n v="51"/>
    <n v="89"/>
    <n v="103"/>
    <n v="133"/>
    <n v="173"/>
    <n v="292"/>
    <n v="1119"/>
  </r>
  <r>
    <s v=" Louisiana"/>
    <n v="2015"/>
    <s v="Louisiana,2015"/>
    <n v="95"/>
    <n v="58"/>
    <n v="78"/>
    <n v="75"/>
    <n v="38"/>
    <n v="30"/>
    <n v="55"/>
    <n v="97"/>
    <n v="190"/>
    <n v="291"/>
    <n v="1007"/>
  </r>
  <r>
    <s v=" Louisiana"/>
    <n v="2016"/>
    <s v="Louisiana,2016"/>
    <n v="106"/>
    <n v="66"/>
    <n v="71"/>
    <n v="44"/>
    <n v="59"/>
    <n v="44"/>
    <n v="50"/>
    <n v="98"/>
    <n v="180"/>
    <n v="253"/>
    <n v="971"/>
  </r>
  <r>
    <s v=" Louisiana"/>
    <n v="2017"/>
    <s v="Louisiana,2017"/>
    <n v="120"/>
    <n v="53"/>
    <n v="66"/>
    <n v="62"/>
    <n v="48"/>
    <n v="44"/>
    <n v="94"/>
    <n v="136"/>
    <n v="185"/>
    <n v="269"/>
    <n v="1077"/>
  </r>
  <r>
    <s v=" Maine"/>
    <n v="2009"/>
    <s v="Maine,2009"/>
    <n v="126"/>
    <n v="54"/>
    <n v="52"/>
    <n v="57"/>
    <n v="54"/>
    <n v="69"/>
    <n v="47"/>
    <n v="66"/>
    <n v="66"/>
    <n v="111"/>
    <n v="702"/>
  </r>
  <r>
    <s v=" Maine"/>
    <n v="2010"/>
    <s v="Maine,2010"/>
    <n v="112"/>
    <n v="50"/>
    <n v="51"/>
    <n v="50"/>
    <n v="39"/>
    <n v="53"/>
    <n v="54"/>
    <n v="30"/>
    <n v="68"/>
    <n v="122"/>
    <n v="629"/>
  </r>
  <r>
    <s v=" Maine"/>
    <n v="2011"/>
    <s v="Maine,2011"/>
    <n v="120"/>
    <n v="62"/>
    <n v="70"/>
    <n v="58"/>
    <n v="56"/>
    <n v="53"/>
    <n v="48"/>
    <n v="59"/>
    <n v="74"/>
    <n v="140"/>
    <n v="740"/>
  </r>
  <r>
    <s v=" Maine"/>
    <n v="2012"/>
    <s v="Maine,2012"/>
    <n v="99"/>
    <n v="55"/>
    <n v="53"/>
    <n v="68"/>
    <n v="45"/>
    <n v="72"/>
    <n v="50"/>
    <n v="49"/>
    <n v="55"/>
    <n v="80"/>
    <n v="626"/>
  </r>
  <r>
    <s v=" Maine"/>
    <n v="2013"/>
    <s v="Maine,2013"/>
    <n v="108"/>
    <n v="51"/>
    <n v="55"/>
    <n v="58"/>
    <n v="60"/>
    <n v="53"/>
    <n v="47"/>
    <n v="57"/>
    <n v="68"/>
    <n v="122"/>
    <n v="679"/>
  </r>
  <r>
    <s v=" Maine"/>
    <n v="2014"/>
    <s v="Maine,2014"/>
    <n v="100"/>
    <n v="63"/>
    <n v="53"/>
    <n v="61"/>
    <n v="55"/>
    <n v="52"/>
    <n v="50"/>
    <n v="54"/>
    <n v="44"/>
    <n v="102"/>
    <n v="634"/>
  </r>
  <r>
    <s v=" Maine"/>
    <n v="2015"/>
    <s v="Maine,2015"/>
    <n v="90"/>
    <n v="63"/>
    <n v="48"/>
    <n v="56"/>
    <n v="50"/>
    <n v="53"/>
    <n v="52"/>
    <n v="52"/>
    <n v="74"/>
    <n v="168"/>
    <n v="706"/>
  </r>
  <r>
    <s v=" Maine"/>
    <n v="2016"/>
    <s v="Maine,2016"/>
    <n v="102"/>
    <n v="49"/>
    <n v="44"/>
    <n v="73"/>
    <n v="59"/>
    <n v="35"/>
    <n v="52"/>
    <n v="59"/>
    <n v="63"/>
    <n v="105"/>
    <n v="641"/>
  </r>
  <r>
    <s v=" Maine"/>
    <n v="2017"/>
    <s v="Maine,2017"/>
    <n v="96"/>
    <n v="55"/>
    <n v="61"/>
    <n v="73"/>
    <n v="58"/>
    <n v="53"/>
    <n v="68"/>
    <n v="54"/>
    <n v="68"/>
    <n v="148"/>
    <n v="734"/>
  </r>
  <r>
    <s v=" Maryland"/>
    <n v="2009"/>
    <s v="Maryland,2009"/>
    <n v="129"/>
    <n v="70"/>
    <n v="35"/>
    <n v="51"/>
    <n v="51"/>
    <n v="70"/>
    <n v="72"/>
    <n v="67"/>
    <n v="284"/>
    <n v="398"/>
    <n v="1227"/>
  </r>
  <r>
    <s v=" Maryland"/>
    <n v="2010"/>
    <s v="Maryland,2010"/>
    <n v="129"/>
    <n v="39"/>
    <n v="58"/>
    <n v="57"/>
    <n v="51"/>
    <n v="61"/>
    <n v="47"/>
    <n v="95"/>
    <n v="252"/>
    <n v="412"/>
    <n v="1201"/>
  </r>
  <r>
    <s v=" Maryland"/>
    <n v="2011"/>
    <s v="Maryland,2011"/>
    <n v="92"/>
    <n v="65"/>
    <n v="66"/>
    <n v="60"/>
    <n v="47"/>
    <n v="62"/>
    <n v="78"/>
    <n v="127"/>
    <n v="279"/>
    <n v="457"/>
    <n v="1333"/>
  </r>
  <r>
    <s v=" Maryland"/>
    <n v="2012"/>
    <s v="Maryland,2012"/>
    <n v="129"/>
    <n v="58"/>
    <n v="61"/>
    <n v="67"/>
    <n v="72"/>
    <n v="69"/>
    <n v="59"/>
    <n v="87"/>
    <n v="250"/>
    <n v="450"/>
    <n v="1302"/>
  </r>
  <r>
    <s v=" Maryland"/>
    <n v="2013"/>
    <s v="Maryland,2013"/>
    <n v="114"/>
    <n v="63"/>
    <n v="38"/>
    <n v="42"/>
    <n v="42"/>
    <n v="53"/>
    <n v="92"/>
    <n v="132"/>
    <n v="275"/>
    <n v="513"/>
    <n v="1364"/>
  </r>
  <r>
    <s v=" Maryland"/>
    <n v="2014"/>
    <s v="Maryland,2014"/>
    <n v="90"/>
    <n v="42"/>
    <n v="43"/>
    <n v="33"/>
    <n v="55"/>
    <n v="67"/>
    <n v="75"/>
    <n v="154"/>
    <n v="242"/>
    <n v="418"/>
    <n v="1219"/>
  </r>
  <r>
    <s v=" Maryland"/>
    <n v="2015"/>
    <s v="Maryland,2015"/>
    <n v="120"/>
    <n v="58"/>
    <n v="56"/>
    <n v="68"/>
    <n v="50"/>
    <n v="59"/>
    <n v="77"/>
    <n v="170"/>
    <n v="305"/>
    <n v="518"/>
    <n v="1481"/>
  </r>
  <r>
    <s v=" Maryland"/>
    <n v="2016"/>
    <s v="Maryland,2016"/>
    <n v="96"/>
    <n v="57"/>
    <n v="65"/>
    <n v="62"/>
    <n v="65"/>
    <n v="71"/>
    <n v="58"/>
    <n v="153"/>
    <n v="254"/>
    <n v="440"/>
    <n v="1321"/>
  </r>
  <r>
    <s v=" Maryland"/>
    <n v="2017"/>
    <s v="Maryland,2017"/>
    <n v="104"/>
    <n v="50"/>
    <n v="53"/>
    <n v="63"/>
    <n v="39"/>
    <n v="44"/>
    <n v="65"/>
    <n v="155"/>
    <n v="235"/>
    <n v="442"/>
    <n v="1250"/>
  </r>
  <r>
    <s v=" Massachusetts"/>
    <n v="2009"/>
    <s v="Massachusetts,2009"/>
    <n v="100"/>
    <n v="69"/>
    <n v="70"/>
    <n v="39"/>
    <n v="49"/>
    <n v="51"/>
    <n v="55"/>
    <n v="109"/>
    <n v="362"/>
    <n v="706"/>
    <n v="1610"/>
  </r>
  <r>
    <s v=" Massachusetts"/>
    <n v="2010"/>
    <s v="Massachusetts,2010"/>
    <n v="137"/>
    <n v="55"/>
    <n v="68"/>
    <n v="46"/>
    <n v="53"/>
    <n v="43"/>
    <n v="56"/>
    <n v="115"/>
    <n v="340"/>
    <n v="703"/>
    <n v="1616"/>
  </r>
  <r>
    <s v=" Massachusetts"/>
    <n v="2011"/>
    <s v="Massachusetts,2011"/>
    <n v="97"/>
    <n v="58"/>
    <n v="52"/>
    <n v="43"/>
    <n v="52"/>
    <n v="53"/>
    <n v="62"/>
    <n v="106"/>
    <n v="318"/>
    <n v="838"/>
    <n v="1679"/>
  </r>
  <r>
    <s v=" Massachusetts"/>
    <n v="2012"/>
    <s v="Massachusetts,2012"/>
    <n v="110"/>
    <n v="44"/>
    <n v="65"/>
    <n v="52"/>
    <n v="64"/>
    <n v="37"/>
    <n v="54"/>
    <n v="119"/>
    <n v="329"/>
    <n v="762"/>
    <n v="1636"/>
  </r>
  <r>
    <s v=" Massachusetts"/>
    <n v="2013"/>
    <s v="Massachusetts,2013"/>
    <n v="113"/>
    <n v="56"/>
    <n v="65"/>
    <n v="65"/>
    <n v="52"/>
    <n v="53"/>
    <n v="69"/>
    <n v="150"/>
    <n v="363"/>
    <n v="883"/>
    <n v="1869"/>
  </r>
  <r>
    <s v=" Massachusetts"/>
    <n v="2014"/>
    <s v="Massachusetts,2014"/>
    <n v="86"/>
    <n v="61"/>
    <n v="64"/>
    <n v="63"/>
    <n v="57"/>
    <n v="59"/>
    <n v="114"/>
    <n v="164"/>
    <n v="310"/>
    <n v="720"/>
    <n v="1698"/>
  </r>
  <r>
    <s v=" Massachusetts"/>
    <n v="2015"/>
    <s v="Massachusetts,2015"/>
    <n v="93"/>
    <n v="78"/>
    <n v="49"/>
    <n v="52"/>
    <n v="65"/>
    <n v="65"/>
    <n v="82"/>
    <n v="170"/>
    <n v="337"/>
    <n v="868"/>
    <n v="1859"/>
  </r>
  <r>
    <s v=" Massachusetts"/>
    <n v="2016"/>
    <s v="Massachusetts,2016"/>
    <n v="115"/>
    <n v="54"/>
    <n v="37"/>
    <n v="56"/>
    <n v="61"/>
    <n v="49"/>
    <n v="57"/>
    <n v="162"/>
    <n v="292"/>
    <n v="654"/>
    <n v="1537"/>
  </r>
  <r>
    <s v=" Massachusetts"/>
    <n v="2017"/>
    <s v="Massachusetts,2017"/>
    <n v="96"/>
    <n v="68"/>
    <n v="50"/>
    <n v="47"/>
    <n v="64"/>
    <n v="61"/>
    <n v="73"/>
    <n v="167"/>
    <n v="342"/>
    <n v="791"/>
    <n v="1759"/>
  </r>
  <r>
    <s v=" Michigan"/>
    <n v="2009"/>
    <s v="Michigan,2009"/>
    <n v="128"/>
    <n v="41"/>
    <n v="58"/>
    <n v="66"/>
    <n v="70"/>
    <n v="85"/>
    <n v="147"/>
    <n v="191"/>
    <n v="417"/>
    <n v="685"/>
    <n v="1888"/>
  </r>
  <r>
    <s v=" Michigan"/>
    <n v="2010"/>
    <s v="Michigan,2010"/>
    <n v="112"/>
    <n v="66"/>
    <n v="68"/>
    <n v="51"/>
    <n v="74"/>
    <n v="57"/>
    <n v="88"/>
    <n v="195"/>
    <n v="433"/>
    <n v="643"/>
    <n v="1787"/>
  </r>
  <r>
    <s v=" Michigan"/>
    <n v="2011"/>
    <s v="Michigan,2011"/>
    <n v="103"/>
    <n v="60"/>
    <n v="59"/>
    <n v="61"/>
    <n v="73"/>
    <n v="54"/>
    <n v="135"/>
    <n v="220"/>
    <n v="439"/>
    <n v="805"/>
    <n v="2009"/>
  </r>
  <r>
    <s v=" Michigan"/>
    <n v="2012"/>
    <s v="Michigan,2012"/>
    <n v="116"/>
    <n v="65"/>
    <n v="61"/>
    <n v="43"/>
    <n v="44"/>
    <n v="53"/>
    <n v="117"/>
    <n v="181"/>
    <n v="435"/>
    <n v="717"/>
    <n v="1832"/>
  </r>
  <r>
    <s v=" Michigan"/>
    <n v="2013"/>
    <s v="Michigan,2013"/>
    <n v="115"/>
    <n v="49"/>
    <n v="39"/>
    <n v="47"/>
    <n v="53"/>
    <n v="69"/>
    <n v="161"/>
    <n v="267"/>
    <n v="472"/>
    <n v="847"/>
    <n v="2119"/>
  </r>
  <r>
    <s v=" Michigan"/>
    <n v="2014"/>
    <s v="Michigan,2014"/>
    <n v="121"/>
    <n v="59"/>
    <n v="50"/>
    <n v="40"/>
    <n v="58"/>
    <n v="81"/>
    <n v="145"/>
    <n v="267"/>
    <n v="457"/>
    <n v="829"/>
    <n v="2107"/>
  </r>
  <r>
    <s v=" Michigan"/>
    <n v="2015"/>
    <s v="Michigan,2015"/>
    <n v="114"/>
    <n v="66"/>
    <n v="41"/>
    <n v="52"/>
    <n v="58"/>
    <n v="75"/>
    <n v="155"/>
    <n v="269"/>
    <n v="438"/>
    <n v="900"/>
    <n v="2168"/>
  </r>
  <r>
    <s v=" Michigan"/>
    <n v="2016"/>
    <s v="Michigan,2016"/>
    <n v="121"/>
    <n v="60"/>
    <n v="42"/>
    <n v="29"/>
    <n v="35"/>
    <n v="78"/>
    <n v="141"/>
    <n v="272"/>
    <n v="442"/>
    <n v="640"/>
    <n v="1860"/>
  </r>
  <r>
    <s v=" Michigan"/>
    <n v="2017"/>
    <s v="Michigan,2017"/>
    <n v="114"/>
    <n v="59"/>
    <n v="47"/>
    <n v="62"/>
    <n v="42"/>
    <n v="62"/>
    <n v="177"/>
    <n v="270"/>
    <n v="441"/>
    <n v="784"/>
    <n v="2058"/>
  </r>
  <r>
    <s v=" Minnesota"/>
    <n v="2009"/>
    <s v="Minnesota,2009"/>
    <n v="108"/>
    <n v="68"/>
    <n v="53"/>
    <n v="48"/>
    <n v="31"/>
    <n v="54"/>
    <n v="45"/>
    <n v="62"/>
    <n v="113"/>
    <n v="348"/>
    <n v="930"/>
  </r>
  <r>
    <s v=" Minnesota"/>
    <n v="2010"/>
    <s v="Minnesota,2010"/>
    <n v="105"/>
    <n v="45"/>
    <n v="56"/>
    <n v="55"/>
    <n v="44"/>
    <n v="54"/>
    <n v="56"/>
    <n v="59"/>
    <n v="118"/>
    <n v="355"/>
    <n v="947"/>
  </r>
  <r>
    <s v=" Minnesota"/>
    <n v="2011"/>
    <s v="Minnesota,2011"/>
    <n v="87"/>
    <n v="56"/>
    <n v="50"/>
    <n v="50"/>
    <n v="41"/>
    <n v="44"/>
    <n v="58"/>
    <n v="69"/>
    <n v="115"/>
    <n v="394"/>
    <n v="964"/>
  </r>
  <r>
    <s v=" Minnesota"/>
    <n v="2012"/>
    <s v="Minnesota,2012"/>
    <n v="122"/>
    <n v="64"/>
    <n v="85"/>
    <n v="51"/>
    <n v="53"/>
    <n v="58"/>
    <n v="45"/>
    <n v="48"/>
    <n v="140"/>
    <n v="366"/>
    <n v="1032"/>
  </r>
  <r>
    <s v=" Minnesota"/>
    <n v="2013"/>
    <s v="Minnesota,2013"/>
    <n v="119"/>
    <n v="47"/>
    <n v="42"/>
    <n v="45"/>
    <n v="50"/>
    <n v="64"/>
    <n v="50"/>
    <n v="67"/>
    <n v="145"/>
    <n v="420"/>
    <n v="1049"/>
  </r>
  <r>
    <s v=" Minnesota"/>
    <n v="2014"/>
    <s v="Minnesota,2014"/>
    <n v="123"/>
    <n v="72"/>
    <n v="52"/>
    <n v="65"/>
    <n v="52"/>
    <n v="60"/>
    <n v="36"/>
    <n v="64"/>
    <n v="110"/>
    <n v="337"/>
    <n v="971"/>
  </r>
  <r>
    <s v=" Minnesota"/>
    <n v="2015"/>
    <s v="Minnesota,2015"/>
    <n v="91"/>
    <n v="48"/>
    <n v="50"/>
    <n v="36"/>
    <n v="32"/>
    <n v="47"/>
    <n v="82"/>
    <n v="73"/>
    <n v="132"/>
    <n v="415"/>
    <n v="1006"/>
  </r>
  <r>
    <s v=" Minnesota"/>
    <n v="2016"/>
    <s v="Minnesota,2016"/>
    <n v="122"/>
    <n v="59"/>
    <n v="51"/>
    <n v="67"/>
    <n v="59"/>
    <n v="70"/>
    <n v="56"/>
    <n v="70"/>
    <n v="89"/>
    <n v="275"/>
    <n v="918"/>
  </r>
  <r>
    <s v=" Minnesota"/>
    <n v="2017"/>
    <s v="Minnesota,2017"/>
    <n v="120"/>
    <n v="58"/>
    <n v="54"/>
    <n v="66"/>
    <n v="60"/>
    <n v="51"/>
    <n v="58"/>
    <n v="74"/>
    <n v="123"/>
    <n v="377"/>
    <n v="1041"/>
  </r>
  <r>
    <s v=" Mississippi"/>
    <n v="2009"/>
    <s v="Mississippi,2009"/>
    <n v="117"/>
    <n v="55"/>
    <n v="41"/>
    <n v="73"/>
    <n v="62"/>
    <n v="58"/>
    <n v="55"/>
    <n v="76"/>
    <n v="165"/>
    <n v="219"/>
    <n v="921"/>
  </r>
  <r>
    <s v=" Mississippi"/>
    <n v="2010"/>
    <s v="Mississippi,2010"/>
    <n v="128"/>
    <n v="38"/>
    <n v="63"/>
    <n v="59"/>
    <n v="51"/>
    <n v="58"/>
    <n v="64"/>
    <n v="91"/>
    <n v="138"/>
    <n v="220"/>
    <n v="910"/>
  </r>
  <r>
    <s v=" Mississippi"/>
    <n v="2011"/>
    <s v="Mississippi,2011"/>
    <n v="99"/>
    <n v="65"/>
    <n v="41"/>
    <n v="74"/>
    <n v="70"/>
    <n v="43"/>
    <n v="58"/>
    <n v="63"/>
    <n v="201"/>
    <n v="217"/>
    <n v="931"/>
  </r>
  <r>
    <s v=" Mississippi"/>
    <n v="2012"/>
    <s v="Mississippi,2012"/>
    <n v="142"/>
    <n v="48"/>
    <n v="61"/>
    <n v="54"/>
    <n v="65"/>
    <n v="47"/>
    <n v="66"/>
    <n v="93"/>
    <n v="124"/>
    <n v="237"/>
    <n v="937"/>
  </r>
  <r>
    <s v=" Mississippi"/>
    <n v="2013"/>
    <s v="Mississippi,2013"/>
    <n v="113"/>
    <n v="77"/>
    <n v="56"/>
    <n v="63"/>
    <n v="45"/>
    <n v="38"/>
    <n v="80"/>
    <n v="108"/>
    <n v="203"/>
    <n v="282"/>
    <n v="1065"/>
  </r>
  <r>
    <s v=" Mississippi"/>
    <n v="2014"/>
    <s v="Mississippi,2014"/>
    <n v="110"/>
    <n v="61"/>
    <n v="41"/>
    <n v="49"/>
    <n v="65"/>
    <n v="56"/>
    <n v="117"/>
    <n v="117"/>
    <n v="197"/>
    <n v="242"/>
    <n v="1055"/>
  </r>
  <r>
    <s v=" Mississippi"/>
    <n v="2015"/>
    <s v="Mississippi,2015"/>
    <n v="110"/>
    <n v="45"/>
    <n v="65"/>
    <n v="66"/>
    <n v="56"/>
    <n v="58"/>
    <n v="67"/>
    <n v="134"/>
    <n v="210"/>
    <n v="290"/>
    <n v="1101"/>
  </r>
  <r>
    <s v=" Mississippi"/>
    <n v="2016"/>
    <s v="Mississippi,2016"/>
    <n v="109"/>
    <n v="71"/>
    <n v="62"/>
    <n v="56"/>
    <n v="45"/>
    <n v="58"/>
    <n v="93"/>
    <n v="148"/>
    <n v="206"/>
    <n v="263"/>
    <n v="1111"/>
  </r>
  <r>
    <s v=" Mississippi"/>
    <n v="2017"/>
    <s v="Mississippi,2017"/>
    <n v="99"/>
    <n v="66"/>
    <n v="55"/>
    <n v="38"/>
    <n v="44"/>
    <n v="25"/>
    <n v="108"/>
    <n v="157"/>
    <n v="212"/>
    <n v="219"/>
    <n v="1023"/>
  </r>
  <r>
    <s v=" Missouri"/>
    <n v="2009"/>
    <s v="Missouri,2009"/>
    <n v="93"/>
    <n v="55"/>
    <n v="58"/>
    <n v="58"/>
    <n v="49"/>
    <n v="78"/>
    <n v="94"/>
    <n v="149"/>
    <n v="346"/>
    <n v="620"/>
    <n v="1600"/>
  </r>
  <r>
    <s v=" Missouri"/>
    <n v="2010"/>
    <s v="Missouri,2010"/>
    <n v="127"/>
    <n v="39"/>
    <n v="61"/>
    <n v="56"/>
    <n v="36"/>
    <n v="61"/>
    <n v="65"/>
    <n v="121"/>
    <n v="312"/>
    <n v="568"/>
    <n v="1446"/>
  </r>
  <r>
    <s v=" Missouri"/>
    <n v="2011"/>
    <s v="Missouri,2011"/>
    <n v="111"/>
    <n v="57"/>
    <n v="36"/>
    <n v="57"/>
    <n v="62"/>
    <n v="63"/>
    <n v="66"/>
    <n v="131"/>
    <n v="310"/>
    <n v="562"/>
    <n v="1455"/>
  </r>
  <r>
    <s v=" Missouri"/>
    <n v="2012"/>
    <s v="Missouri,2012"/>
    <n v="116"/>
    <n v="43"/>
    <n v="52"/>
    <n v="64"/>
    <n v="58"/>
    <n v="46"/>
    <n v="94"/>
    <n v="137"/>
    <n v="317"/>
    <n v="573"/>
    <n v="1500"/>
  </r>
  <r>
    <s v=" Missouri"/>
    <n v="2013"/>
    <s v="Missouri,2013"/>
    <n v="118"/>
    <n v="36"/>
    <n v="42"/>
    <n v="37"/>
    <n v="58"/>
    <n v="58"/>
    <n v="96"/>
    <n v="173"/>
    <n v="318"/>
    <n v="647"/>
    <n v="1583"/>
  </r>
  <r>
    <s v=" Missouri"/>
    <n v="2014"/>
    <s v="Missouri,2014"/>
    <n v="130"/>
    <n v="63"/>
    <n v="58"/>
    <n v="35"/>
    <n v="67"/>
    <n v="48"/>
    <n v="92"/>
    <n v="152"/>
    <n v="355"/>
    <n v="586"/>
    <n v="1586"/>
  </r>
  <r>
    <s v=" Missouri"/>
    <n v="2015"/>
    <s v="Missouri,2015"/>
    <n v="123"/>
    <n v="63"/>
    <n v="55"/>
    <n v="48"/>
    <n v="53"/>
    <n v="40"/>
    <n v="91"/>
    <n v="166"/>
    <n v="327"/>
    <n v="663"/>
    <n v="1629"/>
  </r>
  <r>
    <s v=" Missouri"/>
    <n v="2016"/>
    <s v="Missouri,2016"/>
    <n v="124"/>
    <n v="46"/>
    <n v="68"/>
    <n v="50"/>
    <n v="33"/>
    <n v="60"/>
    <n v="92"/>
    <n v="172"/>
    <n v="292"/>
    <n v="492"/>
    <n v="1429"/>
  </r>
  <r>
    <s v=" Missouri"/>
    <n v="2017"/>
    <s v="Missouri,2017"/>
    <n v="105"/>
    <n v="54"/>
    <n v="46"/>
    <n v="31"/>
    <n v="56"/>
    <n v="61"/>
    <n v="59"/>
    <n v="171"/>
    <n v="365"/>
    <n v="566"/>
    <n v="1514"/>
  </r>
  <r>
    <s v=" Montana"/>
    <n v="2009"/>
    <s v="Montana,2009"/>
    <n v="130"/>
    <n v="45"/>
    <n v="46"/>
    <n v="57"/>
    <n v="64"/>
    <n v="50"/>
    <n v="54"/>
    <n v="55"/>
    <n v="65"/>
    <n v="87"/>
    <n v="653"/>
  </r>
  <r>
    <s v=" Montana"/>
    <n v="2010"/>
    <s v="Montana,2010"/>
    <n v="120"/>
    <n v="58"/>
    <n v="66"/>
    <n v="48"/>
    <n v="48"/>
    <n v="64"/>
    <n v="46"/>
    <n v="51"/>
    <n v="75"/>
    <n v="93"/>
    <n v="669"/>
  </r>
  <r>
    <s v=" Montana"/>
    <n v="2011"/>
    <s v="Montana,2011"/>
    <n v="118"/>
    <n v="65"/>
    <n v="63"/>
    <n v="71"/>
    <n v="57"/>
    <n v="55"/>
    <n v="34"/>
    <n v="68"/>
    <n v="57"/>
    <n v="68"/>
    <n v="656"/>
  </r>
  <r>
    <s v=" Montana"/>
    <n v="2012"/>
    <s v="Montana,2012"/>
    <n v="105"/>
    <n v="67"/>
    <n v="45"/>
    <n v="56"/>
    <n v="70"/>
    <n v="38"/>
    <n v="74"/>
    <n v="41"/>
    <n v="53"/>
    <n v="92"/>
    <n v="641"/>
  </r>
  <r>
    <s v=" Montana"/>
    <n v="2013"/>
    <s v="Montana,2013"/>
    <n v="101"/>
    <n v="57"/>
    <n v="40"/>
    <n v="63"/>
    <n v="49"/>
    <n v="37"/>
    <n v="47"/>
    <n v="64"/>
    <n v="72"/>
    <n v="96"/>
    <n v="626"/>
  </r>
  <r>
    <s v=" Montana"/>
    <n v="2014"/>
    <s v="Montana,2014"/>
    <n v="109"/>
    <n v="74"/>
    <n v="54"/>
    <n v="54"/>
    <n v="42"/>
    <n v="34"/>
    <n v="52"/>
    <n v="49"/>
    <n v="43"/>
    <n v="90"/>
    <n v="601"/>
  </r>
  <r>
    <s v=" Montana"/>
    <n v="2015"/>
    <s v="Montana,2015"/>
    <n v="105"/>
    <n v="58"/>
    <n v="62"/>
    <n v="61"/>
    <n v="55"/>
    <n v="54"/>
    <n v="64"/>
    <n v="54"/>
    <n v="61"/>
    <n v="96"/>
    <n v="670"/>
  </r>
  <r>
    <s v=" Montana"/>
    <n v="2016"/>
    <s v="Montana,2016"/>
    <n v="99"/>
    <n v="64"/>
    <n v="52"/>
    <n v="52"/>
    <n v="58"/>
    <n v="47"/>
    <n v="50"/>
    <n v="65"/>
    <n v="59"/>
    <n v="65"/>
    <n v="611"/>
  </r>
  <r>
    <s v=" Montana"/>
    <n v="2017"/>
    <s v="Montana,2017"/>
    <n v="119"/>
    <n v="42"/>
    <n v="58"/>
    <n v="44"/>
    <n v="61"/>
    <n v="47"/>
    <n v="45"/>
    <n v="53"/>
    <n v="60"/>
    <n v="74"/>
    <n v="603"/>
  </r>
  <r>
    <s v=" Nebraska"/>
    <n v="2009"/>
    <s v="Nebraska,2009"/>
    <n v="110"/>
    <n v="33"/>
    <n v="70"/>
    <n v="53"/>
    <n v="38"/>
    <n v="47"/>
    <n v="51"/>
    <n v="53"/>
    <n v="75"/>
    <n v="127"/>
    <n v="657"/>
  </r>
  <r>
    <s v=" Nebraska"/>
    <n v="2010"/>
    <s v="Nebraska,2010"/>
    <n v="87"/>
    <n v="53"/>
    <n v="50"/>
    <n v="50"/>
    <n v="49"/>
    <n v="47"/>
    <n v="39"/>
    <n v="69"/>
    <n v="48"/>
    <n v="140"/>
    <n v="632"/>
  </r>
  <r>
    <s v=" Nebraska"/>
    <n v="2011"/>
    <s v="Nebraska,2011"/>
    <n v="129"/>
    <n v="63"/>
    <n v="69"/>
    <n v="65"/>
    <n v="75"/>
    <n v="68"/>
    <n v="46"/>
    <n v="75"/>
    <n v="44"/>
    <n v="194"/>
    <n v="828"/>
  </r>
  <r>
    <s v=" Nebraska"/>
    <n v="2012"/>
    <s v="Nebraska,2012"/>
    <n v="95"/>
    <n v="60"/>
    <n v="45"/>
    <n v="68"/>
    <n v="62"/>
    <n v="56"/>
    <n v="54"/>
    <n v="54"/>
    <n v="71"/>
    <n v="153"/>
    <n v="718"/>
  </r>
  <r>
    <s v=" Nebraska"/>
    <n v="2013"/>
    <s v="Nebraska,2013"/>
    <n v="107"/>
    <n v="71"/>
    <n v="54"/>
    <n v="46"/>
    <n v="69"/>
    <n v="46"/>
    <n v="59"/>
    <n v="53"/>
    <n v="67"/>
    <n v="213"/>
    <n v="785"/>
  </r>
  <r>
    <s v=" Nebraska"/>
    <n v="2014"/>
    <s v="Nebraska,2014"/>
    <n v="120"/>
    <n v="49"/>
    <n v="55"/>
    <n v="46"/>
    <n v="64"/>
    <n v="65"/>
    <n v="60"/>
    <n v="60"/>
    <n v="82"/>
    <n v="160"/>
    <n v="761"/>
  </r>
  <r>
    <s v=" Nebraska"/>
    <n v="2015"/>
    <s v="Nebraska,2015"/>
    <n v="95"/>
    <n v="38"/>
    <n v="56"/>
    <n v="38"/>
    <n v="69"/>
    <n v="58"/>
    <n v="66"/>
    <n v="53"/>
    <n v="84"/>
    <n v="201"/>
    <n v="758"/>
  </r>
  <r>
    <s v=" Nebraska"/>
    <n v="2016"/>
    <s v="Nebraska,2016"/>
    <n v="99"/>
    <n v="35"/>
    <n v="52"/>
    <n v="56"/>
    <n v="59"/>
    <n v="55"/>
    <n v="43"/>
    <n v="56"/>
    <n v="53"/>
    <n v="182"/>
    <n v="690"/>
  </r>
  <r>
    <s v=" Nebraska"/>
    <n v="2017"/>
    <s v="Nebraska,2017"/>
    <n v="58"/>
    <n v="42"/>
    <n v="46"/>
    <n v="69"/>
    <n v="67"/>
    <n v="57"/>
    <n v="59"/>
    <n v="65"/>
    <n v="73"/>
    <n v="216"/>
    <n v="752"/>
  </r>
  <r>
    <s v=" Nevada"/>
    <n v="2009"/>
    <s v="Nevada,2009"/>
    <n v="118"/>
    <n v="47"/>
    <n v="64"/>
    <n v="63"/>
    <n v="60"/>
    <n v="67"/>
    <n v="58"/>
    <n v="91"/>
    <n v="117"/>
    <n v="152"/>
    <n v="837"/>
  </r>
  <r>
    <s v=" Nevada"/>
    <n v="2010"/>
    <s v="Nevada,2010"/>
    <n v="104"/>
    <n v="50"/>
    <n v="49"/>
    <n v="49"/>
    <n v="52"/>
    <n v="43"/>
    <n v="29"/>
    <n v="63"/>
    <n v="144"/>
    <n v="117"/>
    <n v="700"/>
  </r>
  <r>
    <s v=" Nevada"/>
    <n v="2011"/>
    <s v="Nevada,2011"/>
    <n v="122"/>
    <n v="56"/>
    <n v="48"/>
    <n v="48"/>
    <n v="42"/>
    <n v="53"/>
    <n v="64"/>
    <n v="92"/>
    <n v="138"/>
    <n v="111"/>
    <n v="774"/>
  </r>
  <r>
    <s v=" Nevada"/>
    <n v="2012"/>
    <s v="Nevada,2012"/>
    <n v="109"/>
    <n v="42"/>
    <n v="44"/>
    <n v="49"/>
    <n v="53"/>
    <n v="64"/>
    <n v="43"/>
    <n v="72"/>
    <n v="161"/>
    <n v="127"/>
    <n v="764"/>
  </r>
  <r>
    <s v=" Nevada"/>
    <n v="2013"/>
    <s v="Nevada,2013"/>
    <n v="95"/>
    <n v="68"/>
    <n v="59"/>
    <n v="65"/>
    <n v="66"/>
    <n v="62"/>
    <n v="63"/>
    <n v="98"/>
    <n v="114"/>
    <n v="130"/>
    <n v="820"/>
  </r>
  <r>
    <s v=" Nevada"/>
    <n v="2014"/>
    <s v="Nevada,2014"/>
    <n v="102"/>
    <n v="73"/>
    <n v="62"/>
    <n v="40"/>
    <n v="74"/>
    <n v="50"/>
    <n v="71"/>
    <n v="152"/>
    <n v="174"/>
    <n v="174"/>
    <n v="972"/>
  </r>
  <r>
    <s v=" Nevada"/>
    <n v="2015"/>
    <s v="Nevada,2015"/>
    <n v="111"/>
    <n v="65"/>
    <n v="58"/>
    <n v="51"/>
    <n v="41"/>
    <n v="69"/>
    <n v="64"/>
    <n v="121"/>
    <n v="169"/>
    <n v="171"/>
    <n v="920"/>
  </r>
  <r>
    <s v=" Nevada"/>
    <n v="2016"/>
    <s v="Nevada,2016"/>
    <n v="121"/>
    <n v="57"/>
    <n v="51"/>
    <n v="56"/>
    <n v="56"/>
    <n v="60"/>
    <n v="80"/>
    <n v="112"/>
    <n v="152"/>
    <n v="107"/>
    <n v="852"/>
  </r>
  <r>
    <s v=" Nevada"/>
    <n v="2017"/>
    <s v="Nevada,2017"/>
    <n v="113"/>
    <n v="51"/>
    <n v="52"/>
    <n v="58"/>
    <n v="75"/>
    <n v="40"/>
    <n v="66"/>
    <n v="161"/>
    <n v="134"/>
    <n v="153"/>
    <n v="903"/>
  </r>
  <r>
    <s v=" New Hampshire"/>
    <n v="2009"/>
    <s v="New Hampshire,2009"/>
    <n v="112"/>
    <n v="45"/>
    <n v="50"/>
    <n v="49"/>
    <n v="59"/>
    <n v="53"/>
    <n v="59"/>
    <n v="49"/>
    <n v="64"/>
    <n v="87"/>
    <n v="627"/>
  </r>
  <r>
    <s v=" New Hampshire"/>
    <n v="2010"/>
    <s v="New Hampshire,2010"/>
    <n v="81"/>
    <n v="74"/>
    <n v="28"/>
    <n v="61"/>
    <n v="63"/>
    <n v="57"/>
    <n v="48"/>
    <n v="53"/>
    <n v="48"/>
    <n v="105"/>
    <n v="618"/>
  </r>
  <r>
    <s v=" New Hampshire"/>
    <n v="2011"/>
    <s v="New Hampshire,2011"/>
    <n v="108"/>
    <n v="54"/>
    <n v="61"/>
    <n v="64"/>
    <n v="64"/>
    <n v="44"/>
    <n v="52"/>
    <n v="39"/>
    <n v="56"/>
    <n v="121"/>
    <n v="663"/>
  </r>
  <r>
    <s v=" New Hampshire"/>
    <n v="2012"/>
    <s v="New Hampshire,2012"/>
    <n v="107"/>
    <n v="70"/>
    <n v="71"/>
    <n v="62"/>
    <n v="58"/>
    <n v="46"/>
    <n v="48"/>
    <n v="61"/>
    <n v="56"/>
    <n v="126"/>
    <n v="705"/>
  </r>
  <r>
    <s v=" New Hampshire"/>
    <n v="2013"/>
    <s v="New Hampshire,2013"/>
    <n v="93"/>
    <n v="38"/>
    <n v="47"/>
    <n v="50"/>
    <n v="63"/>
    <n v="54"/>
    <n v="45"/>
    <n v="54"/>
    <n v="72"/>
    <n v="116"/>
    <n v="632"/>
  </r>
  <r>
    <s v=" New Hampshire"/>
    <n v="2014"/>
    <s v="New Hampshire,2014"/>
    <n v="96"/>
    <n v="58"/>
    <n v="49"/>
    <n v="55"/>
    <n v="52"/>
    <n v="42"/>
    <n v="55"/>
    <n v="47"/>
    <n v="53"/>
    <n v="77"/>
    <n v="584"/>
  </r>
  <r>
    <s v=" New Hampshire"/>
    <n v="2015"/>
    <s v="New Hampshire,2015"/>
    <n v="121"/>
    <n v="60"/>
    <n v="65"/>
    <n v="56"/>
    <n v="36"/>
    <n v="55"/>
    <n v="63"/>
    <n v="69"/>
    <n v="57"/>
    <n v="157"/>
    <n v="739"/>
  </r>
  <r>
    <s v=" New Hampshire"/>
    <n v="2016"/>
    <s v="New Hampshire,2016"/>
    <n v="86"/>
    <n v="61"/>
    <n v="42"/>
    <n v="52"/>
    <n v="47"/>
    <n v="48"/>
    <n v="55"/>
    <n v="44"/>
    <n v="55"/>
    <n v="84"/>
    <n v="574"/>
  </r>
  <r>
    <s v=" New Hampshire"/>
    <n v="2017"/>
    <s v="New Hampshire,2017"/>
    <n v="113"/>
    <n v="53"/>
    <n v="57"/>
    <n v="61"/>
    <n v="58"/>
    <n v="70"/>
    <n v="64"/>
    <n v="68"/>
    <n v="54"/>
    <n v="112"/>
    <n v="710"/>
  </r>
  <r>
    <s v=" New Jersey"/>
    <n v="2009"/>
    <s v="New Jersey,2009"/>
    <n v="103"/>
    <n v="45"/>
    <n v="50"/>
    <n v="71"/>
    <n v="53"/>
    <n v="70"/>
    <n v="88"/>
    <n v="129"/>
    <n v="363"/>
    <n v="605"/>
    <n v="1577"/>
  </r>
  <r>
    <s v=" New Jersey"/>
    <n v="2010"/>
    <s v="New Jersey,2010"/>
    <n v="121"/>
    <n v="49"/>
    <n v="77"/>
    <n v="52"/>
    <n v="40"/>
    <n v="43"/>
    <n v="71"/>
    <n v="114"/>
    <n v="286"/>
    <n v="546"/>
    <n v="1399"/>
  </r>
  <r>
    <s v=" New Jersey"/>
    <n v="2011"/>
    <s v="New Jersey,2011"/>
    <n v="117"/>
    <n v="64"/>
    <n v="34"/>
    <n v="55"/>
    <n v="51"/>
    <n v="70"/>
    <n v="77"/>
    <n v="137"/>
    <n v="292"/>
    <n v="603"/>
    <n v="1500"/>
  </r>
  <r>
    <s v=" New Jersey"/>
    <n v="2012"/>
    <s v="New Jersey,2012"/>
    <n v="95"/>
    <n v="49"/>
    <n v="44"/>
    <n v="53"/>
    <n v="46"/>
    <n v="49"/>
    <n v="69"/>
    <n v="114"/>
    <n v="283"/>
    <n v="571"/>
    <n v="1373"/>
  </r>
  <r>
    <s v=" New Jersey"/>
    <n v="2013"/>
    <s v="New Jersey,2013"/>
    <n v="76"/>
    <n v="58"/>
    <n v="50"/>
    <n v="62"/>
    <n v="81"/>
    <n v="67"/>
    <n v="90"/>
    <n v="136"/>
    <n v="334"/>
    <n v="690"/>
    <n v="1644"/>
  </r>
  <r>
    <s v=" New Jersey"/>
    <n v="2014"/>
    <s v="New Jersey,2014"/>
    <n v="113"/>
    <n v="46"/>
    <n v="37"/>
    <n v="62"/>
    <n v="47"/>
    <n v="50"/>
    <n v="73"/>
    <n v="137"/>
    <n v="274"/>
    <n v="633"/>
    <n v="1472"/>
  </r>
  <r>
    <s v=" New Jersey"/>
    <n v="2015"/>
    <s v="New Jersey,2015"/>
    <n v="117"/>
    <n v="60"/>
    <n v="33"/>
    <n v="46"/>
    <n v="65"/>
    <n v="53"/>
    <n v="84"/>
    <n v="144"/>
    <n v="331"/>
    <n v="754"/>
    <n v="1687"/>
  </r>
  <r>
    <s v=" New Jersey"/>
    <n v="2016"/>
    <s v="New Jersey,2016"/>
    <n v="124"/>
    <n v="56"/>
    <n v="50"/>
    <n v="52"/>
    <n v="64"/>
    <n v="54"/>
    <n v="97"/>
    <n v="167"/>
    <n v="281"/>
    <n v="581"/>
    <n v="1526"/>
  </r>
  <r>
    <s v=" New Jersey"/>
    <n v="2017"/>
    <s v="New Jersey,2017"/>
    <n v="127"/>
    <n v="65"/>
    <n v="60"/>
    <n v="44"/>
    <n v="57"/>
    <n v="72"/>
    <n v="101"/>
    <n v="150"/>
    <n v="343"/>
    <n v="650"/>
    <n v="1669"/>
  </r>
  <r>
    <s v=" New Mexico"/>
    <n v="2009"/>
    <s v="New Mexico,2009"/>
    <n v="119"/>
    <n v="40"/>
    <n v="48"/>
    <n v="73"/>
    <n v="47"/>
    <n v="63"/>
    <n v="68"/>
    <n v="56"/>
    <n v="53"/>
    <n v="128"/>
    <n v="695"/>
  </r>
  <r>
    <s v=" New Mexico"/>
    <n v="2010"/>
    <s v="New Mexico,2010"/>
    <n v="108"/>
    <n v="64"/>
    <n v="77"/>
    <n v="31"/>
    <n v="73"/>
    <n v="52"/>
    <n v="54"/>
    <n v="60"/>
    <n v="74"/>
    <n v="119"/>
    <n v="712"/>
  </r>
  <r>
    <s v=" New Mexico"/>
    <n v="2011"/>
    <s v="New Mexico,2011"/>
    <n v="133"/>
    <n v="72"/>
    <n v="52"/>
    <n v="47"/>
    <n v="51"/>
    <n v="59"/>
    <n v="57"/>
    <n v="62"/>
    <n v="71"/>
    <n v="144"/>
    <n v="748"/>
  </r>
  <r>
    <s v=" New Mexico"/>
    <n v="2012"/>
    <s v="New Mexico,2012"/>
    <n v="100"/>
    <n v="71"/>
    <n v="60"/>
    <n v="54"/>
    <n v="54"/>
    <n v="44"/>
    <n v="37"/>
    <n v="67"/>
    <n v="38"/>
    <n v="112"/>
    <n v="637"/>
  </r>
  <r>
    <s v=" New Mexico"/>
    <n v="2013"/>
    <s v="New Mexico,2013"/>
    <n v="101"/>
    <n v="50"/>
    <n v="60"/>
    <n v="60"/>
    <n v="62"/>
    <n v="68"/>
    <n v="54"/>
    <n v="51"/>
    <n v="75"/>
    <n v="140"/>
    <n v="721"/>
  </r>
  <r>
    <s v=" New Mexico"/>
    <n v="2014"/>
    <s v="New Mexico,2014"/>
    <n v="115"/>
    <n v="56"/>
    <n v="63"/>
    <n v="59"/>
    <n v="53"/>
    <n v="41"/>
    <n v="66"/>
    <n v="60"/>
    <n v="63"/>
    <n v="114"/>
    <n v="690"/>
  </r>
  <r>
    <s v=" New Mexico"/>
    <n v="2015"/>
    <s v="New Mexico,2015"/>
    <n v="128"/>
    <n v="55"/>
    <n v="54"/>
    <n v="49"/>
    <n v="60"/>
    <n v="36"/>
    <n v="72"/>
    <n v="79"/>
    <n v="76"/>
    <n v="108"/>
    <n v="717"/>
  </r>
  <r>
    <s v=" New Mexico"/>
    <n v="2016"/>
    <s v="New Mexico,2016"/>
    <n v="109"/>
    <n v="48"/>
    <n v="67"/>
    <n v="37"/>
    <n v="56"/>
    <n v="53"/>
    <n v="41"/>
    <n v="59"/>
    <n v="78"/>
    <n v="105"/>
    <n v="653"/>
  </r>
  <r>
    <s v=" New Mexico"/>
    <n v="2017"/>
    <s v="New Mexico,2017"/>
    <n v="112"/>
    <n v="60"/>
    <n v="34"/>
    <n v="63"/>
    <n v="41"/>
    <n v="48"/>
    <n v="52"/>
    <n v="69"/>
    <n v="86"/>
    <n v="83"/>
    <n v="648"/>
  </r>
  <r>
    <s v=" New York"/>
    <n v="2009"/>
    <s v="New York,2009"/>
    <n v="112"/>
    <n v="49"/>
    <n v="60"/>
    <n v="55"/>
    <n v="73"/>
    <n v="191"/>
    <n v="286"/>
    <n v="534"/>
    <n v="1254"/>
    <n v="2090"/>
    <n v="4704"/>
  </r>
  <r>
    <s v=" New York"/>
    <n v="2010"/>
    <s v="New York,2010"/>
    <n v="119"/>
    <n v="71"/>
    <n v="32"/>
    <n v="34"/>
    <n v="50"/>
    <n v="133"/>
    <n v="326"/>
    <n v="523"/>
    <n v="1269"/>
    <n v="2273"/>
    <n v="4830"/>
  </r>
  <r>
    <s v=" New York"/>
    <n v="2011"/>
    <s v="New York,2011"/>
    <n v="103"/>
    <n v="61"/>
    <n v="55"/>
    <n v="41"/>
    <n v="63"/>
    <n v="159"/>
    <n v="333"/>
    <n v="530"/>
    <n v="1268"/>
    <n v="2498"/>
    <n v="5111"/>
  </r>
  <r>
    <s v=" New York"/>
    <n v="2012"/>
    <s v="New York,2012"/>
    <n v="86"/>
    <n v="42"/>
    <n v="60"/>
    <n v="60"/>
    <n v="49"/>
    <n v="120"/>
    <n v="307"/>
    <n v="509"/>
    <n v="1152"/>
    <n v="2208"/>
    <n v="4593"/>
  </r>
  <r>
    <s v=" New York"/>
    <n v="2013"/>
    <s v="New York,2013"/>
    <n v="118"/>
    <n v="44"/>
    <n v="43"/>
    <n v="47"/>
    <n v="39"/>
    <n v="149"/>
    <n v="350"/>
    <n v="636"/>
    <n v="1216"/>
    <n v="2430"/>
    <n v="5072"/>
  </r>
  <r>
    <s v=" New York"/>
    <n v="2014"/>
    <s v="New York,2014"/>
    <n v="91"/>
    <n v="46"/>
    <n v="52"/>
    <n v="70"/>
    <n v="78"/>
    <n v="164"/>
    <n v="394"/>
    <n v="615"/>
    <n v="1171"/>
    <n v="2244"/>
    <n v="4925"/>
  </r>
  <r>
    <s v=" New York"/>
    <n v="2015"/>
    <s v="New York,2015"/>
    <n v="105"/>
    <n v="54"/>
    <n v="43"/>
    <n v="64"/>
    <n v="62"/>
    <n v="143"/>
    <n v="329"/>
    <n v="620"/>
    <n v="1214"/>
    <n v="2464"/>
    <n v="5098"/>
  </r>
  <r>
    <s v=" New York"/>
    <n v="2016"/>
    <s v="New York,2016"/>
    <n v="90"/>
    <n v="62"/>
    <n v="53"/>
    <n v="63"/>
    <n v="64"/>
    <n v="110"/>
    <n v="376"/>
    <n v="695"/>
    <n v="1127"/>
    <n v="2081"/>
    <n v="4721"/>
  </r>
  <r>
    <s v=" New York"/>
    <n v="2017"/>
    <s v="New York,2017"/>
    <n v="75"/>
    <n v="50"/>
    <n v="47"/>
    <n v="56"/>
    <n v="45"/>
    <n v="119"/>
    <n v="333"/>
    <n v="655"/>
    <n v="1134"/>
    <n v="2166"/>
    <n v="4680"/>
  </r>
  <r>
    <s v=" North Carolina"/>
    <n v="2009"/>
    <s v="North Carolina,2009"/>
    <n v="99"/>
    <n v="49"/>
    <n v="50"/>
    <n v="70"/>
    <n v="46"/>
    <n v="99"/>
    <n v="103"/>
    <n v="260"/>
    <n v="475"/>
    <n v="697"/>
    <n v="1948"/>
  </r>
  <r>
    <s v=" North Carolina"/>
    <n v="2010"/>
    <s v="North Carolina,2010"/>
    <n v="106"/>
    <n v="48"/>
    <n v="56"/>
    <n v="40"/>
    <n v="55"/>
    <n v="64"/>
    <n v="124"/>
    <n v="213"/>
    <n v="440"/>
    <n v="783"/>
    <n v="1929"/>
  </r>
  <r>
    <s v=" North Carolina"/>
    <n v="2011"/>
    <s v="North Carolina,2011"/>
    <n v="123"/>
    <n v="62"/>
    <n v="48"/>
    <n v="68"/>
    <n v="69"/>
    <n v="69"/>
    <n v="106"/>
    <n v="223"/>
    <n v="412"/>
    <n v="709"/>
    <n v="1889"/>
  </r>
  <r>
    <s v=" North Carolina"/>
    <n v="2012"/>
    <s v="North Carolina,2012"/>
    <n v="93"/>
    <n v="49"/>
    <n v="36"/>
    <n v="42"/>
    <n v="59"/>
    <n v="64"/>
    <n v="174"/>
    <n v="293"/>
    <n v="510"/>
    <n v="794"/>
    <n v="2114"/>
  </r>
  <r>
    <s v=" North Carolina"/>
    <n v="2013"/>
    <s v="North Carolina,2013"/>
    <n v="111"/>
    <n v="55"/>
    <n v="52"/>
    <n v="37"/>
    <n v="54"/>
    <n v="94"/>
    <n v="160"/>
    <n v="288"/>
    <n v="501"/>
    <n v="797"/>
    <n v="2149"/>
  </r>
  <r>
    <s v=" North Carolina"/>
    <n v="2014"/>
    <s v="North Carolina,2014"/>
    <n v="116"/>
    <n v="54"/>
    <n v="63"/>
    <n v="43"/>
    <n v="66"/>
    <n v="115"/>
    <n v="184"/>
    <n v="304"/>
    <n v="479"/>
    <n v="745"/>
    <n v="2169"/>
  </r>
  <r>
    <s v=" North Carolina"/>
    <n v="2015"/>
    <s v="North Carolina,2015"/>
    <n v="116"/>
    <n v="66"/>
    <n v="60"/>
    <n v="66"/>
    <n v="42"/>
    <n v="85"/>
    <n v="178"/>
    <n v="365"/>
    <n v="510"/>
    <n v="903"/>
    <n v="2391"/>
  </r>
  <r>
    <s v=" North Carolina"/>
    <n v="2016"/>
    <s v="North Carolina,2016"/>
    <n v="97"/>
    <n v="56"/>
    <n v="69"/>
    <n v="43"/>
    <n v="56"/>
    <n v="88"/>
    <n v="187"/>
    <n v="323"/>
    <n v="487"/>
    <n v="740"/>
    <n v="2146"/>
  </r>
  <r>
    <s v=" North Carolina"/>
    <n v="2017"/>
    <s v="North Carolina,2017"/>
    <n v="94"/>
    <n v="44"/>
    <n v="46"/>
    <n v="60"/>
    <n v="53"/>
    <n v="91"/>
    <n v="215"/>
    <n v="363"/>
    <n v="514"/>
    <n v="813"/>
    <n v="2293"/>
  </r>
  <r>
    <s v=" North Dakota"/>
    <n v="2009"/>
    <s v="North Dakota,2009"/>
    <n v="117"/>
    <n v="60"/>
    <n v="40"/>
    <n v="48"/>
    <n v="63"/>
    <n v="42"/>
    <n v="47"/>
    <n v="64"/>
    <n v="68"/>
    <n v="58"/>
    <n v="607"/>
  </r>
  <r>
    <s v=" North Dakota"/>
    <n v="2010"/>
    <s v="North Dakota,2010"/>
    <n v="112"/>
    <n v="51"/>
    <n v="42"/>
    <n v="62"/>
    <n v="52"/>
    <n v="48"/>
    <n v="53"/>
    <n v="57"/>
    <n v="67"/>
    <n v="70"/>
    <n v="614"/>
  </r>
  <r>
    <s v=" North Dakota"/>
    <n v="2011"/>
    <s v="North Dakota,2011"/>
    <n v="114"/>
    <n v="47"/>
    <n v="56"/>
    <n v="50"/>
    <n v="41"/>
    <n v="48"/>
    <n v="56"/>
    <n v="56"/>
    <n v="53"/>
    <n v="55"/>
    <n v="576"/>
  </r>
  <r>
    <s v=" North Dakota"/>
    <n v="2012"/>
    <s v="North Dakota,2012"/>
    <n v="89"/>
    <n v="39"/>
    <n v="52"/>
    <n v="39"/>
    <n v="53"/>
    <n v="60"/>
    <n v="48"/>
    <n v="65"/>
    <n v="64"/>
    <n v="83"/>
    <n v="592"/>
  </r>
  <r>
    <s v=" North Dakota"/>
    <n v="2013"/>
    <s v="North Dakota,2013"/>
    <n v="112"/>
    <n v="62"/>
    <n v="70"/>
    <n v="48"/>
    <n v="46"/>
    <n v="60"/>
    <n v="45"/>
    <n v="53"/>
    <n v="50"/>
    <n v="81"/>
    <n v="627"/>
  </r>
  <r>
    <s v=" North Dakota"/>
    <n v="2014"/>
    <s v="North Dakota,2014"/>
    <n v="91"/>
    <n v="31"/>
    <n v="61"/>
    <n v="56"/>
    <n v="58"/>
    <n v="49"/>
    <n v="55"/>
    <n v="63"/>
    <n v="56"/>
    <n v="89"/>
    <n v="609"/>
  </r>
  <r>
    <s v=" North Dakota"/>
    <n v="2015"/>
    <s v="North Dakota,2015"/>
    <n v="104"/>
    <n v="58"/>
    <n v="48"/>
    <n v="64"/>
    <n v="63"/>
    <n v="41"/>
    <n v="60"/>
    <n v="54"/>
    <n v="82"/>
    <n v="89"/>
    <n v="663"/>
  </r>
  <r>
    <s v=" North Dakota"/>
    <n v="2016"/>
    <s v="North Dakota,2016"/>
    <n v="99"/>
    <n v="52"/>
    <n v="78"/>
    <n v="53"/>
    <n v="55"/>
    <n v="43"/>
    <n v="63"/>
    <n v="56"/>
    <n v="51"/>
    <n v="62"/>
    <n v="612"/>
  </r>
  <r>
    <s v=" North Dakota"/>
    <n v="2017"/>
    <s v="North Dakota,2017"/>
    <n v="133"/>
    <n v="70"/>
    <n v="74"/>
    <n v="49"/>
    <n v="50"/>
    <n v="28"/>
    <n v="58"/>
    <n v="50"/>
    <n v="64"/>
    <n v="51"/>
    <n v="627"/>
  </r>
  <r>
    <s v=" Ohio"/>
    <n v="2009"/>
    <s v="Ohio,2009"/>
    <n v="107"/>
    <n v="66"/>
    <n v="38"/>
    <n v="70"/>
    <n v="66"/>
    <n v="106"/>
    <n v="159"/>
    <n v="245"/>
    <n v="570"/>
    <n v="825"/>
    <n v="2252"/>
  </r>
  <r>
    <s v=" Ohio"/>
    <n v="2010"/>
    <s v="Ohio,2010"/>
    <n v="147"/>
    <n v="55"/>
    <n v="70"/>
    <n v="54"/>
    <n v="66"/>
    <n v="68"/>
    <n v="159"/>
    <n v="244"/>
    <n v="532"/>
    <n v="893"/>
    <n v="2288"/>
  </r>
  <r>
    <s v=" Ohio"/>
    <n v="2011"/>
    <s v="Ohio,2011"/>
    <n v="105"/>
    <n v="51"/>
    <n v="49"/>
    <n v="40"/>
    <n v="50"/>
    <n v="112"/>
    <n v="182"/>
    <n v="275"/>
    <n v="592"/>
    <n v="1025"/>
    <n v="2481"/>
  </r>
  <r>
    <s v=" Ohio"/>
    <n v="2012"/>
    <s v="Ohio,2012"/>
    <n v="123"/>
    <n v="55"/>
    <n v="78"/>
    <n v="48"/>
    <n v="73"/>
    <n v="55"/>
    <n v="178"/>
    <n v="254"/>
    <n v="574"/>
    <n v="1053"/>
    <n v="2491"/>
  </r>
  <r>
    <s v=" Ohio"/>
    <n v="2013"/>
    <s v="Ohio,2013"/>
    <n v="125"/>
    <n v="63"/>
    <n v="49"/>
    <n v="56"/>
    <n v="50"/>
    <n v="87"/>
    <n v="217"/>
    <n v="310"/>
    <n v="641"/>
    <n v="1054"/>
    <n v="2652"/>
  </r>
  <r>
    <s v=" Ohio"/>
    <n v="2014"/>
    <s v="Ohio,2014"/>
    <n v="128"/>
    <n v="50"/>
    <n v="36"/>
    <n v="71"/>
    <n v="49"/>
    <n v="103"/>
    <n v="230"/>
    <n v="360"/>
    <n v="590"/>
    <n v="1075"/>
    <n v="2692"/>
  </r>
  <r>
    <s v=" Ohio"/>
    <n v="2015"/>
    <s v="Ohio,2015"/>
    <n v="106"/>
    <n v="74"/>
    <n v="55"/>
    <n v="61"/>
    <n v="74"/>
    <n v="71"/>
    <n v="204"/>
    <n v="361"/>
    <n v="596"/>
    <n v="1136"/>
    <n v="2738"/>
  </r>
  <r>
    <s v=" Ohio"/>
    <n v="2016"/>
    <s v="Ohio,2016"/>
    <n v="121"/>
    <n v="51"/>
    <n v="50"/>
    <n v="52"/>
    <n v="45"/>
    <n v="65"/>
    <n v="217"/>
    <n v="355"/>
    <n v="539"/>
    <n v="879"/>
    <n v="2374"/>
  </r>
  <r>
    <s v=" Ohio"/>
    <n v="2017"/>
    <s v="Ohio,2017"/>
    <n v="113"/>
    <n v="46"/>
    <n v="47"/>
    <n v="65"/>
    <n v="35"/>
    <n v="79"/>
    <n v="207"/>
    <n v="381"/>
    <n v="544"/>
    <n v="963"/>
    <n v="2480"/>
  </r>
  <r>
    <s v=" Oklahoma"/>
    <n v="2009"/>
    <s v="Oklahoma,2009"/>
    <n v="113"/>
    <n v="62"/>
    <n v="61"/>
    <n v="62"/>
    <n v="63"/>
    <n v="54"/>
    <n v="67"/>
    <n v="103"/>
    <n v="234"/>
    <n v="326"/>
    <n v="1145"/>
  </r>
  <r>
    <s v=" Oklahoma"/>
    <n v="2010"/>
    <s v="Oklahoma,2010"/>
    <n v="117"/>
    <n v="61"/>
    <n v="64"/>
    <n v="61"/>
    <n v="51"/>
    <n v="49"/>
    <n v="68"/>
    <n v="97"/>
    <n v="225"/>
    <n v="298"/>
    <n v="1091"/>
  </r>
  <r>
    <s v=" Oklahoma"/>
    <n v="2011"/>
    <s v="Oklahoma,2011"/>
    <n v="97"/>
    <n v="62"/>
    <n v="60"/>
    <n v="48"/>
    <n v="59"/>
    <n v="57"/>
    <n v="66"/>
    <n v="136"/>
    <n v="219"/>
    <n v="326"/>
    <n v="1130"/>
  </r>
  <r>
    <s v=" Oklahoma"/>
    <n v="2012"/>
    <s v="Oklahoma,2012"/>
    <n v="131"/>
    <n v="48"/>
    <n v="36"/>
    <n v="51"/>
    <n v="50"/>
    <n v="45"/>
    <n v="78"/>
    <n v="61"/>
    <n v="121"/>
    <n v="229"/>
    <n v="850"/>
  </r>
  <r>
    <s v=" Oklahoma"/>
    <n v="2013"/>
    <s v="Oklahoma,2013"/>
    <n v="99"/>
    <n v="35"/>
    <n v="42"/>
    <n v="59"/>
    <n v="47"/>
    <n v="52"/>
    <n v="86"/>
    <n v="89"/>
    <n v="162"/>
    <n v="305"/>
    <n v="976"/>
  </r>
  <r>
    <s v=" Oklahoma"/>
    <n v="2014"/>
    <s v="Oklahoma,2014"/>
    <n v="85"/>
    <n v="50"/>
    <n v="52"/>
    <n v="64"/>
    <n v="42"/>
    <n v="69"/>
    <n v="101"/>
    <n v="118"/>
    <n v="146"/>
    <n v="257"/>
    <n v="984"/>
  </r>
  <r>
    <s v=" Oklahoma"/>
    <n v="2015"/>
    <s v="Oklahoma,2015"/>
    <n v="115"/>
    <n v="44"/>
    <n v="48"/>
    <n v="55"/>
    <n v="51"/>
    <n v="67"/>
    <n v="60"/>
    <n v="106"/>
    <n v="208"/>
    <n v="256"/>
    <n v="1010"/>
  </r>
  <r>
    <s v=" Oklahoma"/>
    <n v="2016"/>
    <s v="Oklahoma,2016"/>
    <n v="105"/>
    <n v="67"/>
    <n v="56"/>
    <n v="40"/>
    <n v="72"/>
    <n v="51"/>
    <n v="81"/>
    <n v="74"/>
    <n v="133"/>
    <n v="194"/>
    <n v="873"/>
  </r>
  <r>
    <s v=" Oklahoma"/>
    <n v="2017"/>
    <s v="Oklahoma,2017"/>
    <n v="104"/>
    <n v="68"/>
    <n v="60"/>
    <n v="49"/>
    <n v="54"/>
    <n v="42"/>
    <n v="49"/>
    <n v="114"/>
    <n v="146"/>
    <n v="206"/>
    <n v="892"/>
  </r>
  <r>
    <s v=" Oregon"/>
    <n v="2009"/>
    <s v="Oregon,2009"/>
    <n v="80"/>
    <n v="47"/>
    <n v="62"/>
    <n v="61"/>
    <n v="58"/>
    <n v="64"/>
    <n v="56"/>
    <n v="64"/>
    <n v="111"/>
    <n v="206"/>
    <n v="809"/>
  </r>
  <r>
    <s v=" Oregon"/>
    <n v="2010"/>
    <s v="Oregon,2010"/>
    <n v="124"/>
    <n v="70"/>
    <n v="38"/>
    <n v="36"/>
    <n v="55"/>
    <n v="55"/>
    <n v="51"/>
    <n v="56"/>
    <n v="80"/>
    <n v="227"/>
    <n v="792"/>
  </r>
  <r>
    <s v=" Oregon"/>
    <n v="2011"/>
    <s v="Oregon,2011"/>
    <n v="133"/>
    <n v="68"/>
    <n v="56"/>
    <n v="62"/>
    <n v="53"/>
    <n v="51"/>
    <n v="61"/>
    <n v="59"/>
    <n v="56"/>
    <n v="204"/>
    <n v="803"/>
  </r>
  <r>
    <s v=" Oregon"/>
    <n v="2012"/>
    <s v="Oregon,2012"/>
    <n v="121"/>
    <n v="56"/>
    <n v="73"/>
    <n v="51"/>
    <n v="51"/>
    <n v="52"/>
    <n v="54"/>
    <n v="55"/>
    <n v="64"/>
    <n v="188"/>
    <n v="765"/>
  </r>
  <r>
    <s v=" Oregon"/>
    <n v="2013"/>
    <s v="Oregon,2013"/>
    <n v="109"/>
    <n v="56"/>
    <n v="65"/>
    <n v="63"/>
    <n v="53"/>
    <n v="42"/>
    <n v="64"/>
    <n v="60"/>
    <n v="112"/>
    <n v="231"/>
    <n v="855"/>
  </r>
  <r>
    <s v=" Oregon"/>
    <n v="2014"/>
    <s v="Oregon,2014"/>
    <n v="122"/>
    <n v="45"/>
    <n v="44"/>
    <n v="51"/>
    <n v="58"/>
    <n v="72"/>
    <n v="60"/>
    <n v="72"/>
    <n v="83"/>
    <n v="184"/>
    <n v="791"/>
  </r>
  <r>
    <s v=" Oregon"/>
    <n v="2015"/>
    <s v="Oregon,2015"/>
    <n v="104"/>
    <n v="57"/>
    <n v="60"/>
    <n v="55"/>
    <n v="64"/>
    <n v="59"/>
    <n v="37"/>
    <n v="60"/>
    <n v="79"/>
    <n v="222"/>
    <n v="797"/>
  </r>
  <r>
    <s v=" Oregon"/>
    <n v="2016"/>
    <s v="Oregon,2016"/>
    <n v="110"/>
    <n v="47"/>
    <n v="37"/>
    <n v="65"/>
    <n v="58"/>
    <n v="48"/>
    <n v="59"/>
    <n v="78"/>
    <n v="88"/>
    <n v="172"/>
    <n v="762"/>
  </r>
  <r>
    <s v=" Oregon"/>
    <n v="2017"/>
    <s v="Oregon,2017"/>
    <n v="105"/>
    <n v="57"/>
    <n v="58"/>
    <n v="45"/>
    <n v="48"/>
    <n v="62"/>
    <n v="79"/>
    <n v="97"/>
    <n v="132"/>
    <n v="262"/>
    <n v="945"/>
  </r>
  <r>
    <s v=" Pennsylvania"/>
    <n v="2009"/>
    <s v="Pennsylvania,2009"/>
    <n v="115"/>
    <n v="54"/>
    <n v="64"/>
    <n v="62"/>
    <n v="73"/>
    <n v="91"/>
    <n v="175"/>
    <n v="270"/>
    <n v="686"/>
    <n v="1232"/>
    <n v="2822"/>
  </r>
  <r>
    <s v=" Pennsylvania"/>
    <n v="2010"/>
    <s v="Pennsylvania,2010"/>
    <n v="102"/>
    <n v="55"/>
    <n v="63"/>
    <n v="53"/>
    <n v="60"/>
    <n v="62"/>
    <n v="140"/>
    <n v="256"/>
    <n v="615"/>
    <n v="1176"/>
    <n v="2582"/>
  </r>
  <r>
    <s v=" Pennsylvania"/>
    <n v="2011"/>
    <s v="Pennsylvania,2011"/>
    <n v="121"/>
    <n v="58"/>
    <n v="46"/>
    <n v="60"/>
    <n v="61"/>
    <n v="77"/>
    <n v="176"/>
    <n v="312"/>
    <n v="691"/>
    <n v="1423"/>
    <n v="3025"/>
  </r>
  <r>
    <s v=" Pennsylvania"/>
    <n v="2012"/>
    <s v="Pennsylvania,2012"/>
    <n v="106"/>
    <n v="57"/>
    <n v="52"/>
    <n v="48"/>
    <n v="68"/>
    <n v="37"/>
    <n v="113"/>
    <n v="258"/>
    <n v="646"/>
    <n v="1208"/>
    <n v="2593"/>
  </r>
  <r>
    <s v=" Pennsylvania"/>
    <n v="2013"/>
    <s v="Pennsylvania,2013"/>
    <n v="83"/>
    <n v="39"/>
    <n v="56"/>
    <n v="68"/>
    <n v="45"/>
    <n v="73"/>
    <n v="183"/>
    <n v="302"/>
    <n v="708"/>
    <n v="1526"/>
    <n v="3083"/>
  </r>
  <r>
    <s v=" Pennsylvania"/>
    <n v="2014"/>
    <s v="Pennsylvania,2014"/>
    <n v="91"/>
    <n v="56"/>
    <n v="49"/>
    <n v="60"/>
    <n v="48"/>
    <n v="90"/>
    <n v="213"/>
    <n v="320"/>
    <n v="611"/>
    <n v="1232"/>
    <n v="2770"/>
  </r>
  <r>
    <s v=" Pennsylvania"/>
    <n v="2015"/>
    <s v="Pennsylvania,2015"/>
    <n v="108"/>
    <n v="45"/>
    <n v="55"/>
    <n v="43"/>
    <n v="54"/>
    <n v="75"/>
    <n v="200"/>
    <n v="355"/>
    <n v="697"/>
    <n v="1508"/>
    <n v="3140"/>
  </r>
  <r>
    <s v=" Pennsylvania"/>
    <n v="2016"/>
    <s v="Pennsylvania,2016"/>
    <n v="104"/>
    <n v="59"/>
    <n v="51"/>
    <n v="57"/>
    <n v="54"/>
    <n v="87"/>
    <n v="138"/>
    <n v="356"/>
    <n v="624"/>
    <n v="1191"/>
    <n v="2721"/>
  </r>
  <r>
    <s v=" Pennsylvania"/>
    <n v="2017"/>
    <s v="Pennsylvania,2017"/>
    <n v="99"/>
    <n v="47"/>
    <n v="78"/>
    <n v="48"/>
    <n v="45"/>
    <n v="69"/>
    <n v="201"/>
    <n v="360"/>
    <n v="611"/>
    <n v="1422"/>
    <n v="2980"/>
  </r>
  <r>
    <s v=" Puerto Rico"/>
    <n v="2009"/>
    <s v="Puerto Rico,2009"/>
    <n v="107.62309368191721"/>
    <n v="54.305010893246184"/>
    <n v="54.100217864923749"/>
    <n v="54.649237472766885"/>
    <n v="56.06100217864924"/>
    <n v="65.302832244008712"/>
    <n v="98.721132897603482"/>
    <n v="148.400871459695"/>
    <n v="266.79738562091501"/>
    <n v="475.49455337690631"/>
    <n v="1381.4553376906317"/>
  </r>
  <r>
    <s v=" Puerto Rico"/>
    <n v="2010"/>
    <s v="Puerto Rico,2010"/>
    <n v="107.62309368191721"/>
    <n v="54.305010893246184"/>
    <n v="54.100217864923749"/>
    <n v="54.649237472766885"/>
    <n v="56.06100217864924"/>
    <n v="65.302832244008712"/>
    <n v="98.721132897603482"/>
    <n v="148.400871459695"/>
    <n v="266.79738562091501"/>
    <n v="475.49455337690631"/>
    <n v="1381.4553376906317"/>
  </r>
  <r>
    <s v=" Puerto Rico"/>
    <n v="2011"/>
    <s v="Puerto Rico,2011"/>
    <n v="107.62309368191721"/>
    <n v="54.305010893246184"/>
    <n v="54.100217864923749"/>
    <n v="54.649237472766885"/>
    <n v="56.06100217864924"/>
    <n v="65.302832244008712"/>
    <n v="98.721132897603482"/>
    <n v="148.400871459695"/>
    <n v="266.79738562091501"/>
    <n v="475.49455337690631"/>
    <n v="1381.4553376906317"/>
  </r>
  <r>
    <s v=" Puerto Rico"/>
    <n v="2012"/>
    <s v="Puerto Rico,2012"/>
    <n v="107.62309368191721"/>
    <n v="54.305010893246184"/>
    <n v="54.100217864923749"/>
    <n v="54.649237472766885"/>
    <n v="56.06100217864924"/>
    <n v="65.302832244008712"/>
    <n v="98.721132897603482"/>
    <n v="148.400871459695"/>
    <n v="266.79738562091501"/>
    <n v="475.49455337690631"/>
    <n v="1381.4553376906317"/>
  </r>
  <r>
    <s v=" Puerto Rico"/>
    <n v="2013"/>
    <s v="Puerto Rico,2013"/>
    <n v="107.62309368191721"/>
    <n v="54.305010893246184"/>
    <n v="54.100217864923749"/>
    <n v="54.649237472766885"/>
    <n v="56.06100217864924"/>
    <n v="65.302832244008712"/>
    <n v="98.721132897603482"/>
    <n v="148.400871459695"/>
    <n v="266.79738562091501"/>
    <n v="475.49455337690631"/>
    <n v="1381.4553376906317"/>
  </r>
  <r>
    <s v=" Puerto Rico"/>
    <n v="2014"/>
    <s v="Puerto Rico,2014"/>
    <n v="107.62309368191721"/>
    <n v="54.305010893246184"/>
    <n v="54.100217864923749"/>
    <n v="54.649237472766885"/>
    <n v="56.06100217864924"/>
    <n v="65.302832244008712"/>
    <n v="98.721132897603482"/>
    <n v="148.400871459695"/>
    <n v="266.79738562091501"/>
    <n v="475.49455337690631"/>
    <n v="1381.4553376906317"/>
  </r>
  <r>
    <s v=" Puerto Rico"/>
    <n v="2015"/>
    <s v="Puerto Rico,2015"/>
    <n v="107.62309368191721"/>
    <n v="54.305010893246184"/>
    <n v="54.100217864923749"/>
    <n v="54.649237472766885"/>
    <n v="56.06100217864924"/>
    <n v="65.302832244008712"/>
    <n v="98.721132897603482"/>
    <n v="148.400871459695"/>
    <n v="266.79738562091501"/>
    <n v="475.49455337690631"/>
    <n v="1381.4553376906317"/>
  </r>
  <r>
    <s v=" Puerto Rico"/>
    <n v="2016"/>
    <s v="Puerto Rico,2016"/>
    <n v="107.62309368191721"/>
    <n v="54.305010893246184"/>
    <n v="54.100217864923749"/>
    <n v="54.649237472766885"/>
    <n v="56.06100217864924"/>
    <n v="65.302832244008712"/>
    <n v="98.721132897603482"/>
    <n v="148.400871459695"/>
    <n v="266.79738562091501"/>
    <n v="475.49455337690631"/>
    <n v="1381.4553376906317"/>
  </r>
  <r>
    <s v=" Puerto Rico"/>
    <n v="2017"/>
    <s v="Puerto Rico,2017"/>
    <n v="107.62309368191721"/>
    <n v="54.305010893246184"/>
    <n v="54.100217864923749"/>
    <n v="54.649237472766885"/>
    <n v="56.06100217864924"/>
    <n v="65.302832244008712"/>
    <n v="98.721132897603482"/>
    <n v="148.400871459695"/>
    <n v="266.79738562091501"/>
    <n v="475.49455337690631"/>
    <n v="1381.4553376906317"/>
  </r>
  <r>
    <s v=" Rhode Island"/>
    <n v="2009"/>
    <s v="Rhode Island,2009"/>
    <n v="125"/>
    <n v="44"/>
    <n v="58"/>
    <n v="30"/>
    <n v="36"/>
    <n v="47"/>
    <n v="61"/>
    <n v="66"/>
    <n v="62"/>
    <n v="98"/>
    <n v="627"/>
  </r>
  <r>
    <s v=" Rhode Island"/>
    <n v="2010"/>
    <s v="Rhode Island,2010"/>
    <n v="121"/>
    <n v="62"/>
    <n v="63"/>
    <n v="58"/>
    <n v="45"/>
    <n v="63"/>
    <n v="67"/>
    <n v="48"/>
    <n v="61"/>
    <n v="111"/>
    <n v="699"/>
  </r>
  <r>
    <s v=" Rhode Island"/>
    <n v="2011"/>
    <s v="Rhode Island,2011"/>
    <n v="106"/>
    <n v="57"/>
    <n v="44"/>
    <n v="49"/>
    <n v="43"/>
    <n v="53"/>
    <n v="51"/>
    <n v="65"/>
    <n v="47"/>
    <n v="139"/>
    <n v="654"/>
  </r>
  <r>
    <s v=" Rhode Island"/>
    <n v="2012"/>
    <s v="Rhode Island,2012"/>
    <n v="115"/>
    <n v="46"/>
    <n v="52"/>
    <n v="47"/>
    <n v="57"/>
    <n v="39"/>
    <n v="57"/>
    <n v="45"/>
    <n v="44"/>
    <n v="71"/>
    <n v="573"/>
  </r>
  <r>
    <s v=" Rhode Island"/>
    <n v="2013"/>
    <s v="Rhode Island,2013"/>
    <n v="129"/>
    <n v="51"/>
    <n v="61"/>
    <n v="59"/>
    <n v="49"/>
    <n v="56"/>
    <n v="66"/>
    <n v="62"/>
    <n v="53"/>
    <n v="97"/>
    <n v="683"/>
  </r>
  <r>
    <s v=" Rhode Island"/>
    <n v="2014"/>
    <s v="Rhode Island,2014"/>
    <n v="91"/>
    <n v="64"/>
    <n v="58"/>
    <n v="54"/>
    <n v="68"/>
    <n v="40"/>
    <n v="60"/>
    <n v="44"/>
    <n v="43"/>
    <n v="85"/>
    <n v="607"/>
  </r>
  <r>
    <s v=" Rhode Island"/>
    <n v="2015"/>
    <s v="Rhode Island,2015"/>
    <n v="129"/>
    <n v="52"/>
    <n v="47"/>
    <n v="64"/>
    <n v="52"/>
    <n v="59"/>
    <n v="64"/>
    <n v="53"/>
    <n v="40"/>
    <n v="151"/>
    <n v="711"/>
  </r>
  <r>
    <s v=" Rhode Island"/>
    <n v="2016"/>
    <s v="Rhode Island,2016"/>
    <n v="114"/>
    <n v="41"/>
    <n v="43"/>
    <n v="62"/>
    <n v="64"/>
    <n v="60"/>
    <n v="56"/>
    <n v="53"/>
    <n v="68"/>
    <n v="70"/>
    <n v="631"/>
  </r>
  <r>
    <s v=" Rhode Island"/>
    <n v="2017"/>
    <s v="Rhode Island,2017"/>
    <n v="99"/>
    <n v="60"/>
    <n v="42"/>
    <n v="52"/>
    <n v="55"/>
    <n v="52"/>
    <n v="81"/>
    <n v="63"/>
    <n v="46"/>
    <n v="122"/>
    <n v="672"/>
  </r>
  <r>
    <s v=" South Carolina"/>
    <n v="2009"/>
    <s v="South Carolina,2009"/>
    <n v="89"/>
    <n v="60"/>
    <n v="42"/>
    <n v="69"/>
    <n v="39"/>
    <n v="66"/>
    <n v="68"/>
    <n v="82"/>
    <n v="197"/>
    <n v="296"/>
    <n v="1008"/>
  </r>
  <r>
    <s v=" South Carolina"/>
    <n v="2010"/>
    <s v="South Carolina,2010"/>
    <n v="129"/>
    <n v="59"/>
    <n v="43"/>
    <n v="52"/>
    <n v="55"/>
    <n v="56"/>
    <n v="48"/>
    <n v="57"/>
    <n v="208"/>
    <n v="327"/>
    <n v="1034"/>
  </r>
  <r>
    <s v=" South Carolina"/>
    <n v="2011"/>
    <s v="South Carolina,2011"/>
    <n v="118"/>
    <n v="36"/>
    <n v="63"/>
    <n v="49"/>
    <n v="69"/>
    <n v="53"/>
    <n v="69"/>
    <n v="97"/>
    <n v="212"/>
    <n v="313"/>
    <n v="1079"/>
  </r>
  <r>
    <s v=" South Carolina"/>
    <n v="2012"/>
    <s v="South Carolina,2012"/>
    <n v="120"/>
    <n v="54"/>
    <n v="63"/>
    <n v="45"/>
    <n v="47"/>
    <n v="67"/>
    <n v="63"/>
    <n v="71"/>
    <n v="211"/>
    <n v="287"/>
    <n v="1028"/>
  </r>
  <r>
    <s v=" South Carolina"/>
    <n v="2013"/>
    <s v="South Carolina,2013"/>
    <n v="111"/>
    <n v="67"/>
    <n v="52"/>
    <n v="54"/>
    <n v="33"/>
    <n v="68"/>
    <n v="62"/>
    <n v="109"/>
    <n v="177"/>
    <n v="282"/>
    <n v="1015"/>
  </r>
  <r>
    <s v=" South Carolina"/>
    <n v="2014"/>
    <s v="South Carolina,2014"/>
    <n v="82"/>
    <n v="44"/>
    <n v="45"/>
    <n v="57"/>
    <n v="52"/>
    <n v="52"/>
    <n v="84"/>
    <n v="107"/>
    <n v="181"/>
    <n v="256"/>
    <n v="960"/>
  </r>
  <r>
    <s v=" South Carolina"/>
    <n v="2015"/>
    <s v="South Carolina,2015"/>
    <n v="132"/>
    <n v="67"/>
    <n v="46"/>
    <n v="56"/>
    <n v="50"/>
    <n v="46"/>
    <n v="76"/>
    <n v="129"/>
    <n v="221"/>
    <n v="328"/>
    <n v="1151"/>
  </r>
  <r>
    <s v=" South Carolina"/>
    <n v="2016"/>
    <s v="South Carolina,2016"/>
    <n v="101"/>
    <n v="49"/>
    <n v="63"/>
    <n v="50"/>
    <n v="66"/>
    <n v="47"/>
    <n v="86"/>
    <n v="100"/>
    <n v="159"/>
    <n v="244"/>
    <n v="965"/>
  </r>
  <r>
    <s v=" South Carolina"/>
    <n v="2017"/>
    <s v="South Carolina,2017"/>
    <n v="85"/>
    <n v="39"/>
    <n v="45"/>
    <n v="58"/>
    <n v="52"/>
    <n v="60"/>
    <n v="55"/>
    <n v="97"/>
    <n v="207"/>
    <n v="253"/>
    <n v="951"/>
  </r>
  <r>
    <s v=" South Dakota"/>
    <n v="2009"/>
    <s v="South Dakota,2009"/>
    <n v="106"/>
    <n v="48"/>
    <n v="51"/>
    <n v="54"/>
    <n v="57"/>
    <n v="43"/>
    <n v="55"/>
    <n v="48"/>
    <n v="43"/>
    <n v="77"/>
    <n v="582"/>
  </r>
  <r>
    <s v=" South Dakota"/>
    <n v="2010"/>
    <s v="South Dakota,2010"/>
    <n v="114"/>
    <n v="59"/>
    <n v="56"/>
    <n v="68"/>
    <n v="59"/>
    <n v="67"/>
    <n v="45"/>
    <n v="36"/>
    <n v="62"/>
    <n v="72"/>
    <n v="638"/>
  </r>
  <r>
    <s v=" South Dakota"/>
    <n v="2011"/>
    <s v="South Dakota,2011"/>
    <n v="97"/>
    <n v="65"/>
    <n v="63"/>
    <n v="40"/>
    <n v="58"/>
    <n v="54"/>
    <n v="58"/>
    <n v="38"/>
    <n v="58"/>
    <n v="74"/>
    <n v="605"/>
  </r>
  <r>
    <s v=" South Dakota"/>
    <n v="2012"/>
    <s v="South Dakota,2012"/>
    <n v="91"/>
    <n v="62"/>
    <n v="49"/>
    <n v="55"/>
    <n v="49"/>
    <n v="72"/>
    <n v="64"/>
    <n v="52"/>
    <n v="43"/>
    <n v="97"/>
    <n v="634"/>
  </r>
  <r>
    <s v=" South Dakota"/>
    <n v="2013"/>
    <s v="South Dakota,2013"/>
    <n v="97"/>
    <n v="25"/>
    <n v="49"/>
    <n v="53"/>
    <n v="38"/>
    <n v="60"/>
    <n v="60"/>
    <n v="52"/>
    <n v="52"/>
    <n v="114"/>
    <n v="600"/>
  </r>
  <r>
    <s v=" South Dakota"/>
    <n v="2014"/>
    <s v="South Dakota,2014"/>
    <n v="112"/>
    <n v="36"/>
    <n v="62"/>
    <n v="41"/>
    <n v="40"/>
    <n v="56"/>
    <n v="51"/>
    <n v="69"/>
    <n v="63"/>
    <n v="96"/>
    <n v="626"/>
  </r>
  <r>
    <s v=" South Dakota"/>
    <n v="2015"/>
    <s v="South Dakota,2015"/>
    <n v="102"/>
    <n v="54"/>
    <n v="65"/>
    <n v="72"/>
    <n v="38"/>
    <n v="55"/>
    <n v="62"/>
    <n v="46"/>
    <n v="48"/>
    <n v="113"/>
    <n v="655"/>
  </r>
  <r>
    <s v=" South Dakota"/>
    <n v="2016"/>
    <s v="South Dakota,2016"/>
    <n v="93"/>
    <n v="35"/>
    <n v="41"/>
    <n v="72"/>
    <n v="58"/>
    <n v="66"/>
    <n v="46"/>
    <n v="37"/>
    <n v="61"/>
    <n v="104"/>
    <n v="613"/>
  </r>
  <r>
    <s v=" South Dakota"/>
    <n v="2017"/>
    <s v="South Dakota,2017"/>
    <n v="106"/>
    <n v="46"/>
    <n v="55"/>
    <n v="46"/>
    <n v="47"/>
    <n v="41"/>
    <n v="56"/>
    <n v="47"/>
    <n v="48"/>
    <n v="97"/>
    <n v="589"/>
  </r>
  <r>
    <s v=" Tennessee"/>
    <n v="2009"/>
    <s v="Tennessee,2009"/>
    <n v="105"/>
    <n v="53"/>
    <n v="53"/>
    <n v="53"/>
    <n v="57"/>
    <n v="59"/>
    <n v="132"/>
    <n v="164"/>
    <n v="378"/>
    <n v="554"/>
    <n v="1608"/>
  </r>
  <r>
    <s v=" Tennessee"/>
    <n v="2010"/>
    <s v="Tennessee,2010"/>
    <n v="120"/>
    <n v="70"/>
    <n v="60"/>
    <n v="67"/>
    <n v="62"/>
    <n v="58"/>
    <n v="127"/>
    <n v="209"/>
    <n v="373"/>
    <n v="535"/>
    <n v="1681"/>
  </r>
  <r>
    <s v=" Tennessee"/>
    <n v="2011"/>
    <s v="Tennessee,2011"/>
    <n v="102"/>
    <n v="51"/>
    <n v="50"/>
    <n v="51"/>
    <n v="51"/>
    <n v="73"/>
    <n v="97"/>
    <n v="236"/>
    <n v="406"/>
    <n v="550"/>
    <n v="1667"/>
  </r>
  <r>
    <s v=" Tennessee"/>
    <n v="2012"/>
    <s v="Tennessee,2012"/>
    <n v="127"/>
    <n v="33"/>
    <n v="50"/>
    <n v="36"/>
    <n v="62"/>
    <n v="60"/>
    <n v="126"/>
    <n v="214"/>
    <n v="355"/>
    <n v="630"/>
    <n v="1693"/>
  </r>
  <r>
    <s v=" Tennessee"/>
    <n v="2013"/>
    <s v="Tennessee,2013"/>
    <n v="96"/>
    <n v="55"/>
    <n v="47"/>
    <n v="37"/>
    <n v="59"/>
    <n v="70"/>
    <n v="150"/>
    <n v="249"/>
    <n v="411"/>
    <n v="597"/>
    <n v="1771"/>
  </r>
  <r>
    <s v=" Tennessee"/>
    <n v="2014"/>
    <s v="Tennessee,2014"/>
    <n v="104"/>
    <n v="53"/>
    <n v="49"/>
    <n v="43"/>
    <n v="73"/>
    <n v="92"/>
    <n v="173"/>
    <n v="257"/>
    <n v="409"/>
    <n v="582"/>
    <n v="1835"/>
  </r>
  <r>
    <s v=" Tennessee"/>
    <n v="2015"/>
    <s v="Tennessee,2015"/>
    <n v="107"/>
    <n v="43"/>
    <n v="64"/>
    <n v="35"/>
    <n v="59"/>
    <n v="89"/>
    <n v="108"/>
    <n v="308"/>
    <n v="485"/>
    <n v="645"/>
    <n v="1943"/>
  </r>
  <r>
    <s v=" Tennessee"/>
    <n v="2016"/>
    <s v="Tennessee,2016"/>
    <n v="97"/>
    <n v="65"/>
    <n v="60"/>
    <n v="52"/>
    <n v="65"/>
    <n v="60"/>
    <n v="187"/>
    <n v="281"/>
    <n v="412"/>
    <n v="519"/>
    <n v="1798"/>
  </r>
  <r>
    <s v=" Tennessee"/>
    <n v="2017"/>
    <s v="Tennessee,2017"/>
    <n v="92"/>
    <n v="56"/>
    <n v="66"/>
    <n v="52"/>
    <n v="66"/>
    <n v="82"/>
    <n v="169"/>
    <n v="337"/>
    <n v="439"/>
    <n v="545"/>
    <n v="1904"/>
  </r>
  <r>
    <s v=" Texas"/>
    <n v="2009"/>
    <s v="Texas,2009"/>
    <n v="116"/>
    <n v="39"/>
    <n v="50"/>
    <n v="85"/>
    <n v="118"/>
    <n v="222"/>
    <n v="317"/>
    <n v="415"/>
    <n v="852"/>
    <n v="1245"/>
    <n v="3459"/>
  </r>
  <r>
    <s v=" Texas"/>
    <n v="2010"/>
    <s v="Texas,2010"/>
    <n v="97"/>
    <n v="64"/>
    <n v="44"/>
    <n v="53"/>
    <n v="82"/>
    <n v="145"/>
    <n v="266"/>
    <n v="390"/>
    <n v="826"/>
    <n v="1219"/>
    <n v="3186"/>
  </r>
  <r>
    <s v=" Texas"/>
    <n v="2011"/>
    <s v="Texas,2011"/>
    <n v="95"/>
    <n v="60"/>
    <n v="55"/>
    <n v="51"/>
    <n v="67"/>
    <n v="135"/>
    <n v="280"/>
    <n v="405"/>
    <n v="803"/>
    <n v="1265"/>
    <n v="3216"/>
  </r>
  <r>
    <s v=" Texas"/>
    <n v="2012"/>
    <s v="Texas,2012"/>
    <n v="99"/>
    <n v="37"/>
    <n v="63"/>
    <n v="42"/>
    <n v="74"/>
    <n v="125"/>
    <n v="253"/>
    <n v="440"/>
    <n v="784"/>
    <n v="1211"/>
    <n v="3128"/>
  </r>
  <r>
    <s v=" Texas"/>
    <n v="2013"/>
    <s v="Texas,2013"/>
    <n v="125"/>
    <n v="51"/>
    <n v="58"/>
    <n v="61"/>
    <n v="83"/>
    <n v="186"/>
    <n v="365"/>
    <n v="490"/>
    <n v="841"/>
    <n v="1277"/>
    <n v="3537"/>
  </r>
  <r>
    <s v=" Texas"/>
    <n v="2014"/>
    <s v="Texas,2014"/>
    <n v="108"/>
    <n v="46"/>
    <n v="48"/>
    <n v="91"/>
    <n v="111"/>
    <n v="203"/>
    <n v="458"/>
    <n v="533"/>
    <n v="829"/>
    <n v="1190"/>
    <n v="3617"/>
  </r>
  <r>
    <s v=" Texas"/>
    <n v="2015"/>
    <s v="Texas,2015"/>
    <n v="112"/>
    <n v="38"/>
    <n v="62"/>
    <n v="62"/>
    <n v="65"/>
    <n v="161"/>
    <n v="318"/>
    <n v="496"/>
    <n v="826"/>
    <n v="1253"/>
    <n v="3393"/>
  </r>
  <r>
    <s v=" Texas"/>
    <n v="2016"/>
    <s v="Texas,2016"/>
    <n v="115"/>
    <n v="75"/>
    <n v="37"/>
    <n v="45"/>
    <n v="84"/>
    <n v="110"/>
    <n v="320"/>
    <n v="518"/>
    <n v="716"/>
    <n v="1026"/>
    <n v="3046"/>
  </r>
  <r>
    <s v=" Texas"/>
    <n v="2017"/>
    <s v="Texas,2017"/>
    <n v="118"/>
    <n v="57"/>
    <n v="39"/>
    <n v="56"/>
    <n v="62"/>
    <n v="168"/>
    <n v="326"/>
    <n v="518"/>
    <n v="741"/>
    <n v="1031"/>
    <n v="3116"/>
  </r>
  <r>
    <s v=" Utah"/>
    <n v="2009"/>
    <s v="Utah,2009"/>
    <n v="78"/>
    <n v="57"/>
    <n v="39"/>
    <n v="44"/>
    <n v="64"/>
    <n v="40"/>
    <n v="42"/>
    <n v="72"/>
    <n v="72"/>
    <n v="124"/>
    <n v="632"/>
  </r>
  <r>
    <s v=" Utah"/>
    <n v="2010"/>
    <s v="Utah,2010"/>
    <n v="98"/>
    <n v="73"/>
    <n v="55"/>
    <n v="52"/>
    <n v="48"/>
    <n v="56"/>
    <n v="55"/>
    <n v="56"/>
    <n v="91"/>
    <n v="148"/>
    <n v="732"/>
  </r>
  <r>
    <s v=" Utah"/>
    <n v="2011"/>
    <s v="Utah,2011"/>
    <n v="121"/>
    <n v="54"/>
    <n v="52"/>
    <n v="51"/>
    <n v="61"/>
    <n v="60"/>
    <n v="50"/>
    <n v="54"/>
    <n v="67"/>
    <n v="148"/>
    <n v="718"/>
  </r>
  <r>
    <s v=" Utah"/>
    <n v="2012"/>
    <s v="Utah,2012"/>
    <n v="95"/>
    <n v="66"/>
    <n v="50"/>
    <n v="46"/>
    <n v="29"/>
    <n v="60"/>
    <n v="47"/>
    <n v="47"/>
    <n v="75"/>
    <n v="145"/>
    <n v="660"/>
  </r>
  <r>
    <s v=" Utah"/>
    <n v="2013"/>
    <s v="Utah,2013"/>
    <n v="78"/>
    <n v="34"/>
    <n v="53"/>
    <n v="42"/>
    <n v="50"/>
    <n v="47"/>
    <n v="71"/>
    <n v="69"/>
    <n v="95"/>
    <n v="169"/>
    <n v="708"/>
  </r>
  <r>
    <s v=" Utah"/>
    <n v="2014"/>
    <s v="Utah,2014"/>
    <n v="130"/>
    <n v="50"/>
    <n v="39"/>
    <n v="57"/>
    <n v="53"/>
    <n v="49"/>
    <n v="57"/>
    <n v="54"/>
    <n v="86"/>
    <n v="139"/>
    <n v="714"/>
  </r>
  <r>
    <s v=" Utah"/>
    <n v="2015"/>
    <s v="Utah,2015"/>
    <n v="94"/>
    <n v="55"/>
    <n v="39"/>
    <n v="39"/>
    <n v="67"/>
    <n v="38"/>
    <n v="51"/>
    <n v="37"/>
    <n v="81"/>
    <n v="150"/>
    <n v="651"/>
  </r>
  <r>
    <s v=" Utah"/>
    <n v="2016"/>
    <s v="Utah,2016"/>
    <n v="116"/>
    <n v="22"/>
    <n v="55"/>
    <n v="56"/>
    <n v="41"/>
    <n v="57"/>
    <n v="47"/>
    <n v="58"/>
    <n v="94"/>
    <n v="161"/>
    <n v="707"/>
  </r>
  <r>
    <s v=" Utah"/>
    <n v="2017"/>
    <s v="Utah,2017"/>
    <n v="98"/>
    <n v="74"/>
    <n v="47"/>
    <n v="31"/>
    <n v="56"/>
    <n v="38"/>
    <n v="62"/>
    <n v="60"/>
    <n v="83"/>
    <n v="100"/>
    <n v="649"/>
  </r>
  <r>
    <s v=" Vermont"/>
    <n v="2009"/>
    <s v="Vermont,2009"/>
    <n v="83"/>
    <n v="64"/>
    <n v="63"/>
    <n v="64"/>
    <n v="52"/>
    <n v="59"/>
    <n v="57"/>
    <n v="50"/>
    <n v="43"/>
    <n v="58"/>
    <n v="593"/>
  </r>
  <r>
    <s v=" Vermont"/>
    <n v="2010"/>
    <s v="Vermont,2010"/>
    <n v="111"/>
    <n v="47"/>
    <n v="49"/>
    <n v="42"/>
    <n v="55"/>
    <n v="49"/>
    <n v="64"/>
    <n v="48"/>
    <n v="67"/>
    <n v="56"/>
    <n v="588"/>
  </r>
  <r>
    <s v=" Vermont"/>
    <n v="2011"/>
    <s v="Vermont,2011"/>
    <n v="92"/>
    <n v="47"/>
    <n v="40"/>
    <n v="47"/>
    <n v="51"/>
    <n v="66"/>
    <n v="62"/>
    <n v="69"/>
    <n v="74"/>
    <n v="44"/>
    <n v="592"/>
  </r>
  <r>
    <s v=" Vermont"/>
    <n v="2012"/>
    <s v="Vermont,2012"/>
    <n v="107"/>
    <n v="58"/>
    <n v="73"/>
    <n v="60"/>
    <n v="54"/>
    <n v="46"/>
    <n v="54"/>
    <n v="44"/>
    <n v="47"/>
    <n v="62"/>
    <n v="605"/>
  </r>
  <r>
    <s v=" Vermont"/>
    <n v="2013"/>
    <s v="Vermont,2013"/>
    <n v="100"/>
    <n v="66"/>
    <n v="46"/>
    <n v="32"/>
    <n v="50"/>
    <n v="53"/>
    <n v="70"/>
    <n v="59"/>
    <n v="40"/>
    <n v="40"/>
    <n v="556"/>
  </r>
  <r>
    <s v=" Vermont"/>
    <n v="2014"/>
    <s v="Vermont,2014"/>
    <n v="106"/>
    <n v="59"/>
    <n v="59"/>
    <n v="38"/>
    <n v="51"/>
    <n v="52"/>
    <n v="64"/>
    <n v="54"/>
    <n v="61"/>
    <n v="48"/>
    <n v="592"/>
  </r>
  <r>
    <s v=" Vermont"/>
    <n v="2015"/>
    <s v="Vermont,2015"/>
    <n v="119"/>
    <n v="72"/>
    <n v="58"/>
    <n v="61"/>
    <n v="72"/>
    <n v="52"/>
    <n v="60"/>
    <n v="61"/>
    <n v="24"/>
    <n v="57"/>
    <n v="636"/>
  </r>
  <r>
    <s v=" Vermont"/>
    <n v="2016"/>
    <s v="Vermont,2016"/>
    <n v="104"/>
    <n v="41"/>
    <n v="49"/>
    <n v="49"/>
    <n v="60"/>
    <n v="61"/>
    <n v="46"/>
    <n v="41"/>
    <n v="55"/>
    <n v="54"/>
    <n v="560"/>
  </r>
  <r>
    <s v=" Vermont"/>
    <n v="2017"/>
    <s v="Vermont,2017"/>
    <n v="117"/>
    <n v="29"/>
    <n v="53"/>
    <n v="54"/>
    <n v="56"/>
    <n v="49"/>
    <n v="63"/>
    <n v="32"/>
    <n v="52"/>
    <n v="54"/>
    <n v="559"/>
  </r>
  <r>
    <s v=" Virginia"/>
    <n v="2009"/>
    <s v="Virginia,2009"/>
    <n v="118"/>
    <n v="44"/>
    <n v="73"/>
    <n v="57"/>
    <n v="62"/>
    <n v="55"/>
    <n v="65"/>
    <n v="128"/>
    <n v="351"/>
    <n v="550"/>
    <n v="1503"/>
  </r>
  <r>
    <s v=" Virginia"/>
    <n v="2010"/>
    <s v="Virginia,2010"/>
    <n v="101"/>
    <n v="47"/>
    <n v="42"/>
    <n v="69"/>
    <n v="51"/>
    <n v="60"/>
    <n v="71"/>
    <n v="148"/>
    <n v="329"/>
    <n v="581"/>
    <n v="1499"/>
  </r>
  <r>
    <s v=" Virginia"/>
    <n v="2011"/>
    <s v="Virginia,2011"/>
    <n v="100"/>
    <n v="60"/>
    <n v="54"/>
    <n v="46"/>
    <n v="51"/>
    <n v="85"/>
    <n v="97"/>
    <n v="197"/>
    <n v="346"/>
    <n v="661"/>
    <n v="1697"/>
  </r>
  <r>
    <s v=" Virginia"/>
    <n v="2012"/>
    <s v="Virginia,2012"/>
    <n v="87"/>
    <n v="37"/>
    <n v="60"/>
    <n v="61"/>
    <n v="44"/>
    <n v="58"/>
    <n v="59"/>
    <n v="132"/>
    <n v="330"/>
    <n v="643"/>
    <n v="1511"/>
  </r>
  <r>
    <s v=" Virginia"/>
    <n v="2013"/>
    <s v="Virginia,2013"/>
    <n v="78"/>
    <n v="53"/>
    <n v="45"/>
    <n v="48"/>
    <n v="62"/>
    <n v="54"/>
    <n v="80"/>
    <n v="198"/>
    <n v="382"/>
    <n v="649"/>
    <n v="1649"/>
  </r>
  <r>
    <s v=" Virginia"/>
    <n v="2014"/>
    <s v="Virginia,2014"/>
    <n v="92"/>
    <n v="52"/>
    <n v="55"/>
    <n v="42"/>
    <n v="80"/>
    <n v="55"/>
    <n v="133"/>
    <n v="237"/>
    <n v="372"/>
    <n v="620"/>
    <n v="1738"/>
  </r>
  <r>
    <s v=" Virginia"/>
    <n v="2015"/>
    <s v="Virginia,2015"/>
    <n v="97"/>
    <n v="59"/>
    <n v="52"/>
    <n v="62"/>
    <n v="41"/>
    <n v="56"/>
    <n v="111"/>
    <n v="224"/>
    <n v="350"/>
    <n v="632"/>
    <n v="1684"/>
  </r>
  <r>
    <s v=" Virginia"/>
    <n v="2016"/>
    <s v="Virginia,2016"/>
    <n v="87"/>
    <n v="51"/>
    <n v="65"/>
    <n v="73"/>
    <n v="52"/>
    <n v="55"/>
    <n v="106"/>
    <n v="193"/>
    <n v="295"/>
    <n v="494"/>
    <n v="1471"/>
  </r>
  <r>
    <s v=" Virginia"/>
    <n v="2017"/>
    <s v="Virginia,2017"/>
    <n v="125"/>
    <n v="53"/>
    <n v="53"/>
    <n v="59"/>
    <n v="54"/>
    <n v="59"/>
    <n v="114"/>
    <n v="213"/>
    <n v="315"/>
    <n v="511"/>
    <n v="1556"/>
  </r>
  <r>
    <s v=" Washington"/>
    <n v="2009"/>
    <s v="Washington,2009"/>
    <n v="134"/>
    <n v="47"/>
    <n v="59"/>
    <n v="48"/>
    <n v="60"/>
    <n v="77"/>
    <n v="82"/>
    <n v="86"/>
    <n v="148"/>
    <n v="320"/>
    <n v="1061"/>
  </r>
  <r>
    <s v=" Washington"/>
    <n v="2010"/>
    <s v="Washington,2010"/>
    <n v="104"/>
    <n v="42"/>
    <n v="64"/>
    <n v="67"/>
    <n v="51"/>
    <n v="55"/>
    <n v="55"/>
    <n v="45"/>
    <n v="124"/>
    <n v="298"/>
    <n v="905"/>
  </r>
  <r>
    <s v=" Washington"/>
    <n v="2011"/>
    <s v="Washington,2011"/>
    <n v="114"/>
    <n v="49"/>
    <n v="66"/>
    <n v="49"/>
    <n v="55"/>
    <n v="49"/>
    <n v="63"/>
    <n v="91"/>
    <n v="170"/>
    <n v="365"/>
    <n v="1071"/>
  </r>
  <r>
    <s v=" Washington"/>
    <n v="2012"/>
    <s v="Washington,2012"/>
    <n v="135"/>
    <n v="58"/>
    <n v="47"/>
    <n v="48"/>
    <n v="49"/>
    <n v="71"/>
    <n v="40"/>
    <n v="51"/>
    <n v="157"/>
    <n v="356"/>
    <n v="1012"/>
  </r>
  <r>
    <s v=" Washington"/>
    <n v="2013"/>
    <s v="Washington,2013"/>
    <n v="88"/>
    <n v="42"/>
    <n v="57"/>
    <n v="47"/>
    <n v="51"/>
    <n v="45"/>
    <n v="69"/>
    <n v="101"/>
    <n v="170"/>
    <n v="416"/>
    <n v="1086"/>
  </r>
  <r>
    <s v=" Washington"/>
    <n v="2014"/>
    <s v="Washington,2014"/>
    <n v="100"/>
    <n v="37"/>
    <n v="39"/>
    <n v="78"/>
    <n v="58"/>
    <n v="75"/>
    <n v="77"/>
    <n v="95"/>
    <n v="148"/>
    <n v="329"/>
    <n v="1036"/>
  </r>
  <r>
    <s v=" Washington"/>
    <n v="2015"/>
    <s v="Washington,2015"/>
    <n v="102"/>
    <n v="72"/>
    <n v="69"/>
    <n v="64"/>
    <n v="64"/>
    <n v="67"/>
    <n v="38"/>
    <n v="109"/>
    <n v="166"/>
    <n v="436"/>
    <n v="1187"/>
  </r>
  <r>
    <s v=" Washington"/>
    <n v="2016"/>
    <s v="Washington,2016"/>
    <n v="71"/>
    <n v="65"/>
    <n v="75"/>
    <n v="45"/>
    <n v="41"/>
    <n v="47"/>
    <n v="82"/>
    <n v="102"/>
    <n v="177"/>
    <n v="365"/>
    <n v="1070"/>
  </r>
  <r>
    <s v=" Washington"/>
    <n v="2017"/>
    <s v="Washington,2017"/>
    <n v="122"/>
    <n v="45"/>
    <n v="44"/>
    <n v="68"/>
    <n v="59"/>
    <n v="60"/>
    <n v="97"/>
    <n v="150"/>
    <n v="236"/>
    <n v="488"/>
    <n v="1369"/>
  </r>
  <r>
    <s v=" West Virginia"/>
    <n v="2009"/>
    <s v="West Virginia,2009"/>
    <n v="111"/>
    <n v="48"/>
    <n v="47"/>
    <n v="54"/>
    <n v="46"/>
    <n v="44"/>
    <n v="65"/>
    <n v="69"/>
    <n v="123"/>
    <n v="174"/>
    <n v="781"/>
  </r>
  <r>
    <s v=" West Virginia"/>
    <n v="2010"/>
    <s v="West Virginia,2010"/>
    <n v="123"/>
    <n v="61"/>
    <n v="44"/>
    <n v="74"/>
    <n v="47"/>
    <n v="64"/>
    <n v="60"/>
    <n v="61"/>
    <n v="122"/>
    <n v="186"/>
    <n v="842"/>
  </r>
  <r>
    <s v=" West Virginia"/>
    <n v="2011"/>
    <s v="West Virginia,2011"/>
    <n v="97"/>
    <n v="74"/>
    <n v="49"/>
    <n v="56"/>
    <n v="60"/>
    <n v="51"/>
    <n v="66"/>
    <n v="61"/>
    <n v="122"/>
    <n v="158"/>
    <n v="794"/>
  </r>
  <r>
    <s v=" West Virginia"/>
    <n v="2012"/>
    <s v="West Virginia,2012"/>
    <n v="97"/>
    <n v="50"/>
    <n v="60"/>
    <n v="53"/>
    <n v="67"/>
    <n v="67"/>
    <n v="58"/>
    <n v="43"/>
    <n v="119"/>
    <n v="179"/>
    <n v="793"/>
  </r>
  <r>
    <s v=" West Virginia"/>
    <n v="2013"/>
    <s v="West Virginia,2013"/>
    <n v="101"/>
    <n v="47"/>
    <n v="37"/>
    <n v="47"/>
    <n v="49"/>
    <n v="55"/>
    <n v="66"/>
    <n v="89"/>
    <n v="125"/>
    <n v="194"/>
    <n v="810"/>
  </r>
  <r>
    <s v=" West Virginia"/>
    <n v="2014"/>
    <s v="West Virginia,2014"/>
    <n v="140"/>
    <n v="64"/>
    <n v="32"/>
    <n v="55"/>
    <n v="48"/>
    <n v="58"/>
    <n v="83"/>
    <n v="68"/>
    <n v="86"/>
    <n v="181"/>
    <n v="815"/>
  </r>
  <r>
    <s v=" West Virginia"/>
    <n v="2015"/>
    <s v="West Virginia,2015"/>
    <n v="127"/>
    <n v="42"/>
    <n v="51"/>
    <n v="61"/>
    <n v="52"/>
    <n v="58"/>
    <n v="50"/>
    <n v="101"/>
    <n v="114"/>
    <n v="215"/>
    <n v="871"/>
  </r>
  <r>
    <s v=" West Virginia"/>
    <n v="2016"/>
    <s v="West Virginia,2016"/>
    <n v="99"/>
    <n v="56"/>
    <n v="41"/>
    <n v="41"/>
    <n v="69"/>
    <n v="53"/>
    <n v="61"/>
    <n v="82"/>
    <n v="88"/>
    <n v="154"/>
    <n v="744"/>
  </r>
  <r>
    <s v=" West Virginia"/>
    <n v="2017"/>
    <s v="West Virginia,2017"/>
    <n v="100"/>
    <n v="51"/>
    <n v="30"/>
    <n v="65"/>
    <n v="58"/>
    <n v="64"/>
    <n v="58"/>
    <n v="78"/>
    <n v="118"/>
    <n v="162"/>
    <n v="784"/>
  </r>
  <r>
    <s v=" Wisconsin"/>
    <n v="2009"/>
    <s v="Wisconsin,2009"/>
    <n v="115"/>
    <n v="63"/>
    <n v="59"/>
    <n v="52"/>
    <n v="47"/>
    <n v="71"/>
    <n v="59"/>
    <n v="87"/>
    <n v="234"/>
    <n v="514"/>
    <n v="1301"/>
  </r>
  <r>
    <s v=" Wisconsin"/>
    <n v="2010"/>
    <s v="Wisconsin,2010"/>
    <n v="111"/>
    <n v="60"/>
    <n v="54"/>
    <n v="71"/>
    <n v="36"/>
    <n v="32"/>
    <n v="66"/>
    <n v="61"/>
    <n v="225"/>
    <n v="501"/>
    <n v="1217"/>
  </r>
  <r>
    <s v=" Wisconsin"/>
    <n v="2011"/>
    <s v="Wisconsin,2011"/>
    <n v="124"/>
    <n v="52"/>
    <n v="52"/>
    <n v="55"/>
    <n v="48"/>
    <n v="55"/>
    <n v="40"/>
    <n v="78"/>
    <n v="241"/>
    <n v="532"/>
    <n v="1277"/>
  </r>
  <r>
    <s v=" Wisconsin"/>
    <n v="2012"/>
    <s v="Wisconsin,2012"/>
    <n v="87"/>
    <n v="46"/>
    <n v="63"/>
    <n v="43"/>
    <n v="47"/>
    <n v="33"/>
    <n v="46"/>
    <n v="70"/>
    <n v="257"/>
    <n v="546"/>
    <n v="1238"/>
  </r>
  <r>
    <s v=" Wisconsin"/>
    <n v="2013"/>
    <s v="Wisconsin,2013"/>
    <n v="117"/>
    <n v="55"/>
    <n v="49"/>
    <n v="57"/>
    <n v="59"/>
    <n v="58"/>
    <n v="61"/>
    <n v="100"/>
    <n v="233"/>
    <n v="642"/>
    <n v="1431"/>
  </r>
  <r>
    <s v=" Wisconsin"/>
    <n v="2014"/>
    <s v="Wisconsin,2014"/>
    <n v="101"/>
    <n v="63"/>
    <n v="68"/>
    <n v="42"/>
    <n v="46"/>
    <n v="73"/>
    <n v="58"/>
    <n v="83"/>
    <n v="193"/>
    <n v="560"/>
    <n v="1287"/>
  </r>
  <r>
    <s v=" Wisconsin"/>
    <n v="2015"/>
    <s v="Wisconsin,2015"/>
    <n v="86"/>
    <n v="51"/>
    <n v="61"/>
    <n v="52"/>
    <n v="38"/>
    <n v="45"/>
    <n v="48"/>
    <n v="95"/>
    <n v="244"/>
    <n v="595"/>
    <n v="1315"/>
  </r>
  <r>
    <s v=" Wisconsin"/>
    <n v="2016"/>
    <s v="Wisconsin,2016"/>
    <n v="116"/>
    <n v="33"/>
    <n v="60"/>
    <n v="72"/>
    <n v="55"/>
    <n v="45"/>
    <n v="68"/>
    <n v="81"/>
    <n v="164"/>
    <n v="471"/>
    <n v="1165"/>
  </r>
  <r>
    <s v=" Wisconsin"/>
    <n v="2017"/>
    <s v="Wisconsin,2017"/>
    <n v="113"/>
    <n v="59"/>
    <n v="57"/>
    <n v="52"/>
    <n v="60"/>
    <n v="50"/>
    <n v="70"/>
    <n v="117"/>
    <n v="187"/>
    <n v="521"/>
    <n v="1286"/>
  </r>
  <r>
    <s v=" Wyoming"/>
    <n v="2009"/>
    <s v="Wyoming,2009"/>
    <n v="100"/>
    <n v="50"/>
    <n v="65"/>
    <n v="55"/>
    <n v="46"/>
    <n v="53"/>
    <n v="62"/>
    <n v="49"/>
    <n v="49"/>
    <n v="54"/>
    <n v="583"/>
  </r>
  <r>
    <s v=" Wyoming"/>
    <n v="2010"/>
    <s v="Wyoming,2010"/>
    <n v="102"/>
    <n v="51"/>
    <n v="38"/>
    <n v="43"/>
    <n v="67"/>
    <n v="45"/>
    <n v="48"/>
    <n v="53"/>
    <n v="73"/>
    <n v="49"/>
    <n v="569"/>
  </r>
  <r>
    <s v=" Wyoming"/>
    <n v="2011"/>
    <s v="Wyoming,2011"/>
    <n v="102"/>
    <n v="33"/>
    <n v="56"/>
    <n v="55"/>
    <n v="49"/>
    <n v="71"/>
    <n v="39"/>
    <n v="46"/>
    <n v="59"/>
    <n v="53"/>
    <n v="563"/>
  </r>
  <r>
    <s v=" Wyoming"/>
    <n v="2012"/>
    <s v="Wyoming,2012"/>
    <n v="126"/>
    <n v="53"/>
    <n v="56"/>
    <n v="50"/>
    <n v="60"/>
    <n v="48"/>
    <n v="72"/>
    <n v="52"/>
    <n v="65"/>
    <n v="51"/>
    <n v="633"/>
  </r>
  <r>
    <s v=" Wyoming"/>
    <n v="2013"/>
    <s v="Wyoming,2013"/>
    <n v="99"/>
    <n v="65"/>
    <n v="64"/>
    <n v="43"/>
    <n v="44"/>
    <n v="56"/>
    <n v="49"/>
    <n v="46"/>
    <n v="67"/>
    <n v="51"/>
    <n v="584"/>
  </r>
  <r>
    <s v=" Wyoming"/>
    <n v="2014"/>
    <s v="Wyoming,2014"/>
    <n v="102"/>
    <n v="73"/>
    <n v="44"/>
    <n v="38"/>
    <n v="48"/>
    <n v="59"/>
    <n v="38"/>
    <n v="60"/>
    <n v="34"/>
    <n v="26"/>
    <n v="522"/>
  </r>
  <r>
    <s v=" Wyoming"/>
    <n v="2015"/>
    <s v="Wyoming,2015"/>
    <n v="94"/>
    <n v="58"/>
    <n v="66"/>
    <n v="55"/>
    <n v="53"/>
    <n v="52"/>
    <n v="44"/>
    <n v="53"/>
    <n v="53"/>
    <n v="43"/>
    <n v="571"/>
  </r>
  <r>
    <s v=" Wyoming"/>
    <n v="2016"/>
    <s v="Wyoming,2016"/>
    <n v="72"/>
    <n v="36"/>
    <n v="49"/>
    <n v="43"/>
    <n v="52"/>
    <n v="44"/>
    <n v="46"/>
    <n v="62"/>
    <n v="52"/>
    <n v="42"/>
    <n v="498"/>
  </r>
  <r>
    <s v=" Wyoming"/>
    <n v="2017"/>
    <s v="Wyoming,2017"/>
    <n v="101"/>
    <n v="46"/>
    <n v="57"/>
    <n v="52"/>
    <n v="56"/>
    <n v="60"/>
    <n v="73"/>
    <n v="65"/>
    <n v="54"/>
    <n v="67"/>
    <n v="6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8">
  <r>
    <n v="313461.973"/>
    <n v="630249.62199999997"/>
    <n v="666388.58499999985"/>
    <n v="612761.47900000005"/>
    <n v="642363.69299999985"/>
    <n v="677823.44000000029"/>
    <n v="534879.98899999983"/>
    <n v="341648.00099999999"/>
    <n v="217111.679"/>
    <n v="4636688.4610000011"/>
    <n v="77806.246000000014"/>
  </r>
  <r>
    <n v="312439.16499999992"/>
    <n v="648489.67900000024"/>
    <n v="693474.40099999995"/>
    <n v="617886.18599999987"/>
    <n v="653877.49400000006"/>
    <n v="706558.674"/>
    <n v="574930.12699999998"/>
    <n v="366249.07199999981"/>
    <n v="214827.42199999999"/>
    <n v="4788732.22"/>
    <n v="76841.016999999978"/>
  </r>
  <r>
    <n v="322372.92200000014"/>
    <n v="666087.80400000024"/>
    <n v="729370.75499999989"/>
    <n v="642169.58400000026"/>
    <n v="666641.69099999988"/>
    <n v="738126.62400000007"/>
    <n v="617657.35000000009"/>
    <n v="390500.00599999994"/>
    <n v="226963.753"/>
    <n v="4999890.4890000001"/>
    <n v="81442.062000000005"/>
  </r>
  <r>
    <n v="309366.07"/>
    <n v="637460.32200000004"/>
    <n v="687206.42799999996"/>
    <n v="614914.95900000015"/>
    <n v="629224.65299999993"/>
    <n v="702691.35900000029"/>
    <n v="604314.23499999987"/>
    <n v="384670.60800000007"/>
    <n v="216927.48000000007"/>
    <n v="4786776.114000001"/>
    <n v="79572.686999999991"/>
  </r>
  <r>
    <n v="304011.80100000004"/>
    <n v="633387.603"/>
    <n v="693259.45099999988"/>
    <n v="619138.674"/>
    <n v="620929.5199999999"/>
    <n v="692805.71200000006"/>
    <n v="615748.66899999976"/>
    <n v="396294.59200000006"/>
    <n v="220396.19699999999"/>
    <n v="4795972.2189999996"/>
    <n v="82020.393999999986"/>
  </r>
  <r>
    <n v="287832.99799999996"/>
    <n v="600198.505"/>
    <n v="649803.18599999999"/>
    <n v="596994.65500000026"/>
    <n v="587552.53699999989"/>
    <n v="647491.15800000017"/>
    <n v="587083.99699999997"/>
    <n v="380790.53500000003"/>
    <n v="206634.05299999999"/>
    <n v="4544381.6240000008"/>
    <n v="77027.340000000011"/>
  </r>
  <r>
    <n v="289513.79300000001"/>
    <n v="610789.65299999993"/>
    <n v="652929.81400000001"/>
    <n v="610978.2420000002"/>
    <n v="595044.54899999977"/>
    <n v="652442.83700000029"/>
    <n v="610374.50699999987"/>
    <n v="408052.16699999996"/>
    <n v="216651.45399999997"/>
    <n v="4646777.0159999998"/>
    <n v="80089.160000000018"/>
  </r>
  <r>
    <n v="297332.554"/>
    <n v="631756.43700000015"/>
    <n v="673997.75900000019"/>
    <n v="635795.73699999996"/>
    <n v="619383.34"/>
    <n v="670538.92000000027"/>
    <n v="644270.06099999987"/>
    <n v="447754.11099999998"/>
    <n v="232425.34900000005"/>
    <n v="4853254.2680000011"/>
    <n v="85788.299999999974"/>
  </r>
  <r>
    <n v="285582"/>
    <n v="604603"/>
    <n v="650293"/>
    <n v="614519"/>
    <n v="590164"/>
    <n v="637686"/>
    <n v="627460"/>
    <n v="443258"/>
    <n v="225993"/>
    <n v="4679558"/>
    <n v="82154"/>
  </r>
  <r>
    <n v="55508.074999999997"/>
    <n v="105685.9"/>
    <n v="121296.25199999999"/>
    <n v="102702.40100000001"/>
    <n v="102961.63699999999"/>
    <n v="114657.09499999999"/>
    <n v="77422.602000000014"/>
    <n v="33475.446000000004"/>
    <n v="16093.718000000004"/>
    <n v="729803.12600000005"/>
    <n v="5240.0789999999997"/>
  </r>
  <r>
    <n v="52137.323999999986"/>
    <n v="102332.07699999999"/>
    <n v="110410.98299999999"/>
    <n v="94661.169000000024"/>
    <n v="97170.112000000008"/>
    <n v="111612.61599999999"/>
    <n v="80035.559000000023"/>
    <n v="33808.06500000001"/>
    <n v="15441.694999999996"/>
    <n v="697609.6"/>
    <n v="5010.1500000000005"/>
  </r>
  <r>
    <n v="50142.041000000005"/>
    <n v="97168.511000000042"/>
    <n v="103420.13300000002"/>
    <n v="94885.244000000035"/>
    <n v="91425.493999999992"/>
    <n v="106786.51599999999"/>
    <n v="80478.22199999998"/>
    <n v="33438.928000000007"/>
    <n v="15400.793"/>
    <n v="673145.88199999998"/>
    <n v="4467.2799999999988"/>
  </r>
  <r>
    <n v="50428.642999999996"/>
    <n v="95879.114000000001"/>
    <n v="103240.92"/>
    <n v="97754.688000000009"/>
    <n v="89171.321000000011"/>
    <n v="103836.804"/>
    <n v="82276.79399999998"/>
    <n v="34090.461000000003"/>
    <n v="14680.168"/>
    <n v="671358.91299999994"/>
    <n v="4485.6340000000009"/>
  </r>
  <r>
    <n v="53765.155000000006"/>
    <n v="102126.67300000001"/>
    <n v="109764.30500000001"/>
    <n v="106829.90499999997"/>
    <n v="92447.462000000014"/>
    <n v="106277.84900000003"/>
    <n v="89797.648000000001"/>
    <n v="40322.754999999997"/>
    <n v="17175.344000000001"/>
    <n v="718507.09600000014"/>
    <n v="5636.7080000000005"/>
  </r>
  <r>
    <n v="47377.864000000009"/>
    <n v="89681.29399999998"/>
    <n v="98186.82699999999"/>
    <n v="99906.180999999997"/>
    <n v="82451.358999999997"/>
    <n v="92263.771999999997"/>
    <n v="79761.980999999985"/>
    <n v="37158.247000000018"/>
    <n v="15515.553000000002"/>
    <n v="642303.07799999986"/>
    <n v="5565.7160000000013"/>
  </r>
  <r>
    <n v="51611.420999999995"/>
    <n v="96804.754000000001"/>
    <n v="106176.12800000003"/>
    <n v="108430.307"/>
    <n v="87362.376000000004"/>
    <n v="96761.911999999997"/>
    <n v="89332.432999999975"/>
    <n v="44175.777999999991"/>
    <n v="18066.054000000004"/>
    <n v="698721.16299999994"/>
    <n v="6495.7960000000012"/>
  </r>
  <r>
    <n v="52186.161999999989"/>
    <n v="99494.960999999981"/>
    <n v="105915.63900000001"/>
    <n v="111527.47700000001"/>
    <n v="90152.862000000023"/>
    <n v="97774.750999999989"/>
    <n v="94824.969999999987"/>
    <n v="49566.242000000006"/>
    <n v="19227.582000000002"/>
    <n v="720670.64599999995"/>
    <n v="7466.1139999999987"/>
  </r>
  <r>
    <n v="53061"/>
    <n v="99859"/>
    <n v="105060"/>
    <n v="114406"/>
    <n v="90822"/>
    <n v="94719"/>
    <n v="93754"/>
    <n v="52637"/>
    <n v="20247"/>
    <n v="724565"/>
    <n v="7051"/>
  </r>
  <r>
    <n v="500512.114"/>
    <n v="900235.31799999997"/>
    <n v="858304.76299999992"/>
    <n v="919459.3870000001"/>
    <n v="858826.80199999979"/>
    <n v="819785.54599999997"/>
    <n v="651778.59500000009"/>
    <n v="422658.01999999996"/>
    <n v="294833.44300000003"/>
    <n v="6226393.987999999"/>
    <n v="96568.51999999999"/>
  </r>
  <r>
    <n v="464715.06700000004"/>
    <n v="884670.92000000016"/>
    <n v="889390.049"/>
    <n v="856180.73"/>
    <n v="833850.97700000007"/>
    <n v="823424.88500000001"/>
    <n v="688896.07900000003"/>
    <n v="463952.11099999998"/>
    <n v="279255.54599999997"/>
    <n v="6184336.3640000001"/>
    <n v="95229.909999999989"/>
  </r>
  <r>
    <n v="456940.97500000009"/>
    <n v="879537.21700000006"/>
    <n v="892590.57700000016"/>
    <n v="856794.96900000004"/>
    <n v="825214.06900000013"/>
    <n v="825702.19700000016"/>
    <n v="702905.41899999999"/>
    <n v="479824.01000000007"/>
    <n v="282415.424"/>
    <n v="6201924.8569999998"/>
    <n v="97631.558000000005"/>
  </r>
  <r>
    <n v="459596.42200000002"/>
    <n v="907245.95200000005"/>
    <n v="913166.78900000011"/>
    <n v="872688.66800000018"/>
    <n v="833065.05199999991"/>
    <n v="840803.46099999989"/>
    <n v="732408.44300000009"/>
    <n v="504676.92300000001"/>
    <n v="285554.89899999998"/>
    <n v="6349206.6090000011"/>
    <n v="104701.458"/>
  </r>
  <r>
    <n v="450178.63199999998"/>
    <n v="910374.43299999996"/>
    <n v="921847.85400000005"/>
    <n v="870085.35499999998"/>
    <n v="834820.62100000016"/>
    <n v="844302.35800000001"/>
    <n v="752311.51099999994"/>
    <n v="531488.652"/>
    <n v="293287.13300000003"/>
    <n v="6408696.5490000006"/>
    <n v="107786.72500000001"/>
  </r>
  <r>
    <n v="440267.74399999995"/>
    <n v="907809.88000000024"/>
    <n v="923684.94899999979"/>
    <n v="874115.33699999994"/>
    <n v="826593.3459999999"/>
    <n v="840883.02999999991"/>
    <n v="764093.67700000003"/>
    <n v="556746.95499999996"/>
    <n v="300493.87800000003"/>
    <n v="6434688.7960000001"/>
    <n v="113770.36700000001"/>
  </r>
  <r>
    <n v="424856.47899999999"/>
    <n v="892843.10600000003"/>
    <n v="916341.00699999998"/>
    <n v="873997.61799999978"/>
    <n v="823284.95900000003"/>
    <n v="824481.64100000006"/>
    <n v="767758.80299999996"/>
    <n v="581227.27800000005"/>
    <n v="309296.212"/>
    <n v="6414087.1030000001"/>
    <n v="119063.27099999999"/>
  </r>
  <r>
    <n v="429627.26100000006"/>
    <n v="895929.60499999986"/>
    <n v="924842.09499999997"/>
    <n v="883722.65199999989"/>
    <n v="817900.82799999986"/>
    <n v="822771.35700000008"/>
    <n v="761320.06499999994"/>
    <n v="587133.42099999986"/>
    <n v="308298.37099999998"/>
    <n v="6431545.6550000003"/>
    <n v="116430.857"/>
  </r>
  <r>
    <n v="430289"/>
    <n v="903976"/>
    <n v="936681"/>
    <n v="909225"/>
    <n v="834243"/>
    <n v="833583"/>
    <n v="801636"/>
    <n v="637694"/>
    <n v="331749"/>
    <n v="6619076"/>
    <n v="123325"/>
  </r>
  <r>
    <n v="199186.86600000004"/>
    <n v="382872.46100000007"/>
    <n v="391797.96699999995"/>
    <n v="377695.30299999996"/>
    <n v="375805.32100000011"/>
    <n v="394377.50799999991"/>
    <n v="323356.77000000014"/>
    <n v="211225.89"/>
    <n v="137599.99900000001"/>
    <n v="2793918.085"/>
    <n v="51390.42099999998"/>
  </r>
  <r>
    <n v="204960.21"/>
    <n v="409884.86800000007"/>
    <n v="423367.80600000016"/>
    <n v="386472.19900000008"/>
    <n v="395140.17800000007"/>
    <n v="425145.47100000008"/>
    <n v="360636.62099999998"/>
    <n v="240599.25100000002"/>
    <n v="142096.35199999998"/>
    <n v="2988302.9560000002"/>
    <n v="53408.835000000006"/>
  </r>
  <r>
    <n v="201013.345"/>
    <n v="401595.69700000004"/>
    <n v="413008.55900000007"/>
    <n v="382848.91099999991"/>
    <n v="381655.40300000011"/>
    <n v="412790.38999999996"/>
    <n v="353585.6500000002"/>
    <n v="234666.11500000002"/>
    <n v="137703.33599999998"/>
    <n v="2918867.4060000009"/>
    <n v="51657.542999999998"/>
  </r>
  <r>
    <n v="203823.91299999997"/>
    <n v="410541.44699999993"/>
    <n v="417997.08400000009"/>
    <n v="391034.77800000028"/>
    <n v="387441.9529999998"/>
    <n v="426075.0630000002"/>
    <n v="377370.55900000001"/>
    <n v="251004.82699999999"/>
    <n v="144373.21399999992"/>
    <n v="3009662.8379999995"/>
    <n v="53390.073999999986"/>
  </r>
  <r>
    <n v="201907.75699999995"/>
    <n v="409637.83799999993"/>
    <n v="417459.21100000007"/>
    <n v="394154.52100000012"/>
    <n v="381010.70699999999"/>
    <n v="416714.05199999997"/>
    <n v="372291.72800000012"/>
    <n v="250170.57299999997"/>
    <n v="141744.07000000004"/>
    <n v="2985090.4569999999"/>
    <n v="53803.536"/>
  </r>
  <r>
    <n v="196279.19200000007"/>
    <n v="402519.16499999998"/>
    <n v="406389.87399999989"/>
    <n v="383401.95300000004"/>
    <n v="368471.29700000002"/>
    <n v="397398.28599999996"/>
    <n v="363029.78399999993"/>
    <n v="248650.27500000002"/>
    <n v="136221.62299999996"/>
    <n v="2902361.449"/>
    <n v="51222.317000000003"/>
  </r>
  <r>
    <n v="199687.81900000005"/>
    <n v="413785.06599999999"/>
    <n v="420881.75799999997"/>
    <n v="402621.25099999993"/>
    <n v="382225.924"/>
    <n v="409132.609"/>
    <n v="389166.625"/>
    <n v="276435.07699999993"/>
    <n v="148365.69300000003"/>
    <n v="3042301.8220000002"/>
    <n v="57187.350000000013"/>
  </r>
  <r>
    <n v="196996.36499999996"/>
    <n v="411274.76800000016"/>
    <n v="426124.03300000005"/>
    <n v="400669.15099999984"/>
    <n v="380202.05699999991"/>
    <n v="401270.43999999983"/>
    <n v="385220.55199999991"/>
    <n v="277137.89199999999"/>
    <n v="145816.55200000003"/>
    <n v="3024711.8099999996"/>
    <n v="57302.288999999982"/>
  </r>
  <r>
    <n v="201718"/>
    <n v="420355"/>
    <n v="430904"/>
    <n v="411178"/>
    <n v="389361"/>
    <n v="401397"/>
    <n v="393915"/>
    <n v="289374"/>
    <n v="148419"/>
    <n v="3086621"/>
    <n v="57541"/>
  </r>
  <r>
    <n v="2706816.1960000009"/>
    <n v="5123024.9670000002"/>
    <n v="5282080.5820000004"/>
    <n v="5291269.3649999993"/>
    <n v="5353470.8099999996"/>
    <n v="5067792.0830000006"/>
    <n v="3565300.6289999997"/>
    <n v="2054746.4149999998"/>
    <n v="1376966.0410000004"/>
    <n v="35821467.088"/>
    <n v="543958.95400000003"/>
  </r>
  <r>
    <n v="2535634.203999999"/>
    <n v="5069381.2720000017"/>
    <n v="5478728.7649999997"/>
    <n v="5214198.7339999992"/>
    <n v="5246795.1690000007"/>
    <n v="5104320.8229999999"/>
    <n v="3730652.4450000003"/>
    <n v="2113248.1669999994"/>
    <n v="1351939.3490000002"/>
    <n v="35844898.927999996"/>
    <n v="555556.43999999971"/>
  </r>
  <r>
    <n v="2550935.4789999994"/>
    <n v="5082233.2949999999"/>
    <n v="5558879.1849999987"/>
    <n v="5287964.2290000003"/>
    <n v="5241877.3740000008"/>
    <n v="5203081.4630000005"/>
    <n v="3913560.1799999997"/>
    <n v="2221492.0700000008"/>
    <n v="1381366.4650000003"/>
    <n v="36441389.74000001"/>
    <n v="582306.38"/>
  </r>
  <r>
    <n v="2540633.5990000004"/>
    <n v="5085616.5679999981"/>
    <n v="5593680.0479999967"/>
    <n v="5343851.8800000008"/>
    <n v="5201616.7860000022"/>
    <n v="5222276.1769999973"/>
    <n v="4050261.6359999999"/>
    <n v="2307167.7280000006"/>
    <n v="1393418.5709999995"/>
    <n v="36738522.993000001"/>
    <n v="614601.32299999997"/>
  </r>
  <r>
    <n v="2522088.5890000002"/>
    <n v="5077940.6240000008"/>
    <n v="5597481.0320000006"/>
    <n v="5417259.5190000013"/>
    <n v="5167787.5770000005"/>
    <n v="5231351.8089999994"/>
    <n v="4177180.9870000002"/>
    <n v="2422926.571"/>
    <n v="1392902.209"/>
    <n v="37006918.917000003"/>
    <n v="627498.29699999979"/>
  </r>
  <r>
    <n v="2530763.7670000009"/>
    <n v="5083982.9879999999"/>
    <n v="5604585.1109999977"/>
    <n v="5521305.3030000003"/>
    <n v="5176197.3810000001"/>
    <n v="5248356.5350000029"/>
    <n v="4314749.2699999996"/>
    <n v="2551854.8160000006"/>
    <n v="1417003.8309999993"/>
    <n v="37448799.002000004"/>
    <n v="652687.04499999981"/>
  </r>
  <r>
    <n v="2531065.9679999999"/>
    <n v="5105229.4950000001"/>
    <n v="5609051.987999999"/>
    <n v="5651299.5779999997"/>
    <n v="5209107.8180000009"/>
    <n v="5282260.0699999975"/>
    <n v="4452941.932"/>
    <n v="2704567.6330000008"/>
    <n v="1454993.4750000003"/>
    <n v="38000517.956999995"/>
    <n v="665943.7420000002"/>
  </r>
  <r>
    <n v="2508555.6439999999"/>
    <n v="5098479.6119999988"/>
    <n v="5551533.1660000002"/>
    <n v="5732935.8769999994"/>
    <n v="5183447.8929999992"/>
    <n v="5233504.2580000004"/>
    <n v="4530278.8569999989"/>
    <n v="2837645.6860000012"/>
    <n v="1489475.1889999998"/>
    <n v="38165856.182000004"/>
    <n v="679341.22999999986"/>
  </r>
  <r>
    <n v="2481106"/>
    <n v="5049210"/>
    <n v="5411205"/>
    <n v="5792865"/>
    <n v="5157522"/>
    <n v="5179282"/>
    <n v="4573860"/>
    <n v="2930983"/>
    <n v="1498514"/>
    <n v="38074547"/>
    <n v="685572"/>
  </r>
  <r>
    <n v="353745.75300000014"/>
    <n v="648427.84299999999"/>
    <n v="691208.64600000018"/>
    <n v="702724.66000000027"/>
    <n v="714311.37500000012"/>
    <n v="731145.60599999991"/>
    <n v="522396.69200000016"/>
    <n v="271109.02100000007"/>
    <n v="165377.90499999997"/>
    <n v="4800447.5010000002"/>
    <n v="63453.125000000015"/>
  </r>
  <r>
    <n v="341491.96199999994"/>
    <n v="663264.41800000006"/>
    <n v="689283.54800000007"/>
    <n v="703637.26499999966"/>
    <n v="706238.1109999998"/>
    <n v="734199.15600000008"/>
    <n v="553285.91599999997"/>
    <n v="285350.03700000013"/>
    <n v="168567.77599999995"/>
    <n v="4845318.1889999993"/>
    <n v="67422.401999999987"/>
  </r>
  <r>
    <n v="348340.60199999978"/>
    <n v="681797.92400000012"/>
    <n v="703290.31799999997"/>
    <n v="724099.77400000009"/>
    <n v="713064.10999999975"/>
    <n v="747187.55800000019"/>
    <n v="583857.90599999973"/>
    <n v="305320.66499999998"/>
    <n v="173396.42299999986"/>
    <n v="4980355.2799999993"/>
    <n v="70467.198999999993"/>
  </r>
  <r>
    <n v="337654.55700000009"/>
    <n v="675523.94399999978"/>
    <n v="687480.08800000011"/>
    <n v="723225.87899999984"/>
    <n v="696489.09299999999"/>
    <n v="729752.95900000015"/>
    <n v="596912.92600000033"/>
    <n v="316002.33599999995"/>
    <n v="171605.11999999997"/>
    <n v="4934646.9020000007"/>
    <n v="71939.259000000005"/>
  </r>
  <r>
    <n v="343737.00499999989"/>
    <n v="697828.60900000005"/>
    <n v="706991.24300000002"/>
    <n v="751547.54700000025"/>
    <n v="711874.05399999965"/>
    <n v="740513.10599999968"/>
    <n v="628671.11900000006"/>
    <n v="343268.37999999983"/>
    <n v="177608.52800000002"/>
    <n v="5102039.5909999991"/>
    <n v="73987.858999999997"/>
  </r>
  <r>
    <n v="342577.60900000011"/>
    <n v="709835.89199999988"/>
    <n v="717743.86400000018"/>
    <n v="771004.4010000003"/>
    <n v="719771.99300000002"/>
    <n v="734714.60900000029"/>
    <n v="648753.71799999976"/>
    <n v="364386.022"/>
    <n v="182117.53"/>
    <n v="5190905.6380000003"/>
    <n v="77792.742000000027"/>
  </r>
  <r>
    <n v="373965.07"/>
    <n v="784948.97700000042"/>
    <n v="803052.44899999944"/>
    <n v="856737.36200000008"/>
    <n v="793315.08099999966"/>
    <n v="800432.56700000004"/>
    <n v="725857.60699999996"/>
    <n v="433053.18500000023"/>
    <n v="213526.79700000005"/>
    <n v="5784889.0950000007"/>
    <n v="87907.391000000003"/>
  </r>
  <r>
    <n v="335327.97599999985"/>
    <n v="706848.74999999977"/>
    <n v="723225.33000000007"/>
    <n v="796751.82700000028"/>
    <n v="724848.37399999984"/>
    <n v="718321.45999999973"/>
    <n v="671568.46400000015"/>
    <n v="410941.78600000002"/>
    <n v="193023.81999999995"/>
    <n v="5280857.7870000005"/>
    <n v="78783.331999999995"/>
  </r>
  <r>
    <n v="368853"/>
    <n v="776535"/>
    <n v="813882"/>
    <n v="882525"/>
    <n v="790151"/>
    <n v="769123"/>
    <n v="731806"/>
    <n v="468222"/>
    <n v="220490"/>
    <n v="5821587"/>
    <n v="93783"/>
  </r>
  <r>
    <n v="212558.02899999998"/>
    <n v="459486.46100000007"/>
    <n v="478043.67699999997"/>
    <n v="403268.70999999996"/>
    <n v="519801.315"/>
    <n v="548351.92500000005"/>
    <n v="397044.58799999999"/>
    <n v="233949.85399999999"/>
    <n v="164920.69399999999"/>
    <n v="3417425.2529999996"/>
    <n v="77304.618000000002"/>
  </r>
  <r>
    <n v="205283.99900000001"/>
    <n v="468081.70400000009"/>
    <n v="474259.14500000002"/>
    <n v="410857.38199999998"/>
    <n v="512567.81"/>
    <n v="564174.88900000008"/>
    <n v="419799.91"/>
    <n v="239997.74699999997"/>
    <n v="171018.71299999999"/>
    <n v="3466041.2990000006"/>
    <n v="80632.789000000004"/>
  </r>
  <r>
    <n v="203157.07199999999"/>
    <n v="463028.13099999999"/>
    <n v="477078.43899999995"/>
    <n v="414807.14800000004"/>
    <n v="497351.57299999997"/>
    <n v="568458.89300000004"/>
    <n v="431497.94"/>
    <n v="248604.04199999999"/>
    <n v="166614.00900000002"/>
    <n v="3470597.247"/>
    <n v="84415.731"/>
  </r>
  <r>
    <n v="199318.37699999998"/>
    <n v="458918.10799999995"/>
    <n v="479176.98499999993"/>
    <n v="420884.95999999996"/>
    <n v="485113.86600000004"/>
    <n v="569386.64899999998"/>
    <n v="444154.76499999996"/>
    <n v="258418.13399999999"/>
    <n v="167108.36599999998"/>
    <n v="3482480.2099999995"/>
    <n v="84749.743999999992"/>
  </r>
  <r>
    <n v="197304.91999999998"/>
    <n v="456704.39100000006"/>
    <n v="485144.57699999999"/>
    <n v="427408.02799999999"/>
    <n v="469068.08099999995"/>
    <n v="568017.80499999993"/>
    <n v="457295.72200000007"/>
    <n v="269149.79800000001"/>
    <n v="163767.89499999999"/>
    <n v="3493861.2170000002"/>
    <n v="86889.545999999988"/>
  </r>
  <r>
    <n v="194081.70499999999"/>
    <n v="453491.70200000011"/>
    <n v="489989.38800000004"/>
    <n v="433442.86000000004"/>
    <n v="459871.28799999994"/>
    <n v="564044.85899999994"/>
    <n v="469398.27200000006"/>
    <n v="281209.196"/>
    <n v="163445.33199999999"/>
    <n v="3508974.602"/>
    <n v="86810.755999999994"/>
  </r>
  <r>
    <n v="191428.15599999999"/>
    <n v="447137.47500000009"/>
    <n v="494068.23699999996"/>
    <n v="437346.90099999995"/>
    <n v="449396.44099999993"/>
    <n v="555610.25200000009"/>
    <n v="478011.77999999997"/>
    <n v="292294.24699999997"/>
    <n v="162165.48300000004"/>
    <n v="3507458.9719999996"/>
    <n v="87955.889999999985"/>
  </r>
  <r>
    <n v="188741.39800000002"/>
    <n v="439800.21500000003"/>
    <n v="494764.12300000002"/>
    <n v="438606.065"/>
    <n v="439966.12500000006"/>
    <n v="546335.86200000008"/>
    <n v="488884.00199999998"/>
    <n v="303525.87199999997"/>
    <n v="162787.73599999998"/>
    <n v="3503411.398"/>
    <n v="87324.955000000002"/>
  </r>
  <r>
    <n v="186188"/>
    <n v="432367"/>
    <n v="495626"/>
    <n v="439239"/>
    <n v="433401"/>
    <n v="535611"/>
    <n v="496289"/>
    <n v="318515"/>
    <n v="167133"/>
    <n v="3504369"/>
    <n v="90109"/>
  </r>
  <r>
    <n v="58270.941999999995"/>
    <n v="111165.51800000001"/>
    <n v="117963.568"/>
    <n v="112326.01799999998"/>
    <n v="121305.82999999999"/>
    <n v="125074.128"/>
    <n v="99139.957999999984"/>
    <n v="63093.334000000003"/>
    <n v="40563.036000000007"/>
    <n v="848902.33200000005"/>
    <n v="15490.835999999999"/>
  </r>
  <r>
    <n v="55855.555999999997"/>
    <n v="112543.174"/>
    <n v="125219.46"/>
    <n v="109915.41399999999"/>
    <n v="120411.88"/>
    <n v="130201.804"/>
    <n v="104765.266"/>
    <n v="67709.213999999993"/>
    <n v="39449.731999999996"/>
    <n v="866071.5"/>
    <n v="15622.119999999999"/>
  </r>
  <r>
    <n v="55769.298000000003"/>
    <n v="112323.41400000002"/>
    <n v="126170.592"/>
    <n v="110709.19200000001"/>
    <n v="117917.394"/>
    <n v="131753.24400000001"/>
    <n v="108786.44399999999"/>
    <n v="70359.245999999999"/>
    <n v="40071.9"/>
    <n v="873860.72400000016"/>
    <n v="16151.268"/>
  </r>
  <r>
    <n v="56156.893000000004"/>
    <n v="113484.041"/>
    <n v="127042.61800000002"/>
    <n v="111979.94399999999"/>
    <n v="115866.42300000001"/>
    <n v="132333.603"/>
    <n v="111943.48799999998"/>
    <n v="73350.815000000002"/>
    <n v="41219.457000000002"/>
    <n v="883377.28200000001"/>
    <n v="16162.742999999999"/>
  </r>
  <r>
    <n v="56145.642"/>
    <n v="113812.83"/>
    <n v="127261.97"/>
    <n v="114392.564"/>
    <n v="113779.46400000001"/>
    <n v="132610.28"/>
    <n v="115009.85800000001"/>
    <n v="77609.5"/>
    <n v="41069.712"/>
    <n v="891691.82000000007"/>
    <n v="16718.577999999998"/>
  </r>
  <r>
    <n v="55963.097000000002"/>
    <n v="114168.27499999999"/>
    <n v="126039.97400000002"/>
    <n v="117064.497"/>
    <n v="112274.973"/>
    <n v="132012.74"/>
    <n v="118516.83900000001"/>
    <n v="81244.688999999998"/>
    <n v="42241.995999999999"/>
    <n v="899527.08000000007"/>
    <n v="17598.285"/>
  </r>
  <r>
    <n v="55605.577000000005"/>
    <n v="113673.158"/>
    <n v="125757.539"/>
    <n v="120033.74799999999"/>
    <n v="111328.33799999999"/>
    <n v="131079.57"/>
    <n v="121253.851"/>
    <n v="85953.712"/>
    <n v="43807.407000000007"/>
    <n v="908492.9"/>
    <n v="17788.268"/>
  </r>
  <r>
    <n v="55711.476000000002"/>
    <n v="114488.31"/>
    <n v="124332.12899999999"/>
    <n v="122261.96699999999"/>
    <n v="110395.70699999999"/>
    <n v="129752.73000000001"/>
    <n v="124605.88800000001"/>
    <n v="90855.747000000003"/>
    <n v="44843.163"/>
    <n v="917247.11699999985"/>
    <n v="17960.129999999997"/>
  </r>
  <r>
    <n v="55282"/>
    <n v="114024"/>
    <n v="122886"/>
    <n v="125241"/>
    <n v="110313"/>
    <n v="128392"/>
    <n v="127029"/>
    <n v="95605"/>
    <n v="46641"/>
    <n v="925413"/>
    <n v="18319"/>
  </r>
  <r>
    <n v="35894.413"/>
    <n v="59431.733"/>
    <n v="89441.815999999992"/>
    <n v="105917.94"/>
    <n v="86499.650999999998"/>
    <n v="78261.589000000007"/>
    <n v="64139.197"/>
    <n v="36482.845999999998"/>
    <n v="23537.32"/>
    <n v="579606.50499999989"/>
    <n v="10003.361000000001"/>
  </r>
  <r>
    <n v="32142"/>
    <n v="53180.4"/>
    <n v="99932.4"/>
    <n v="113958"/>
    <n v="81816"/>
    <n v="75387.600000000006"/>
    <n v="61946.399999999994"/>
    <n v="35648.400000000001"/>
    <n v="22207.200000000001"/>
    <n v="576218.4"/>
    <n v="9350.4"/>
  </r>
  <r>
    <n v="33261.480000000003"/>
    <n v="52268.04"/>
    <n v="100972.35"/>
    <n v="119384.955"/>
    <n v="81965.790000000008"/>
    <n v="75432.285000000003"/>
    <n v="63553.184999999998"/>
    <n v="35637.300000000003"/>
    <n v="21382.38"/>
    <n v="583857.76500000001"/>
    <n v="10097.235000000001"/>
  </r>
  <r>
    <n v="34528.262999999999"/>
    <n v="52095.274000000005"/>
    <n v="101161.753"/>
    <n v="125392.113"/>
    <n v="82383.224000000002"/>
    <n v="75114.116000000009"/>
    <n v="64816.213000000003"/>
    <n v="37557.058000000005"/>
    <n v="21807.324000000001"/>
    <n v="594855.33799999999"/>
    <n v="10297.903"/>
  </r>
  <r>
    <n v="36542.889000000003"/>
    <n v="52027.164000000004"/>
    <n v="99718.731"/>
    <n v="133164.76500000001"/>
    <n v="84234.456000000006"/>
    <n v="76182.633000000002"/>
    <n v="65653.326000000001"/>
    <n v="38401.002"/>
    <n v="21677.985000000001"/>
    <n v="607602.951"/>
    <n v="9909.9359999999997"/>
  </r>
  <r>
    <n v="38657.896000000001"/>
    <n v="53233.824000000001"/>
    <n v="98862.815999999992"/>
    <n v="140055.65600000002"/>
    <n v="87455.567999999999"/>
    <n v="76048.320000000007"/>
    <n v="67809.752000000008"/>
    <n v="39925.368000000002"/>
    <n v="21547.023999999998"/>
    <n v="623596.22400000005"/>
    <n v="10139.776"/>
  </r>
  <r>
    <n v="40144.008000000002"/>
    <n v="55036.14"/>
    <n v="97770.084000000003"/>
    <n v="145036.41600000003"/>
    <n v="90000.276000000013"/>
    <n v="77050.59599999999"/>
    <n v="68633.304000000004"/>
    <n v="41438.975999999995"/>
    <n v="22014.455999999998"/>
    <n v="637124.25600000005"/>
    <n v="10359.744000000001"/>
  </r>
  <r>
    <n v="42176.576000000001"/>
    <n v="57333.782999999996"/>
    <n v="96874.323000000004"/>
    <n v="149595.04300000001"/>
    <n v="92920.269"/>
    <n v="77104.053"/>
    <n v="69195.945000000007"/>
    <n v="42835.584999999999"/>
    <n v="21747.296999999999"/>
    <n v="649782.87399999995"/>
    <n v="10544.144"/>
  </r>
  <r>
    <n v="43607"/>
    <n v="58900"/>
    <n v="92041"/>
    <n v="156390"/>
    <n v="95604"/>
    <n v="76580"/>
    <n v="69500"/>
    <n v="45582"/>
    <n v="23058"/>
    <n v="661262"/>
    <n v="11129"/>
  </r>
  <r>
    <n v="1145650.9979999999"/>
    <n v="2200526.0930000003"/>
    <n v="2347623.716"/>
    <n v="2290188.2549999999"/>
    <n v="2518290.550999999"/>
    <n v="2560323.9870000007"/>
    <n v="2092147.9109999994"/>
    <n v="1478978.5720000002"/>
    <n v="1165060.9329999997"/>
    <n v="17798791.015999995"/>
    <n v="427425.42700000003"/>
  </r>
  <r>
    <n v="1083664.9839999999"/>
    <n v="2207634.0710000009"/>
    <n v="2447809.6439999989"/>
    <n v="2252455.3450000007"/>
    <n v="2511271.9369999995"/>
    <n v="2671795.9079999998"/>
    <n v="2228963.6939999997"/>
    <n v="1637561.4230000002"/>
    <n v="1089156.9950000001"/>
    <n v="18130314.000999998"/>
    <n v="413687.53900000005"/>
  </r>
  <r>
    <n v="1076278.574"/>
    <n v="2198252.3189999997"/>
    <n v="2450814.7779999999"/>
    <n v="2269669.4440000001"/>
    <n v="2465973.4669999997"/>
    <n v="2693234.0309999995"/>
    <n v="2282822.878000001"/>
    <n v="1677543.2919999999"/>
    <n v="1093333.7030000002"/>
    <n v="18207922.486000001"/>
    <n v="430240.88800000015"/>
  </r>
  <r>
    <n v="1062753.5740000003"/>
    <n v="2185260.2759999996"/>
    <n v="2447663.5260000005"/>
    <n v="2286073.11"/>
    <n v="2414774.2719999994"/>
    <n v="2700344.2289999994"/>
    <n v="2328421.781"/>
    <n v="1732394.8089999999"/>
    <n v="1095270.8570000001"/>
    <n v="18252956.434"/>
    <n v="445257.47200000007"/>
  </r>
  <r>
    <n v="1063059.5109999992"/>
    <n v="2191710.176"/>
    <n v="2451029.6340000001"/>
    <n v="2322338.1360000004"/>
    <n v="2390987.6549999993"/>
    <n v="2703347.9390000002"/>
    <n v="2370885.452"/>
    <n v="1780374.5109999997"/>
    <n v="1093985.9009999998"/>
    <n v="18367718.914999999"/>
    <n v="458530.58799999987"/>
  </r>
  <r>
    <n v="1070704.605"/>
    <n v="2221061.8509999989"/>
    <n v="2474681.6660000016"/>
    <n v="2392226.9990000003"/>
    <n v="2399871.9749999996"/>
    <n v="2725974.1489999997"/>
    <n v="2446347.9810000001"/>
    <n v="1871177.4499999997"/>
    <n v="1124170.5029999998"/>
    <n v="18726217.179000001"/>
    <n v="476813.78299999994"/>
  </r>
  <r>
    <n v="1064943.575"/>
    <n v="2210282.1259999997"/>
    <n v="2448874.5329999998"/>
    <n v="2426553.2090000007"/>
    <n v="2388301.2420000001"/>
    <n v="2709205.4820000008"/>
    <n v="2498189.9999999991"/>
    <n v="1961767.3490000004"/>
    <n v="1157635.5219999996"/>
    <n v="18865753.037999999"/>
    <n v="494974.69099999999"/>
  </r>
  <r>
    <n v="1100233.4720000001"/>
    <n v="2277652.929"/>
    <n v="2496728.9919999992"/>
    <n v="2539950.6469999994"/>
    <n v="2444310.5619999999"/>
    <n v="2759872.6089999997"/>
    <n v="2595851.11"/>
    <n v="2094603.5249999999"/>
    <n v="1203592.6179999998"/>
    <n v="19512796.463999998"/>
    <n v="517464.64500000008"/>
  </r>
  <r>
    <n v="1115082"/>
    <n v="2308358"/>
    <n v="2515016"/>
    <n v="2617967"/>
    <n v="2482411"/>
    <n v="2775781"/>
    <n v="2671831"/>
    <n v="2184197"/>
    <n v="1241746"/>
    <n v="19912389"/>
    <n v="526343"/>
  </r>
  <r>
    <n v="739624.83200000029"/>
    <n v="1392671.2689999999"/>
    <n v="1417353.1870000004"/>
    <n v="1376408.6700000009"/>
    <n v="1467137.1529999992"/>
    <n v="1355167.8039999995"/>
    <n v="983688.55400000012"/>
    <n v="547344.3330000001"/>
    <n v="315195.20999999996"/>
    <n v="9594591.012000002"/>
    <n v="116393.38099999999"/>
  </r>
  <r>
    <n v="695925.40600000054"/>
    <n v="1371186.5069999998"/>
    <n v="1390282.4679999999"/>
    <n v="1333440.0680000002"/>
    <n v="1437063.3609999998"/>
    <n v="1362741.0070000002"/>
    <n v="1016218.9640000003"/>
    <n v="571854.83100000012"/>
    <n v="307713.27800000011"/>
    <n v="9486425.8900000006"/>
    <n v="111861.603"/>
  </r>
  <r>
    <n v="690598.10899999982"/>
    <n v="1374777.9829999991"/>
    <n v="1391755.5709999995"/>
    <n v="1329501.9569999999"/>
    <n v="1415733.0629999992"/>
    <n v="1371910.0569999993"/>
    <n v="1041014.9040000002"/>
    <n v="588939.09499999997"/>
    <n v="310828.94800000009"/>
    <n v="9515059.686999999"/>
    <n v="113346.60299999996"/>
  </r>
  <r>
    <n v="700954.23400000029"/>
    <n v="1412764.26"/>
    <n v="1434462.6470000013"/>
    <n v="1370175.8809999991"/>
    <n v="1433627.746999999"/>
    <n v="1418795.5050000004"/>
    <n v="1103370.0780000007"/>
    <n v="636876.42900000047"/>
    <n v="327595.29299999983"/>
    <n v="9838622.0740000028"/>
    <n v="121861.17800000003"/>
  </r>
  <r>
    <n v="691444.81099999999"/>
    <n v="1426313.2659999996"/>
    <n v="1446631.723"/>
    <n v="1362817.3760000002"/>
    <n v="1412578.6849999994"/>
    <n v="1419745.4540000001"/>
    <n v="1132038.4889999996"/>
    <n v="670954.59800000023"/>
    <n v="335349.01900000009"/>
    <n v="9897873.4209999982"/>
    <n v="124659.00000000007"/>
  </r>
  <r>
    <n v="666762.4520000004"/>
    <n v="1392597.8999999997"/>
    <n v="1407174.9589999998"/>
    <n v="1343698.8329999999"/>
    <n v="1372438.8870000001"/>
    <n v="1383792.284"/>
    <n v="1123092.8639999998"/>
    <n v="673031.41200000013"/>
    <n v="329927.53299999988"/>
    <n v="9692517.1239999998"/>
    <n v="121363.59899999996"/>
  </r>
  <r>
    <n v="683342.71300000011"/>
    <n v="1449543.5089999996"/>
    <n v="1460426.2569999993"/>
    <n v="1398410.3309999995"/>
    <n v="1415569.2259999996"/>
    <n v="1443849.1720000003"/>
    <n v="1210474.0179999997"/>
    <n v="753918.33599999978"/>
    <n v="362474.38200000004"/>
    <n v="10178007.943999996"/>
    <n v="130460.00300000003"/>
  </r>
  <r>
    <n v="662316.90699999966"/>
    <n v="1411119.2490000001"/>
    <n v="1426914.0810000007"/>
    <n v="1377267.844"/>
    <n v="1371909.422000001"/>
    <n v="1400263.1359999995"/>
    <n v="1185185.5219999999"/>
    <n v="759477.07200000051"/>
    <n v="355823.61499999982"/>
    <n v="9950276.8480000012"/>
    <n v="129717.45100000007"/>
  </r>
  <r>
    <n v="664105"/>
    <n v="1427856"/>
    <n v="1446984"/>
    <n v="1415370"/>
    <n v="1390455"/>
    <n v="1427589"/>
    <n v="1240644"/>
    <n v="819673"/>
    <n v="379593"/>
    <n v="10212269"/>
    <n v="134083"/>
  </r>
  <r>
    <n v="86680.740999999995"/>
    <n v="154047.16699999999"/>
    <n v="174733.16500000001"/>
    <n v="183511.85700000002"/>
    <n v="175700.70799999998"/>
    <n v="180058.22700000001"/>
    <n v="147014.962"/>
    <n v="86906.005000000005"/>
    <n v="67847.144"/>
    <n v="1256499.976"/>
    <n v="25893.421000000002"/>
  </r>
  <r>
    <n v="86252.421000000002"/>
    <n v="162175.20699999997"/>
    <n v="180941.44699999999"/>
    <n v="179787.30600000004"/>
    <n v="179139.769"/>
    <n v="194286.103"/>
    <n v="165165.84499999997"/>
    <n v="93984.443999999989"/>
    <n v="64883.703000000001"/>
    <n v="1306616.2449999999"/>
    <n v="27040.289000000001"/>
  </r>
  <r>
    <n v="87273.002000000008"/>
    <n v="163361.682"/>
    <n v="181829.715"/>
    <n v="183269.86200000002"/>
    <n v="177677.43799999999"/>
    <n v="192700.54499999998"/>
    <n v="170625.44500000001"/>
    <n v="97991.892000000007"/>
    <n v="65051.873999999996"/>
    <n v="1319781.4550000001"/>
    <n v="28777.923999999999"/>
  </r>
  <r>
    <n v="88387.760999999999"/>
    <n v="163162.182"/>
    <n v="182441.715"/>
    <n v="188610.20899999997"/>
    <n v="176124.67700000003"/>
    <n v="191607.36"/>
    <n v="174620.43299999999"/>
    <n v="102127.91000000002"/>
    <n v="63200.142000000007"/>
    <n v="1330282.389"/>
    <n v="31781.493000000002"/>
  </r>
  <r>
    <n v="88924.034"/>
    <n v="165870.53600000002"/>
    <n v="182628.31600000002"/>
    <n v="192634.27100000001"/>
    <n v="174196.14199999999"/>
    <n v="188485.30199999997"/>
    <n v="177111.15400000001"/>
    <n v="106876.09300000001"/>
    <n v="62754.050999999999"/>
    <n v="1339479.8990000002"/>
    <n v="32578.109000000004"/>
  </r>
  <r>
    <n v="89518.225999999995"/>
    <n v="168002.12400000001"/>
    <n v="186077.82000000004"/>
    <n v="199121.39999999997"/>
    <n v="174280.28600000002"/>
    <n v="184341.89500000002"/>
    <n v="177204.234"/>
    <n v="112912.48300000001"/>
    <n v="64472.092000000004"/>
    <n v="1355930.56"/>
    <n v="35489.490000000005"/>
  </r>
  <r>
    <n v="91491.915999999997"/>
    <n v="168365.158"/>
    <n v="184446.45100000003"/>
    <n v="204911.745"/>
    <n v="175432.212"/>
    <n v="181558.927"/>
    <n v="179121.21399999998"/>
    <n v="119782.58900000001"/>
    <n v="63347.564000000006"/>
    <n v="1368457.7760000001"/>
    <n v="36780.498999999996"/>
  </r>
  <r>
    <n v="92158.558000000019"/>
    <n v="167987.815"/>
    <n v="180209.18800000002"/>
    <n v="203187.95700000002"/>
    <n v="176254.22400000002"/>
    <n v="181785.24799999996"/>
    <n v="184036.68400000001"/>
    <n v="126288.821"/>
    <n v="63877.96699999999"/>
    <n v="1375786.4620000001"/>
    <n v="37988.300000000003"/>
  </r>
  <r>
    <n v="91417"/>
    <n v="168645"/>
    <n v="177286"/>
    <n v="205405"/>
    <n v="177415"/>
    <n v="179768"/>
    <n v="183652"/>
    <n v="133689"/>
    <n v="66602"/>
    <n v="1383879"/>
    <n v="37853"/>
  </r>
  <r>
    <n v="118760.60999999997"/>
    <n v="220896.01099999997"/>
    <n v="227909.16900000002"/>
    <n v="199464.77699999997"/>
    <n v="191812.43000000005"/>
    <n v="203232.60300000006"/>
    <n v="159866.85100000005"/>
    <n v="94100.931000000026"/>
    <n v="58708.122000000018"/>
    <n v="1474751.5040000002"/>
    <n v="23731.290999999997"/>
  </r>
  <r>
    <n v="119524.94499999998"/>
    <n v="231517.07100000003"/>
    <n v="224908.00599999999"/>
    <n v="202326.26300000006"/>
    <n v="194189.31600000002"/>
    <n v="209128.40899999999"/>
    <n v="169778.25600000008"/>
    <n v="100706.37500000004"/>
    <n v="58472.378000000004"/>
    <n v="1510551.0190000001"/>
    <n v="23979.518000000004"/>
  </r>
  <r>
    <n v="121450.36799999999"/>
    <n v="238213.03"/>
    <n v="229197.72599999997"/>
    <n v="209056.80600000007"/>
    <n v="196419.45399999997"/>
    <n v="213641.52900000001"/>
    <n v="180963.60900000003"/>
    <n v="109783.45600000001"/>
    <n v="62874.728000000025"/>
    <n v="1561600.7060000002"/>
    <n v="25403.285"/>
  </r>
  <r>
    <n v="119971.77999999998"/>
    <n v="236973.13399999999"/>
    <n v="227110.834"/>
    <n v="208567.74200000006"/>
    <n v="192581.84099999996"/>
    <n v="207517.12000000005"/>
    <n v="181335.54700000005"/>
    <n v="111777.64800000002"/>
    <n v="61361.46"/>
    <n v="1547197.1060000001"/>
    <n v="24736.277999999998"/>
  </r>
  <r>
    <n v="126635.63900000002"/>
    <n v="257873.815"/>
    <n v="240509.09000000008"/>
    <n v="224381.85200000001"/>
    <n v="208619.37300000002"/>
    <n v="221892.35400000005"/>
    <n v="202218.32199999996"/>
    <n v="127454.47100000009"/>
    <n v="67936.468000000008"/>
    <n v="1677521.3840000005"/>
    <n v="27286.062000000009"/>
  </r>
  <r>
    <n v="118000.12700000002"/>
    <n v="246015.89199999996"/>
    <n v="232542.245"/>
    <n v="219069.53399999996"/>
    <n v="202050.82199999999"/>
    <n v="210869.43399999995"/>
    <n v="198149.22500000003"/>
    <n v="128949.448"/>
    <n v="67509.631999999983"/>
    <n v="1623156.3589999999"/>
    <n v="26774.83500000001"/>
  </r>
  <r>
    <n v="118259.13900000004"/>
    <n v="249937.36300000004"/>
    <n v="238658.63999999998"/>
    <n v="225331.579"/>
    <n v="211799.14400000006"/>
    <n v="217510.70900000003"/>
    <n v="207801.67899999989"/>
    <n v="136951.065"/>
    <n v="70093.112999999983"/>
    <n v="1676342.4309999999"/>
    <n v="28387.567999999996"/>
  </r>
  <r>
    <n v="107824.39800000002"/>
    <n v="232667.24399999998"/>
    <n v="217072.69399999999"/>
    <n v="204428.49000000002"/>
    <n v="190891.83899999998"/>
    <n v="190171.68700000001"/>
    <n v="188818.258"/>
    <n v="131599.65100000004"/>
    <n v="64682.336999999978"/>
    <n v="1528156.598"/>
    <n v="25437.776999999998"/>
  </r>
  <r>
    <n v="105307"/>
    <n v="231853"/>
    <n v="213523"/>
    <n v="206868"/>
    <n v="196246"/>
    <n v="193162"/>
    <n v="194898"/>
    <n v="140110"/>
    <n v="67751"/>
    <n v="1549718"/>
    <n v="26601"/>
  </r>
  <r>
    <n v="898968.31600000046"/>
    <n v="1769246.6900000009"/>
    <n v="1845653.7050000001"/>
    <n v="1770474.816000001"/>
    <n v="1829792.743"/>
    <n v="1867044.4869999995"/>
    <n v="1342706.284"/>
    <n v="804823.98000000033"/>
    <n v="539871.78899999987"/>
    <n v="12668582.810000002"/>
    <n v="223035.83400000003"/>
  </r>
  <r>
    <n v="855937.99299999967"/>
    <n v="1766228.7700000005"/>
    <n v="1827369.9670000002"/>
    <n v="1773201.8840000001"/>
    <n v="1799088.5200000003"/>
    <n v="1878514.0919999997"/>
    <n v="1410095.5449999997"/>
    <n v="825436.33800000022"/>
    <n v="534431.69700000004"/>
    <n v="12670304.806"/>
    <n v="228987.07499999995"/>
  </r>
  <r>
    <n v="835803.59300000034"/>
    <n v="1735350.4260000004"/>
    <n v="1796793.002000001"/>
    <n v="1758490.1930000004"/>
    <n v="1746109.4530000002"/>
    <n v="1850667.7210000001"/>
    <n v="1427019.1689999998"/>
    <n v="830555.33499999985"/>
    <n v="525188.15099999995"/>
    <n v="12505977.043000001"/>
    <n v="228196.36399999991"/>
  </r>
  <r>
    <n v="835363.44100000022"/>
    <n v="1733534.223"/>
    <n v="1803572.7579999992"/>
    <n v="1778849.7599999991"/>
    <n v="1734867.0759999992"/>
    <n v="1859384.5529999996"/>
    <n v="1483611.2219999998"/>
    <n v="863296.20400000003"/>
    <n v="531834.76800000004"/>
    <n v="12624314.004999995"/>
    <n v="236388.23699999999"/>
  </r>
  <r>
    <n v="819664.05100000033"/>
    <n v="1718823.3050000009"/>
    <n v="1788125.8360000004"/>
    <n v="1774293.6040000003"/>
    <n v="1704390.6010000005"/>
    <n v="1832098.0699999996"/>
    <n v="1508443.5910000002"/>
    <n v="884396.28399999987"/>
    <n v="515918.90700000006"/>
    <n v="12546154.249000002"/>
    <n v="238497.253"/>
  </r>
  <r>
    <n v="809143.67199999967"/>
    <n v="1703469.4940000009"/>
    <n v="1789891.4499999997"/>
    <n v="1780434.4489999986"/>
    <n v="1692588.361"/>
    <n v="1808465.763"/>
    <n v="1552111.8549999988"/>
    <n v="914954.05"/>
    <n v="515544.80899999978"/>
    <n v="12566603.902999999"/>
    <n v="239301.68100000007"/>
  </r>
  <r>
    <n v="825459.26699999999"/>
    <n v="1749936.8999999997"/>
    <n v="1828992.6499999994"/>
    <n v="1826270.7339999995"/>
    <n v="1733837.5449999997"/>
    <n v="1846431.8189999994"/>
    <n v="1631434.4549999996"/>
    <n v="984161.16100000043"/>
    <n v="544044.48399999994"/>
    <n v="12970569.014999997"/>
    <n v="246810.31799999997"/>
  </r>
  <r>
    <n v="790068.90799999994"/>
    <n v="1677065.0480000002"/>
    <n v="1765652.6929999997"/>
    <n v="1774104.5020000001"/>
    <n v="1669832.5229999998"/>
    <n v="1772172.6800000004"/>
    <n v="1620208.7929999996"/>
    <n v="1004440.1870000004"/>
    <n v="535155.03800000018"/>
    <n v="12608700.372000001"/>
    <n v="246756.52200000003"/>
  </r>
  <r>
    <n v="796749"/>
    <n v="1681593"/>
    <n v="1770125"/>
    <n v="1805074"/>
    <n v="1683736"/>
    <n v="1762858"/>
    <n v="1659375"/>
    <n v="1062651"/>
    <n v="556719"/>
    <n v="12778880"/>
    <n v="252109"/>
  </r>
  <r>
    <n v="445484.03899999993"/>
    <n v="880407.478"/>
    <n v="916661.60699999984"/>
    <n v="833692.16899999999"/>
    <n v="886763.32000000018"/>
    <n v="933523.06499999994"/>
    <n v="694889.69800000032"/>
    <n v="416763.57300000003"/>
    <n v="280877.46899999987"/>
    <n v="6289062.4179999996"/>
    <n v="109598.07300000003"/>
  </r>
  <r>
    <n v="438409.83199999999"/>
    <n v="901705.74999999977"/>
    <n v="933794.42100000032"/>
    <n v="829369.94"/>
    <n v="876615.32399999991"/>
    <n v="947511.21699999983"/>
    <n v="730096.92200000014"/>
    <n v="434372.40200000018"/>
    <n v="281983.99"/>
    <n v="6373859.7980000004"/>
    <n v="108963.40199999996"/>
  </r>
  <r>
    <n v="421952.53599999985"/>
    <n v="865214.68500000006"/>
    <n v="904038.2629999998"/>
    <n v="803250.14299999992"/>
    <n v="828416.52399999998"/>
    <n v="910538.80699999991"/>
    <n v="725267.67899999954"/>
    <n v="425792.96900000004"/>
    <n v="268978.83299999987"/>
    <n v="6153450.4389999984"/>
    <n v="106506.72300000001"/>
  </r>
  <r>
    <n v="433364.79300000018"/>
    <n v="895853.04499999993"/>
    <n v="937277.76699999976"/>
    <n v="833144.76199999999"/>
    <n v="846372.7860000002"/>
    <n v="941507.91300000006"/>
    <n v="777406.2790000001"/>
    <n v="462373.93999999983"/>
    <n v="281626.21399999998"/>
    <n v="6408927.4989999989"/>
    <n v="113917.7"/>
  </r>
  <r>
    <n v="432238.38300000003"/>
    <n v="905048.11699999997"/>
    <n v="940396.4049999998"/>
    <n v="841070.85999999987"/>
    <n v="842580.99799999991"/>
    <n v="936246.79099999962"/>
    <n v="801339.7139999998"/>
    <n v="475461.81999999995"/>
    <n v="276490.31200000009"/>
    <n v="6450873.3999999985"/>
    <n v="117880.46500000007"/>
  </r>
  <r>
    <n v="414555.74900000024"/>
    <n v="871886.13899999997"/>
    <n v="912987.75300000014"/>
    <n v="815604.92200000002"/>
    <n v="809099.40799999982"/>
    <n v="891635.68700000015"/>
    <n v="789339.071"/>
    <n v="479407.09299999988"/>
    <n v="269532.28200000001"/>
    <n v="6254048.1040000003"/>
    <n v="117989.35100000002"/>
  </r>
  <r>
    <n v="417307.3930000001"/>
    <n v="886905.64199999999"/>
    <n v="932692.18500000052"/>
    <n v="840201.98099999956"/>
    <n v="825370.87899999972"/>
    <n v="900074.82200000004"/>
    <n v="826076.70700000017"/>
    <n v="514590.47200000001"/>
    <n v="276055.10800000007"/>
    <n v="6419275.1890000002"/>
    <n v="120984.08499999999"/>
  </r>
  <r>
    <n v="429570.88999999996"/>
    <n v="905272.04400000034"/>
    <n v="953548.07800000021"/>
    <n v="861193.03100000031"/>
    <n v="829666.7270000003"/>
    <n v="897804.91099999973"/>
    <n v="851302.17999999959"/>
    <n v="544931.18799999997"/>
    <n v="286426.09500000015"/>
    <n v="6559715.1440000003"/>
    <n v="125731.03899999999"/>
  </r>
  <r>
    <n v="426094"/>
    <n v="901295"/>
    <n v="964868"/>
    <n v="867615"/>
    <n v="837078"/>
    <n v="893061"/>
    <n v="872338"/>
    <n v="575878"/>
    <n v="292902"/>
    <n v="6631129"/>
    <n v="130689"/>
  </r>
  <r>
    <n v="196545.04900000003"/>
    <n v="385311.25599999988"/>
    <n v="446171.63399999996"/>
    <n v="354216.826"/>
    <n v="385067.09399999992"/>
    <n v="437434.56499999989"/>
    <n v="330397.81699999992"/>
    <n v="209369.71100000004"/>
    <n v="156828.28199999998"/>
    <n v="2901342.2339999997"/>
    <n v="70791.900000000009"/>
  </r>
  <r>
    <n v="196477.15600000002"/>
    <n v="395437.03700000001"/>
    <n v="433378.59100000001"/>
    <n v="366562.55500000005"/>
    <n v="376342.14499999979"/>
    <n v="437033.40599999996"/>
    <n v="347935.12500000012"/>
    <n v="216771.86199999999"/>
    <n v="155978.04400000002"/>
    <n v="2925915.9210000001"/>
    <n v="69943.637000000002"/>
  </r>
  <r>
    <n v="196208.91699999996"/>
    <n v="392874.55099999986"/>
    <n v="426937.18799999985"/>
    <n v="372356.07299999997"/>
    <n v="366683.73100000009"/>
    <n v="429855.24999999994"/>
    <n v="356420.24"/>
    <n v="217030.66299999997"/>
    <n v="152107.80100000001"/>
    <n v="2910474.4140000003"/>
    <n v="69504.781000000017"/>
  </r>
  <r>
    <n v="208249.83999999991"/>
    <n v="420446.30399999995"/>
    <n v="449556.3279999998"/>
    <n v="397448.87999999989"/>
    <n v="381721.74599999987"/>
    <n v="450448.69199999998"/>
    <n v="386394.30200000014"/>
    <n v="235372.25000000003"/>
    <n v="159132.44300000006"/>
    <n v="3088770.7849999992"/>
    <n v="74450.805999999997"/>
  </r>
  <r>
    <n v="194561.57499999992"/>
    <n v="396689.73499999993"/>
    <n v="429965.22899999999"/>
    <n v="381909.50799999991"/>
    <n v="358733.60500000004"/>
    <n v="421324.58199999994"/>
    <n v="379761.04399999999"/>
    <n v="228196.97600000005"/>
    <n v="148200.29199999999"/>
    <n v="2939342.5460000001"/>
    <n v="71744.418000000005"/>
  </r>
  <r>
    <n v="191773.69099999999"/>
    <n v="395262.91399999982"/>
    <n v="429241.93700000003"/>
    <n v="380821.78399999993"/>
    <n v="355295.74599999993"/>
    <n v="410956.18300000019"/>
    <n v="382052.53400000004"/>
    <n v="234746.85999999996"/>
    <n v="146262.36800000002"/>
    <n v="2926414.017"/>
    <n v="70042.717999999993"/>
  </r>
  <r>
    <n v="209456.4389999999"/>
    <n v="434931.38100000005"/>
    <n v="470774.63500000007"/>
    <n v="416696.48699999991"/>
    <n v="388664.33"/>
    <n v="443784.55199999997"/>
    <n v="430887.48499999993"/>
    <n v="272776.14100000006"/>
    <n v="162675.72099999996"/>
    <n v="3230647.1710000001"/>
    <n v="79012.639999999999"/>
  </r>
  <r>
    <n v="198341.52500000008"/>
    <n v="410099.75699999981"/>
    <n v="448075.01500000001"/>
    <n v="398816.23700000008"/>
    <n v="371842.93800000008"/>
    <n v="410782.04800000001"/>
    <n v="404557.88199999998"/>
    <n v="264480.0450000001"/>
    <n v="149108.43900000004"/>
    <n v="3056103.8859999999"/>
    <n v="72795.012000000017"/>
  </r>
  <r>
    <n v="191405"/>
    <n v="400015"/>
    <n v="435360"/>
    <n v="385969"/>
    <n v="361612"/>
    <n v="391737"/>
    <n v="397796"/>
    <n v="267489"/>
    <n v="147532"/>
    <n v="2978915"/>
    <n v="70941"/>
  </r>
  <r>
    <n v="199682.44399999996"/>
    <n v="382518.67200000008"/>
    <n v="424345.70500000002"/>
    <n v="356724.946"/>
    <n v="364706.71599999996"/>
    <n v="405239.9760000002"/>
    <n v="296771.48100000003"/>
    <n v="177198.84900000013"/>
    <n v="127583.26800000003"/>
    <n v="2734772.0570000005"/>
    <n v="58394.079999999987"/>
  </r>
  <r>
    <n v="193762.15599999996"/>
    <n v="384899.18199999997"/>
    <n v="402472.0309999999"/>
    <n v="352309.53199999995"/>
    <n v="349124.95200000005"/>
    <n v="397925.42400000006"/>
    <n v="302521.44099999988"/>
    <n v="177286.66800000001"/>
    <n v="124214.10199999998"/>
    <n v="2684515.4879999999"/>
    <n v="56436.769000000008"/>
  </r>
  <r>
    <n v="207083.78399999996"/>
    <n v="411613.28399999987"/>
    <n v="421759.66799999989"/>
    <n v="382132.18700000003"/>
    <n v="368739.48600000015"/>
    <n v="420958.05900000007"/>
    <n v="334204.94399999996"/>
    <n v="193854.83599999995"/>
    <n v="130898.808"/>
    <n v="2871245.0560000003"/>
    <n v="59436.115999999987"/>
  </r>
  <r>
    <n v="207028.12000000008"/>
    <n v="409590.11400000018"/>
    <n v="419092.97500000009"/>
    <n v="385686.72300000006"/>
    <n v="359191.4219999999"/>
    <n v="413477.13800000021"/>
    <n v="342591.45699999999"/>
    <n v="199266.71799999994"/>
    <n v="129872.90300000003"/>
    <n v="2865797.5700000003"/>
    <n v="60893.565000000024"/>
  </r>
  <r>
    <n v="200346.36600000004"/>
    <n v="400119.28999999992"/>
    <n v="409048.73800000001"/>
    <n v="377907.43000000005"/>
    <n v="348038.32600000012"/>
    <n v="397165.06200000009"/>
    <n v="348729.92800000001"/>
    <n v="204743.9879999999"/>
    <n v="126134.50700000001"/>
    <n v="2812233.6350000002"/>
    <n v="60436.242999999988"/>
  </r>
  <r>
    <n v="201800.66000000003"/>
    <n v="403890.75299999985"/>
    <n v="414748.1230000002"/>
    <n v="385358.97400000022"/>
    <n v="350575.4709999999"/>
    <n v="391099.44199999992"/>
    <n v="356701.49200000009"/>
    <n v="212372.14700000006"/>
    <n v="128891.50899999998"/>
    <n v="2845438.571"/>
    <n v="60411.58600000001"/>
  </r>
  <r>
    <n v="204158.94200000001"/>
    <n v="414157.147"/>
    <n v="428799.86100000015"/>
    <n v="394319.3240000002"/>
    <n v="357585.15600000019"/>
    <n v="392629.95500000013"/>
    <n v="372704.42199999996"/>
    <n v="228016.27699999997"/>
    <n v="131256.19200000004"/>
    <n v="2923627.2760000005"/>
    <n v="61826.797000000006"/>
  </r>
  <r>
    <n v="198605.98600000009"/>
    <n v="404951.08299999987"/>
    <n v="421191.16899999994"/>
    <n v="387819.07199999999"/>
    <n v="350489.97300000006"/>
    <n v="374181.576"/>
    <n v="366284.67499999999"/>
    <n v="229051.86999999988"/>
    <n v="128392.54599999994"/>
    <n v="2860967.9499999993"/>
    <n v="60522.724999999999"/>
  </r>
  <r>
    <n v="198426"/>
    <n v="406807"/>
    <n v="424595"/>
    <n v="391988"/>
    <n v="355782"/>
    <n v="367532"/>
    <n v="375481"/>
    <n v="245295"/>
    <n v="132767"/>
    <n v="2898673"/>
    <n v="63198"/>
  </r>
  <r>
    <n v="287840.00999999995"/>
    <n v="561256.86700000009"/>
    <n v="597625.59699999995"/>
    <n v="573791.56200000003"/>
    <n v="609478.04500000004"/>
    <n v="634678.84299999999"/>
    <n v="493837.821"/>
    <n v="302695.00699999975"/>
    <n v="187921.89999999988"/>
    <n v="4249125.6519999988"/>
    <n v="68738.39800000003"/>
  </r>
  <r>
    <n v="271305.69099999999"/>
    <n v="548657.39300000004"/>
    <n v="572587.48900000006"/>
    <n v="547258.21900000016"/>
    <n v="577546.32299999997"/>
    <n v="618410.10100000026"/>
    <n v="494926.96099999995"/>
    <n v="301594.59999999998"/>
    <n v="178447"/>
    <n v="4110733.7770000007"/>
    <n v="67738.23"/>
  </r>
  <r>
    <n v="277795.50500000006"/>
    <n v="564397.576"/>
    <n v="579326.39299999992"/>
    <n v="556852.51600000006"/>
    <n v="583258.19400000025"/>
    <n v="635144.38899999973"/>
    <n v="525967.73099999991"/>
    <n v="319607.02600000001"/>
    <n v="182548.33100000001"/>
    <n v="4224897.6609999994"/>
    <n v="71539.250000000015"/>
  </r>
  <r>
    <n v="280983.54500000004"/>
    <n v="569887.96600000001"/>
    <n v="590115.83299999998"/>
    <n v="562860.15700000001"/>
    <n v="579350.91399999987"/>
    <n v="637822.54100000008"/>
    <n v="541909.84900000016"/>
    <n v="333015.33100000012"/>
    <n v="184957.26200000008"/>
    <n v="4280903.398000001"/>
    <n v="72127.641999999993"/>
  </r>
  <r>
    <n v="281101.17300000013"/>
    <n v="572716.29699999979"/>
    <n v="596220.01800000016"/>
    <n v="568753.42100000009"/>
    <n v="570817.07299999997"/>
    <n v="633787.60800000001"/>
    <n v="556968.54200000013"/>
    <n v="344312.55599999987"/>
    <n v="187049.63199999998"/>
    <n v="4311726.32"/>
    <n v="73786.870000000039"/>
  </r>
  <r>
    <n v="277406.63200000004"/>
    <n v="571694.69900000002"/>
    <n v="597279.95500000007"/>
    <n v="565845.80000000016"/>
    <n v="565851.77900000033"/>
    <n v="625679.93600000022"/>
    <n v="566774.86899999995"/>
    <n v="356500.4099999998"/>
    <n v="189014.674"/>
    <n v="4316048.7539999997"/>
    <n v="75515.257999999987"/>
  </r>
  <r>
    <n v="300143.91800000012"/>
    <n v="620188.94399999978"/>
    <n v="651341.0499999997"/>
    <n v="603993.30000000016"/>
    <n v="605706.5360000002"/>
    <n v="669337.23099999991"/>
    <n v="625321.6549999998"/>
    <n v="407760.81000000023"/>
    <n v="209375.111"/>
    <n v="4693168.5549999997"/>
    <n v="84151.072000000015"/>
  </r>
  <r>
    <n v="282408.43000000005"/>
    <n v="585779.09600000025"/>
    <n v="630362.98499999975"/>
    <n v="586383.51899999985"/>
    <n v="574373.86500000022"/>
    <n v="627713.48899999994"/>
    <n v="598034.94200000004"/>
    <n v="401652.02900000004"/>
    <n v="203674.41899999994"/>
    <n v="4490382.7740000002"/>
    <n v="81929.037000000026"/>
  </r>
  <r>
    <n v="277003"/>
    <n v="578395"/>
    <n v="606355"/>
    <n v="578807"/>
    <n v="562976"/>
    <n v="609154"/>
    <n v="594396"/>
    <n v="408860"/>
    <n v="204285"/>
    <n v="4420231"/>
    <n v="81392"/>
  </r>
  <r>
    <n v="311787.08799999999"/>
    <n v="612616.33199999982"/>
    <n v="680955.34699999983"/>
    <n v="587475.32799999998"/>
    <n v="591230.99700000009"/>
    <n v="638097.74800000002"/>
    <n v="477651.12200000015"/>
    <n v="288046.58800000005"/>
    <n v="184258.13600000003"/>
    <n v="4372118.6859999998"/>
    <n v="66061.202000000005"/>
  </r>
  <r>
    <n v="308414.14900000003"/>
    <n v="614160.14"/>
    <n v="668465.34299999988"/>
    <n v="596271.53299999982"/>
    <n v="589867.83899999969"/>
    <n v="656752.11300000013"/>
    <n v="510176.82699999999"/>
    <n v="302058.58199999982"/>
    <n v="180695.00499999992"/>
    <n v="4426861.5309999995"/>
    <n v="64732.740999999995"/>
  </r>
  <r>
    <n v="314528.50700000004"/>
    <n v="617509.75699999998"/>
    <n v="672288.32199999993"/>
    <n v="612941.64599999972"/>
    <n v="578993.21299999999"/>
    <n v="657513.40300000017"/>
    <n v="527206.91200000001"/>
    <n v="309800.55700000003"/>
    <n v="181977.31500000009"/>
    <n v="4472759.6320000002"/>
    <n v="67099.348999999987"/>
  </r>
  <r>
    <n v="323423.25800000009"/>
    <n v="640213.15400000021"/>
    <n v="688322.73199999996"/>
    <n v="643724.83600000001"/>
    <n v="595996.82099999976"/>
    <n v="678075.04100000032"/>
    <n v="562831.01399999985"/>
    <n v="330837.16600000008"/>
    <n v="188348.26800000001"/>
    <n v="4651772.29"/>
    <n v="70663.903000000006"/>
  </r>
  <r>
    <n v="304855.06699999992"/>
    <n v="602321.21099999989"/>
    <n v="646775.96899999981"/>
    <n v="625325.99300000002"/>
    <n v="553248.03199999977"/>
    <n v="627969.6179999999"/>
    <n v="543455.56200000027"/>
    <n v="321902.55899999995"/>
    <n v="179778.56600000002"/>
    <n v="4405632.5769999987"/>
    <n v="67547.919000000009"/>
  </r>
  <r>
    <n v="314598.27600000007"/>
    <n v="631068.60700000008"/>
    <n v="671577.51700000011"/>
    <n v="657621.42999999982"/>
    <n v="579181.58899999992"/>
    <n v="650460.17299999984"/>
    <n v="586518.06299999973"/>
    <n v="356156.15700000012"/>
    <n v="193540.44900000005"/>
    <n v="4640722.260999999"/>
    <n v="74512.044999999984"/>
  </r>
  <r>
    <n v="306051.16199999989"/>
    <n v="611289.18400000001"/>
    <n v="645802.44899999967"/>
    <n v="645142.49399999983"/>
    <n v="556146.72"/>
    <n v="614972.71799999988"/>
    <n v="577402.14600000018"/>
    <n v="354598.95699999994"/>
    <n v="186712.745"/>
    <n v="4498118.5750000002"/>
    <n v="72344.498999999967"/>
  </r>
  <r>
    <n v="322616.96299999999"/>
    <n v="652008.51100000017"/>
    <n v="677643.07499999972"/>
    <n v="694441.07999999984"/>
    <n v="599295.41099999996"/>
    <n v="649184.45599999989"/>
    <n v="641557.14999999991"/>
    <n v="421503.93599999987"/>
    <n v="213074.03399999996"/>
    <n v="4871324.6159999995"/>
    <n v="83537.672999999995"/>
  </r>
  <r>
    <n v="295918"/>
    <n v="586095"/>
    <n v="618373"/>
    <n v="640936"/>
    <n v="543239"/>
    <n v="569889"/>
    <n v="564752"/>
    <n v="370525"/>
    <n v="183095"/>
    <n v="4372822"/>
    <n v="71512"/>
  </r>
  <r>
    <n v="70908.907999999996"/>
    <n v="154170.177"/>
    <n v="173479.87500000003"/>
    <n v="147387.47699999998"/>
    <n v="184908.92799999996"/>
    <n v="216653.70199999999"/>
    <n v="171821.56100000002"/>
    <n v="101939.62000000001"/>
    <n v="68907.930999999997"/>
    <n v="1290178.1790000002"/>
    <n v="26937.315999999992"/>
  </r>
  <r>
    <n v="69854.609000000011"/>
    <n v="156391.02499999999"/>
    <n v="171735.96099999998"/>
    <n v="144232.56400000001"/>
    <n v="182626.19399999999"/>
    <n v="218987.40700000001"/>
    <n v="180791.66800000001"/>
    <n v="106281.59299999999"/>
    <n v="69812.343999999997"/>
    <n v="1300713.3650000002"/>
    <n v="27321.834999999999"/>
  </r>
  <r>
    <n v="75157.97"/>
    <n v="166886.80699999997"/>
    <n v="181159.72999999995"/>
    <n v="155798.01399999997"/>
    <n v="188515.22200000001"/>
    <n v="232141.93000000008"/>
    <n v="198767.24100000004"/>
    <n v="117381.60599999999"/>
    <n v="73424.723999999987"/>
    <n v="1389233.2439999999"/>
    <n v="29012.755000000005"/>
  </r>
  <r>
    <n v="67997.368999999992"/>
    <n v="151752.61799999999"/>
    <n v="166605.57200000001"/>
    <n v="143640.47100000002"/>
    <n v="169248.83500000002"/>
    <n v="213957.14499999999"/>
    <n v="189178.64600000001"/>
    <n v="112263.77100000001"/>
    <n v="69188.300000000017"/>
    <n v="1283832.727"/>
    <n v="28274.793000000005"/>
  </r>
  <r>
    <n v="67206.489000000001"/>
    <n v="151387.834"/>
    <n v="166279.99900000001"/>
    <n v="146565.72199999998"/>
    <n v="166515.97600000002"/>
    <n v="214111.89799999999"/>
    <n v="197092.21400000001"/>
    <n v="120085.683"/>
    <n v="70659.911000000007"/>
    <n v="1299905.726"/>
    <n v="29655.079000000002"/>
  </r>
  <r>
    <n v="66884.795999999988"/>
    <n v="151765.29799999995"/>
    <n v="166033.07699999999"/>
    <n v="150840.17700000003"/>
    <n v="164227.603"/>
    <n v="212276.18199999997"/>
    <n v="203724.00399999996"/>
    <n v="128155.88200000001"/>
    <n v="72090.087"/>
    <n v="1315997.1059999999"/>
    <n v="30317.252999999997"/>
  </r>
  <r>
    <n v="66692.213000000003"/>
    <n v="150209.45000000001"/>
    <n v="164312.24799999999"/>
    <n v="151581.05799999999"/>
    <n v="158881.65"/>
    <n v="204441.85299999997"/>
    <n v="202884.85899999997"/>
    <n v="132451.45500000002"/>
    <n v="71818.831000000006"/>
    <n v="1303273.6170000001"/>
    <n v="30593.990999999995"/>
  </r>
  <r>
    <n v="67785.918000000005"/>
    <n v="151215.06099999999"/>
    <n v="166781.99399999998"/>
    <n v="157304.179"/>
    <n v="159473.40499999997"/>
    <n v="203665.42800000001"/>
    <n v="208578.86200000002"/>
    <n v="140637.20299999998"/>
    <n v="71882.672999999995"/>
    <n v="1327324.723"/>
    <n v="31384.695999999996"/>
  </r>
  <r>
    <n v="67690"/>
    <n v="150936"/>
    <n v="166189"/>
    <n v="158937"/>
    <n v="158271"/>
    <n v="198553"/>
    <n v="210140"/>
    <n v="148510"/>
    <n v="74485"/>
    <n v="1333711"/>
    <n v="32183"/>
  </r>
  <r>
    <n v="376457.23900000006"/>
    <n v="744541.28700000001"/>
    <n v="777087.99100000015"/>
    <n v="737196.44500000007"/>
    <n v="845033.71900000004"/>
    <n v="866535.84200000006"/>
    <n v="626576.63299999991"/>
    <n v="353991.511"/>
    <n v="224763.68699999998"/>
    <n v="5552184.3539999994"/>
    <n v="84359.324999999997"/>
  </r>
  <r>
    <n v="368057.88799999998"/>
    <n v="753275.81299999997"/>
    <n v="798622.62800000014"/>
    <n v="745943.17699999991"/>
    <n v="836776.6"/>
    <n v="886046.40099999995"/>
    <n v="659570.10400000005"/>
    <n v="365058.89799999999"/>
    <n v="225907.45400000003"/>
    <n v="5639258.9630000005"/>
    <n v="89745.956000000006"/>
  </r>
  <r>
    <n v="365922.91499999992"/>
    <n v="746480.76199999999"/>
    <n v="801518.93700000003"/>
    <n v="751948.01200000022"/>
    <n v="817329.62100000004"/>
    <n v="890940.8450000002"/>
    <n v="677911.87799999991"/>
    <n v="377455.17"/>
    <n v="227253.53900000002"/>
    <n v="5656761.6789999995"/>
    <n v="93428.729000000021"/>
  </r>
  <r>
    <n v="365907.95699999994"/>
    <n v="743555.66899999999"/>
    <n v="800618.59400000016"/>
    <n v="765833.20299999986"/>
    <n v="799053.04899999988"/>
    <n v="894068.85800000024"/>
    <n v="698046.43099999987"/>
    <n v="392613.01400000002"/>
    <n v="225661.41000000006"/>
    <n v="5685358.1850000005"/>
    <n v="98018.225000000006"/>
  </r>
  <r>
    <n v="364820.08800000005"/>
    <n v="741738.6320000001"/>
    <n v="796374.05200000003"/>
    <n v="780147.39100000006"/>
    <n v="781572.67099999997"/>
    <n v="891723.80900000001"/>
    <n v="714193.32599999988"/>
    <n v="408910.84399999998"/>
    <n v="224541.05300000004"/>
    <n v="5704021.8660000004"/>
    <n v="100625.353"/>
  </r>
  <r>
    <n v="368589.04200000013"/>
    <n v="754125.33600000013"/>
    <n v="804358.73300000012"/>
    <n v="804549.01399999985"/>
    <n v="782217.353"/>
    <n v="896821.74999999977"/>
    <n v="740652.57099999988"/>
    <n v="434183.0089999999"/>
    <n v="230766.65600000002"/>
    <n v="5816263.4639999997"/>
    <n v="104187.73899999999"/>
  </r>
  <r>
    <n v="368713.33399999997"/>
    <n v="752675.12899999996"/>
    <n v="801897.11100000015"/>
    <n v="814911.34600000002"/>
    <n v="776559.2570000001"/>
    <n v="891909.07200000016"/>
    <n v="755818.44599999988"/>
    <n v="453442.69599999994"/>
    <n v="231278.23199999996"/>
    <n v="5847204.6229999987"/>
    <n v="106211.61900000001"/>
  </r>
  <r>
    <n v="364175.89600000001"/>
    <n v="741178.08"/>
    <n v="785476.52899999998"/>
    <n v="815249.61899999995"/>
    <n v="762824.96799999988"/>
    <n v="868778.43099999998"/>
    <n v="759229.08299999998"/>
    <n v="470185.53499999997"/>
    <n v="232133.55800000002"/>
    <n v="5799231.699"/>
    <n v="106491.85500000001"/>
  </r>
  <r>
    <n v="363031"/>
    <n v="741392"/>
    <n v="772879"/>
    <n v="818802"/>
    <n v="759833"/>
    <n v="857032"/>
    <n v="771764"/>
    <n v="489182"/>
    <n v="240311"/>
    <n v="5814226"/>
    <n v="106981"/>
  </r>
  <r>
    <n v="384502.80899999995"/>
    <n v="800466.30099999998"/>
    <n v="909982.86399999983"/>
    <n v="839232.3339999998"/>
    <n v="975467.11399999971"/>
    <n v="998066.1379999998"/>
    <n v="732768.84299999999"/>
    <n v="426481.35700000008"/>
    <n v="305548.37599999999"/>
    <n v="6372516.135999999"/>
    <n v="136968.65"/>
  </r>
  <r>
    <n v="368073.38999999996"/>
    <n v="798400.54900000012"/>
    <n v="930411.99899999995"/>
    <n v="829290.41"/>
    <n v="933231.73400000005"/>
    <n v="992882.07200000016"/>
    <n v="758275.80799999996"/>
    <n v="431491.24899999995"/>
    <n v="307583.60399999999"/>
    <n v="6349640.8150000013"/>
    <n v="138045.89800000002"/>
  </r>
  <r>
    <n v="367196.82800000004"/>
    <n v="793364.946"/>
    <n v="935022.05500000017"/>
    <n v="837932.33400000015"/>
    <n v="911024.14700000011"/>
    <n v="999912.67799999996"/>
    <n v="782346.53299999994"/>
    <n v="447028.52499999997"/>
    <n v="308062.55"/>
    <n v="6381890.5960000008"/>
    <n v="141922.41499999998"/>
  </r>
  <r>
    <n v="367607.68000000005"/>
    <n v="789520.01300000004"/>
    <n v="936838.90599999996"/>
    <n v="852944.37699999998"/>
    <n v="888479.78700000001"/>
    <n v="1005597.671"/>
    <n v="805786.59999999986"/>
    <n v="464266.14399999997"/>
    <n v="302477.40399999998"/>
    <n v="6413518.5819999995"/>
    <n v="144764.25200000001"/>
  </r>
  <r>
    <n v="366327.70899999997"/>
    <n v="787715.55500000005"/>
    <n v="943961.15600000008"/>
    <n v="874626.79099999997"/>
    <n v="872081.62899999996"/>
    <n v="1007271.031"/>
    <n v="831204.61"/>
    <n v="487405.18900000001"/>
    <n v="301363.74199999991"/>
    <n v="6471957.4119999995"/>
    <n v="148702.82899999997"/>
  </r>
  <r>
    <n v="365613.15499999997"/>
    <n v="785001.75300000003"/>
    <n v="948617.47200000007"/>
    <n v="893276.89299999992"/>
    <n v="857953.72699999996"/>
    <n v="1003495.8690000001"/>
    <n v="852347.64300000004"/>
    <n v="511106.23400000005"/>
    <n v="300081.23499999993"/>
    <n v="6517493.9810000006"/>
    <n v="151196.98199999999"/>
  </r>
  <r>
    <n v="363716.66799999995"/>
    <n v="776947.30599999987"/>
    <n v="948497.68"/>
    <n v="908255.66500000004"/>
    <n v="847156.30299999996"/>
    <n v="994198.30900000012"/>
    <n v="865074.26399999997"/>
    <n v="532939.72499999998"/>
    <n v="293687.67"/>
    <n v="6530473.5899999999"/>
    <n v="153639.87100000001"/>
  </r>
  <r>
    <n v="363626.19200000004"/>
    <n v="776585.07900000003"/>
    <n v="953980.64700000011"/>
    <n v="926165.804"/>
    <n v="838652.93599999999"/>
    <n v="984369.01400000008"/>
    <n v="883741.99599999981"/>
    <n v="560636.9389999999"/>
    <n v="300953.40399999998"/>
    <n v="6588712.0109999999"/>
    <n v="155000.51"/>
  </r>
  <r>
    <n v="363679"/>
    <n v="771609"/>
    <n v="950843"/>
    <n v="947736"/>
    <n v="835419"/>
    <n v="972968"/>
    <n v="901460"/>
    <n v="588877"/>
    <n v="305080"/>
    <n v="6637671"/>
    <n v="155261"/>
  </r>
  <r>
    <n v="632465.69899999991"/>
    <n v="1354501.9560000002"/>
    <n v="1438124.5589999999"/>
    <n v="1229114.5209999997"/>
    <n v="1418516.9390000002"/>
    <n v="1531856.1580000003"/>
    <n v="1138515.7709999999"/>
    <n v="666764.11699999985"/>
    <n v="445422.81400000013"/>
    <n v="9855282.534"/>
    <n v="174172.27300000002"/>
  </r>
  <r>
    <n v="621384.82700000005"/>
    <n v="1364195.9559999995"/>
    <n v="1442501.2589999998"/>
    <n v="1200066.9569999999"/>
    <n v="1366887.9439999997"/>
    <n v="1529011.8740000003"/>
    <n v="1189088.7400000005"/>
    <n v="689786.39500000002"/>
    <n v="455675.30899999995"/>
    <n v="9858599.2609999999"/>
    <n v="180205.74100000001"/>
  </r>
  <r>
    <n v="613585.64700000011"/>
    <n v="1347431.6160000002"/>
    <n v="1434265.916"/>
    <n v="1191776.3409999998"/>
    <n v="1331187.4980000004"/>
    <n v="1528539.6390000002"/>
    <n v="1235166.145"/>
    <n v="713450.27299999993"/>
    <n v="456158.45699999988"/>
    <n v="9851561.5320000015"/>
    <n v="186450.40599999993"/>
  </r>
  <r>
    <n v="599910.55200000014"/>
    <n v="1319454.4460000002"/>
    <n v="1426900.5529999998"/>
    <n v="1186222.6420000002"/>
    <n v="1289746.9780000001"/>
    <n v="1504700.1200000006"/>
    <n v="1261431.676"/>
    <n v="734819.66399999987"/>
    <n v="450351.77500000008"/>
    <n v="9773538.4060000014"/>
    <n v="192076.19600000011"/>
  </r>
  <r>
    <n v="592084.32299999997"/>
    <n v="1311111.5900000001"/>
    <n v="1431368.5860000006"/>
    <n v="1186764.9839999999"/>
    <n v="1265565.0380000004"/>
    <n v="1493002.1159999999"/>
    <n v="1305025.889"/>
    <n v="771336.26499999966"/>
    <n v="448408.83600000001"/>
    <n v="9804667.6270000003"/>
    <n v="197211.83099999992"/>
  </r>
  <r>
    <n v="601956.16099999996"/>
    <n v="1321074.5979999998"/>
    <n v="1462378.2209999999"/>
    <n v="1225757.7560000003"/>
    <n v="1265753.4470000004"/>
    <n v="1497350.6650000005"/>
    <n v="1357621.2179999996"/>
    <n v="816396.00699999998"/>
    <n v="459371.41400000005"/>
    <n v="10007659.487000002"/>
    <n v="206073.80799999999"/>
  </r>
  <r>
    <n v="572513.86199999985"/>
    <n v="1258892.4949999999"/>
    <n v="1405404.1150000002"/>
    <n v="1182813.0049999999"/>
    <n v="1200096.3590000002"/>
    <n v="1415202.6569999997"/>
    <n v="1333383.9770000002"/>
    <n v="821139.54900000012"/>
    <n v="446294.15200000012"/>
    <n v="9635740.1710000001"/>
    <n v="200909.89499999999"/>
  </r>
  <r>
    <n v="584275.99300000002"/>
    <n v="1272806.7109999997"/>
    <n v="1429864.6650000003"/>
    <n v="1227820.1890000002"/>
    <n v="1209749.5760000004"/>
    <n v="1413351.9710000001"/>
    <n v="1368971.5559999996"/>
    <n v="872459.91600000008"/>
    <n v="453483.04499999998"/>
    <n v="9832783.6219999995"/>
    <n v="205856.769"/>
  </r>
  <r>
    <n v="572076"/>
    <n v="1235768"/>
    <n v="1385654"/>
    <n v="1214309"/>
    <n v="1173696"/>
    <n v="1353847"/>
    <n v="1355360"/>
    <n v="891473"/>
    <n v="450898"/>
    <n v="9633081"/>
    <n v="202620"/>
  </r>
  <r>
    <n v="355376.36499999987"/>
    <n v="682853.10900000005"/>
    <n v="744504.18099999998"/>
    <n v="674692.80800000019"/>
    <n v="732412.09800000011"/>
    <n v="793111.63500000001"/>
    <n v="555629.36899999995"/>
    <n v="322401.67600000015"/>
    <n v="220317.405"/>
    <n v="5081298.6460000006"/>
    <n v="98963.991999999955"/>
  </r>
  <r>
    <n v="356355.61899999989"/>
    <n v="709364.80800000019"/>
    <n v="742480.63799999992"/>
    <n v="699481.02399999986"/>
    <n v="721482.24600000004"/>
    <n v="808402.24"/>
    <n v="591692.90199999989"/>
    <n v="337083.14199999976"/>
    <n v="227163.02700000003"/>
    <n v="5193505.6459999997"/>
    <n v="99927.941999999981"/>
  </r>
  <r>
    <n v="347049.34499999986"/>
    <n v="692633.50999999978"/>
    <n v="717509.92899999989"/>
    <n v="693966.83900000004"/>
    <n v="688189.31"/>
    <n v="789209.65899999999"/>
    <n v="597251.11299999978"/>
    <n v="335296.88500000007"/>
    <n v="217665.36299999995"/>
    <n v="5078771.9529999988"/>
    <n v="98867.529999999984"/>
  </r>
  <r>
    <n v="341047.29699999996"/>
    <n v="683350.68899999955"/>
    <n v="704983.55799999996"/>
    <n v="696394.72499999986"/>
    <n v="664139.21500000032"/>
    <n v="769391.46200000029"/>
    <n v="603527.45099999977"/>
    <n v="339427.64200000011"/>
    <n v="210267.85400000002"/>
    <n v="5012529.8930000002"/>
    <n v="96863.700999999943"/>
  </r>
  <r>
    <n v="370790.61"/>
    <n v="753943.83000000007"/>
    <n v="764498.21400000004"/>
    <n v="764300.41999999993"/>
    <n v="719802.03999999969"/>
    <n v="846048.28800000006"/>
    <n v="709239.2559999997"/>
    <n v="423452.25099999999"/>
    <n v="256021.48199999993"/>
    <n v="5608096.3909999998"/>
    <n v="115688.09699999999"/>
  </r>
  <r>
    <n v="351684.38299999997"/>
    <n v="716041.5419999999"/>
    <n v="724881.31200000027"/>
    <n v="740832.29500000074"/>
    <n v="676225.7080000001"/>
    <n v="782852.24499999976"/>
    <n v="670177.74699999974"/>
    <n v="390400.53500000009"/>
    <n v="224499.34299999996"/>
    <n v="5277595.1100000013"/>
    <n v="104745.98300000002"/>
  </r>
  <r>
    <n v="351162.272"/>
    <n v="720982.77500000002"/>
    <n v="721008.71300000022"/>
    <n v="747053.98499999999"/>
    <n v="678468.00100000005"/>
    <n v="778905.10699999996"/>
    <n v="699630.71300000011"/>
    <n v="414257.79600000003"/>
    <n v="231028.60099999991"/>
    <n v="5342497.9630000005"/>
    <n v="109606.97599999998"/>
  </r>
  <r>
    <n v="349408.21800000011"/>
    <n v="721585.48000000021"/>
    <n v="714904.05"/>
    <n v="745732.64899999951"/>
    <n v="673195.2899999998"/>
    <n v="758629.84099999978"/>
    <n v="709636.79099999974"/>
    <n v="431223.72999999981"/>
    <n v="231958.28800000009"/>
    <n v="5336274.3369999994"/>
    <n v="112451.28400000001"/>
  </r>
  <r>
    <n v="339385"/>
    <n v="702142"/>
    <n v="687775"/>
    <n v="727777"/>
    <n v="659606"/>
    <n v="722635"/>
    <n v="700935"/>
    <n v="437517"/>
    <n v="227864"/>
    <n v="5205636"/>
    <n v="108553"/>
  </r>
  <r>
    <n v="219349.74400000001"/>
    <n v="425342.53299999994"/>
    <n v="455545.85800000001"/>
    <n v="389162.83099999995"/>
    <n v="392664.90899999999"/>
    <n v="413097.86300000007"/>
    <n v="318894.9659999999"/>
    <n v="199681.30100000001"/>
    <n v="127688.69000000002"/>
    <n v="2941428.6949999998"/>
    <n v="47582.691999999995"/>
  </r>
  <r>
    <n v="200468.73899999997"/>
    <n v="399212.23199999996"/>
    <n v="425775.75299999997"/>
    <n v="365293.18999999983"/>
    <n v="370778.00299999991"/>
    <n v="398368.76799999992"/>
    <n v="317045.12699999998"/>
    <n v="196534.02500000002"/>
    <n v="114209.88999999997"/>
    <n v="2787685.7269999995"/>
    <n v="41514.02399999999"/>
  </r>
  <r>
    <n v="209032.37600000002"/>
    <n v="417945.47700000007"/>
    <n v="439581.86399999994"/>
    <n v="382884.11"/>
    <n v="387000.36099999998"/>
    <n v="420773.35799999983"/>
    <n v="346064.88700000005"/>
    <n v="214910.85500000001"/>
    <n v="122847.64200000001"/>
    <n v="2941040.93"/>
    <n v="44281.085000000006"/>
  </r>
  <r>
    <n v="209073.97199999983"/>
    <n v="418486.05200000003"/>
    <n v="440157.78500000009"/>
    <n v="385335.04900000006"/>
    <n v="379232.7950000001"/>
    <n v="418050.90099999984"/>
    <n v="354997.50200000004"/>
    <n v="221139.69699999981"/>
    <n v="123269.31499999994"/>
    <n v="2949743.0679999995"/>
    <n v="45571.674999999988"/>
  </r>
  <r>
    <n v="210790.39999999999"/>
    <n v="426022.76199999976"/>
    <n v="444607.38900000014"/>
    <n v="395529.87399999995"/>
    <n v="382023.15499999997"/>
    <n v="417874.68299999996"/>
    <n v="367097.98399999982"/>
    <n v="232284.32399999994"/>
    <n v="127789.63500000001"/>
    <n v="3004020.2059999993"/>
    <n v="48332.784"/>
  </r>
  <r>
    <n v="200907.73800000007"/>
    <n v="418776.57000000012"/>
    <n v="428191.39799999987"/>
    <n v="389924.33900000009"/>
    <n v="377958.24100000004"/>
    <n v="413092.03199999995"/>
    <n v="375578.74699999997"/>
    <n v="241427.43200000006"/>
    <n v="132553.93400000004"/>
    <n v="2978410.4310000003"/>
    <n v="49481.268000000011"/>
  </r>
  <r>
    <n v="193171.98900000006"/>
    <n v="406368.29299999995"/>
    <n v="423658.79300000018"/>
    <n v="381518.62900000007"/>
    <n v="366536.23"/>
    <n v="391082.69199999992"/>
    <n v="363154.08499999996"/>
    <n v="238063.43100000004"/>
    <n v="124108.67700000001"/>
    <n v="2887662.8190000001"/>
    <n v="46470.573999999993"/>
  </r>
  <r>
    <n v="194407.17699999991"/>
    <n v="418485.33800000005"/>
    <n v="435389.42199999996"/>
    <n v="393907.49699999992"/>
    <n v="377374.99"/>
    <n v="400183.25999999989"/>
    <n v="383252.85999999981"/>
    <n v="256740.465"/>
    <n v="131125.56999999998"/>
    <n v="2990866.5789999994"/>
    <n v="51020.494999999981"/>
  </r>
  <r>
    <n v="167025"/>
    <n v="362158"/>
    <n v="375183"/>
    <n v="343218"/>
    <n v="330638"/>
    <n v="349128"/>
    <n v="346668"/>
    <n v="238831"/>
    <n v="121400"/>
    <n v="2634249"/>
    <n v="45104"/>
  </r>
  <r>
    <n v="387831.1779999999"/>
    <n v="765931.51899999997"/>
    <n v="823917.65599999996"/>
    <n v="743732.13800000004"/>
    <n v="785589.5950000002"/>
    <n v="855733.82600000047"/>
    <n v="643494.84899999993"/>
    <n v="399549.63699999987"/>
    <n v="269276.93200000015"/>
    <n v="5675057.3300000001"/>
    <n v="108359.32899999998"/>
  </r>
  <r>
    <n v="383073.32999999996"/>
    <n v="779332.81099999999"/>
    <n v="834426.31500000018"/>
    <n v="747361.97999999986"/>
    <n v="773101.66400000022"/>
    <n v="871703.2300000001"/>
    <n v="676562.73299999989"/>
    <n v="425435.41999999987"/>
    <n v="271516.38299999991"/>
    <n v="5762513.8660000004"/>
    <n v="110521.743"/>
  </r>
  <r>
    <n v="382036.5959999999"/>
    <n v="774861.33199999994"/>
    <n v="830373.95599999977"/>
    <n v="760079.88400000019"/>
    <n v="756612.52299999993"/>
    <n v="871226.80800000008"/>
    <n v="698274.00099999981"/>
    <n v="431679.55900000007"/>
    <n v="269178.20000000013"/>
    <n v="5774322.8590000002"/>
    <n v="110950.84600000003"/>
  </r>
  <r>
    <n v="386226.3079999999"/>
    <n v="787302.22999999963"/>
    <n v="832268.21099999978"/>
    <n v="774684.652"/>
    <n v="750444.79899999988"/>
    <n v="875618.71999999974"/>
    <n v="726089.48899999994"/>
    <n v="453953.90599999984"/>
    <n v="272169.86"/>
    <n v="5858758.1749999989"/>
    <n v="115386.40999999999"/>
  </r>
  <r>
    <n v="366852.93899999984"/>
    <n v="757854.42200000025"/>
    <n v="806260.0079999998"/>
    <n v="764542.24400000006"/>
    <n v="718110.08699999994"/>
    <n v="837058.55900000001"/>
    <n v="715109.80899999978"/>
    <n v="446154.56099999987"/>
    <n v="262112.67100000006"/>
    <n v="5674055.2999999989"/>
    <n v="111869.84799999994"/>
  </r>
  <r>
    <n v="396839.42200000008"/>
    <n v="822185.53000000026"/>
    <n v="877063.47700000007"/>
    <n v="823593.40200000023"/>
    <n v="769211.45600000035"/>
    <n v="893790.88699999976"/>
    <n v="804262.40999999968"/>
    <n v="508945.58899999986"/>
    <n v="289574.777"/>
    <n v="6185466.9500000002"/>
    <n v="125309.30799999999"/>
  </r>
  <r>
    <n v="370383.11199999996"/>
    <n v="769081.91300000006"/>
    <n v="816506.68799999985"/>
    <n v="789334.78999999969"/>
    <n v="727395.13299999991"/>
    <n v="827987.18000000028"/>
    <n v="768787.34000000032"/>
    <n v="492676.61900000012"/>
    <n v="274952.71599999996"/>
    <n v="5837105.4909999995"/>
    <n v="118669.29800000004"/>
  </r>
  <r>
    <n v="381151.55500000011"/>
    <n v="796909.43499999994"/>
    <n v="849619.25300000049"/>
    <n v="816824.25199999975"/>
    <n v="748626.84799999977"/>
    <n v="836979.71399999992"/>
    <n v="809677.56299999973"/>
    <n v="534885.70900000003"/>
    <n v="288146.34699999995"/>
    <n v="6062820.676"/>
    <n v="122908.57199999999"/>
  </r>
  <r>
    <n v="364764"/>
    <n v="756130"/>
    <n v="805328"/>
    <n v="792812"/>
    <n v="713426"/>
    <n v="780347"/>
    <n v="775162"/>
    <n v="519174"/>
    <n v="273580"/>
    <n v="5780723"/>
    <n v="116853"/>
  </r>
  <r>
    <n v="58516.93900000002"/>
    <n v="116779.96800000005"/>
    <n v="143007.90600000002"/>
    <n v="111003.91000000003"/>
    <n v="115050.35600000003"/>
    <n v="146497.17299999998"/>
    <n v="116649.73400000001"/>
    <n v="68054.577000000019"/>
    <n v="45973.603000000003"/>
    <n v="921534.1660000002"/>
    <n v="17810.500999999997"/>
  </r>
  <r>
    <n v="57620.566999999995"/>
    <n v="117520.73600000002"/>
    <n v="133208.17300000004"/>
    <n v="111918.81100000002"/>
    <n v="113007.58199999997"/>
    <n v="146682.57399999999"/>
    <n v="124051.33700000006"/>
    <n v="71833.939999999988"/>
    <n v="45056.373000000007"/>
    <n v="920900.09299999999"/>
    <n v="17196.359000000004"/>
  </r>
  <r>
    <n v="61237.816999999995"/>
    <n v="124349.43099999998"/>
    <n v="137954.67799999999"/>
    <n v="122841.62899999999"/>
    <n v="117625.018"/>
    <n v="150899.33100000001"/>
    <n v="134596.59500000003"/>
    <n v="78913.376999999993"/>
    <n v="47575.159000000007"/>
    <n v="975993.03500000003"/>
    <n v="19461.026999999998"/>
  </r>
  <r>
    <n v="58749.192999999977"/>
    <n v="119702.79300000002"/>
    <n v="132047.36499999999"/>
    <n v="119134.93100000006"/>
    <n v="112008.90999999999"/>
    <n v="144575.198"/>
    <n v="136812.84200000003"/>
    <n v="80537.611999999994"/>
    <n v="46816.699000000001"/>
    <n v="950385.54300000006"/>
    <n v="19603.517999999996"/>
  </r>
  <r>
    <n v="58206.162999999993"/>
    <n v="119133.329"/>
    <n v="131102.63099999999"/>
    <n v="120919.78800000002"/>
    <n v="110080.14600000001"/>
    <n v="138613.44800000003"/>
    <n v="137737.13799999998"/>
    <n v="81925.35100000001"/>
    <n v="46013.217999999986"/>
    <n v="943731.21200000017"/>
    <n v="19647.348999999998"/>
  </r>
  <r>
    <n v="56386.606999999996"/>
    <n v="114221.845"/>
    <n v="126299.29699999996"/>
    <n v="117366.951"/>
    <n v="104472.91899999998"/>
    <n v="126347.967"/>
    <n v="131776.99"/>
    <n v="80406.40399999998"/>
    <n v="43139.957999999999"/>
    <n v="900418.93799999985"/>
    <n v="18422.037"/>
  </r>
  <r>
    <n v="63694.790000000037"/>
    <n v="131752.16899999999"/>
    <n v="143832.50000000003"/>
    <n v="134179.96100000004"/>
    <n v="120896.79300000002"/>
    <n v="142572.43899999995"/>
    <n v="154987.47799999997"/>
    <n v="99994.296000000017"/>
    <n v="52447.585000000006"/>
    <n v="1044358.0109999999"/>
    <n v="22696.687000000005"/>
  </r>
  <r>
    <n v="62210.553000000007"/>
    <n v="128598.48000000001"/>
    <n v="137165.63000000006"/>
    <n v="130693.43199999997"/>
    <n v="117865.26700000001"/>
    <n v="132921.76500000001"/>
    <n v="149490.027"/>
    <n v="99167.483999999982"/>
    <n v="50592.657000000007"/>
    <n v="1008705.295"/>
    <n v="21439.637999999999"/>
  </r>
  <r>
    <n v="56272"/>
    <n v="115752"/>
    <n v="127478"/>
    <n v="119587"/>
    <n v="107395"/>
    <n v="114763"/>
    <n v="129638"/>
    <n v="89819"/>
    <n v="45137"/>
    <n v="905841"/>
    <n v="18875"/>
  </r>
  <r>
    <n v="128807.69600000001"/>
    <n v="234966.69200000007"/>
    <n v="267905.40299999993"/>
    <n v="220683.32500000007"/>
    <n v="225037.19099999996"/>
    <n v="249710.81600000005"/>
    <n v="184180.802"/>
    <n v="112647.25299999998"/>
    <n v="83372.232999999978"/>
    <n v="1707311.4110000001"/>
    <n v="36213.652999999984"/>
  </r>
  <r>
    <n v="128861.07100000001"/>
    <n v="244926.78199999992"/>
    <n v="259376.90700000006"/>
    <n v="234111.01999999993"/>
    <n v="225902.64499999999"/>
    <n v="257586.22200000004"/>
    <n v="198797.91999999998"/>
    <n v="118200.94400000005"/>
    <n v="84765.873999999967"/>
    <n v="1752529.385"/>
    <n v="37082.849000000002"/>
  </r>
  <r>
    <n v="130091.44800000006"/>
    <n v="247906.44799999992"/>
    <n v="260632.15500000006"/>
    <n v="239865.26300000004"/>
    <n v="226434.36100000003"/>
    <n v="259912.31800000003"/>
    <n v="209475.11799999999"/>
    <n v="122299.64100000003"/>
    <n v="85172.567000000039"/>
    <n v="1781789.3190000001"/>
    <n v="37748.618000000009"/>
  </r>
  <r>
    <n v="126707.24600000001"/>
    <n v="243158.37600000002"/>
    <n v="254136.67200000002"/>
    <n v="240413.64700000006"/>
    <n v="218365.30499999993"/>
    <n v="248317.57599999997"/>
    <n v="208016.98099999988"/>
    <n v="121086.64599999998"/>
    <n v="81159.295000000013"/>
    <n v="1741361.7439999997"/>
    <n v="36155.097000000009"/>
  </r>
  <r>
    <n v="128246.51299999998"/>
    <n v="250574.36100000006"/>
    <n v="256240.74400000004"/>
    <n v="245495.12399999995"/>
    <n v="219685.79300000001"/>
    <n v="248598.20099999997"/>
    <n v="216533.492"/>
    <n v="126549.02900000001"/>
    <n v="80981.023000000045"/>
    <n v="1772904.2800000003"/>
    <n v="37526.907000000014"/>
  </r>
  <r>
    <n v="129020.321"/>
    <n v="255818.63699999993"/>
    <n v="256737.56899999987"/>
    <n v="248802.95100000003"/>
    <n v="223413.01299999992"/>
    <n v="251811.48500000004"/>
    <n v="230238.56400000001"/>
    <n v="137035.69400000002"/>
    <n v="85142.43"/>
    <n v="1818020.6639999996"/>
    <n v="39179.158999999992"/>
  </r>
  <r>
    <n v="130860.575"/>
    <n v="263745.02100000007"/>
    <n v="272831.72000000015"/>
    <n v="257873.02899999992"/>
    <n v="234152.83699999997"/>
    <n v="252784.46199999985"/>
    <n v="239952.31699999995"/>
    <n v="150767.94899999999"/>
    <n v="86104.306000000041"/>
    <n v="1889072.2160000002"/>
    <n v="40126.359000000011"/>
  </r>
  <r>
    <n v="133596.51399999994"/>
    <n v="268824.45699999994"/>
    <n v="270472.59699999983"/>
    <n v="259860.84999999998"/>
    <n v="233904.5339999999"/>
    <n v="246746.46200000003"/>
    <n v="242822.50799999997"/>
    <n v="154255.802"/>
    <n v="87683.14899999999"/>
    <n v="1898166.8729999994"/>
    <n v="41501.364999999991"/>
  </r>
  <r>
    <n v="127388"/>
    <n v="256136"/>
    <n v="257819"/>
    <n v="248172"/>
    <n v="223639"/>
    <n v="226855"/>
    <n v="229877"/>
    <n v="149138"/>
    <n v="80321"/>
    <n v="1799345"/>
    <n v="37761"/>
  </r>
  <r>
    <n v="195159.26299999998"/>
    <n v="355676.5610000001"/>
    <n v="327975.00299999997"/>
    <n v="376724.60199999996"/>
    <n v="370811.63000000006"/>
    <n v="346273.29500000004"/>
    <n v="278050.35899999994"/>
    <n v="164275.18400000001"/>
    <n v="94969.47199999998"/>
    <n v="2509915.3690000004"/>
    <n v="28295.126999999993"/>
  </r>
  <r>
    <n v="188938.50899999993"/>
    <n v="358346.5199999999"/>
    <n v="352832.17200000002"/>
    <n v="380831.01599999995"/>
    <n v="385294.76699999982"/>
    <n v="365177.89699999988"/>
    <n v="299854.80399999995"/>
    <n v="181075.54400000002"/>
    <n v="92019.991999999998"/>
    <n v="2604371.2209999994"/>
    <n v="28664.335999999996"/>
  </r>
  <r>
    <n v="189268.04699999999"/>
    <n v="362588.69300000003"/>
    <n v="357540.35800000001"/>
    <n v="385689.29200000007"/>
    <n v="386021.32699999999"/>
    <n v="369467.07900000014"/>
    <n v="307405.85700000002"/>
    <n v="191346.67499999999"/>
    <n v="94112.501999999993"/>
    <n v="2643439.83"/>
    <n v="29642.749999999996"/>
  </r>
  <r>
    <n v="184873.56100000005"/>
    <n v="361516.19199999992"/>
    <n v="363554.41999999993"/>
    <n v="384475.72900000005"/>
    <n v="381112.74900000001"/>
    <n v="370639.60199999996"/>
    <n v="313984.50000000006"/>
    <n v="198861.97"/>
    <n v="96376.457000000009"/>
    <n v="2655395.1800000002"/>
    <n v="32581.690999999999"/>
  </r>
  <r>
    <n v="182623.70799999996"/>
    <n v="366958.66699999996"/>
    <n v="360805.538"/>
    <n v="390637.24100000004"/>
    <n v="381684.18300000002"/>
    <n v="375757.26500000001"/>
    <n v="322567.43699999992"/>
    <n v="211643.97500000001"/>
    <n v="99278.626999999964"/>
    <n v="2691956.6409999998"/>
    <n v="33530.402999999998"/>
  </r>
  <r>
    <n v="180470.13899999997"/>
    <n v="370742.07700000005"/>
    <n v="363722.77500000002"/>
    <n v="395077.07100000005"/>
    <n v="381152.913"/>
    <n v="379241.96200000006"/>
    <n v="332337.93999999994"/>
    <n v="225144.01800000001"/>
    <n v="102998.06"/>
    <n v="2730886.9550000005"/>
    <n v="36500.082000000002"/>
  </r>
  <r>
    <n v="187093.74999999994"/>
    <n v="387047.14999999997"/>
    <n v="375336.86600000004"/>
    <n v="411755.55800000002"/>
    <n v="394541.11299999995"/>
    <n v="393081.49400000001"/>
    <n v="348747.56200000003"/>
    <n v="241844.30899999998"/>
    <n v="111420.5"/>
    <n v="2850868.3019999997"/>
    <n v="37972.133000000002"/>
  </r>
  <r>
    <n v="185252.14199999996"/>
    <n v="385965.69699999993"/>
    <n v="375452.94000000006"/>
    <n v="418954.84399999992"/>
    <n v="395164.5799999999"/>
    <n v="397617.23400000011"/>
    <n v="358294.01400000002"/>
    <n v="262381.64899999998"/>
    <n v="120551.361"/>
    <n v="2899634.4609999997"/>
    <n v="39351.644999999997"/>
  </r>
  <r>
    <n v="179734"/>
    <n v="373939"/>
    <n v="359722"/>
    <n v="414543"/>
    <n v="385303"/>
    <n v="385152"/>
    <n v="351068"/>
    <n v="263281"/>
    <n v="119059"/>
    <n v="2831801"/>
    <n v="39350"/>
  </r>
  <r>
    <n v="75863.43299999999"/>
    <n v="165634.94400000002"/>
    <n v="184752.06599999999"/>
    <n v="148506.95500000002"/>
    <n v="197501.076"/>
    <n v="217261.481"/>
    <n v="157433.073"/>
    <n v="87886.143999999986"/>
    <n v="57525.013999999996"/>
    <n v="1292364.1860000002"/>
    <n v="23766.960000000003"/>
  </r>
  <r>
    <n v="72299.672999999995"/>
    <n v="166228.61099999998"/>
    <n v="179679.99300000002"/>
    <n v="144228.57900000003"/>
    <n v="192146.20799999998"/>
    <n v="221676.63199999998"/>
    <n v="166817.65400000004"/>
    <n v="90483.390000000029"/>
    <n v="56783.514000000003"/>
    <n v="1290344.2540000002"/>
    <n v="23051.814000000002"/>
  </r>
  <r>
    <n v="73138.479999999981"/>
    <n v="167793.647"/>
    <n v="183086.321"/>
    <n v="147094.807"/>
    <n v="188179.95399999997"/>
    <n v="224788.50899999999"/>
    <n v="173300.06800000003"/>
    <n v="94939.10100000001"/>
    <n v="57630.631999999998"/>
    <n v="1309951.5190000001"/>
    <n v="23463.38"/>
  </r>
  <r>
    <n v="69384.82699999999"/>
    <n v="161671.59400000001"/>
    <n v="178786.35499999998"/>
    <n v="145685.83500000002"/>
    <n v="179323.076"/>
    <n v="223223.81800000003"/>
    <n v="179230.81899999999"/>
    <n v="99044.56299999998"/>
    <n v="57766.875000000007"/>
    <n v="1294117.7620000001"/>
    <n v="24345.947"/>
  </r>
  <r>
    <n v="68047.467999999993"/>
    <n v="159088.83499999999"/>
    <n v="178920.85900000003"/>
    <n v="147078.234"/>
    <n v="172304.95500000002"/>
    <n v="221963.51199999996"/>
    <n v="184648.23199999996"/>
    <n v="104007.094"/>
    <n v="57908.991000000002"/>
    <n v="1293968.18"/>
    <n v="24943.477000000003"/>
  </r>
  <r>
    <n v="64619.513000000006"/>
    <n v="151333.09699999998"/>
    <n v="174621.723"/>
    <n v="144657.85"/>
    <n v="162287.33700000003"/>
    <n v="211505.092"/>
    <n v="182791.454"/>
    <n v="105526.042"/>
    <n v="56334.345999999998"/>
    <n v="1253676.4539999997"/>
    <n v="24367.115000000002"/>
  </r>
  <r>
    <n v="62585.561000000009"/>
    <n v="146657.34100000001"/>
    <n v="171239.77600000001"/>
    <n v="144131.30300000001"/>
    <n v="154145.52100000001"/>
    <n v="201829.31700000001"/>
    <n v="180085.924"/>
    <n v="105753.231"/>
    <n v="54450.631000000001"/>
    <n v="1220878.6050000002"/>
    <n v="23990.132000000001"/>
  </r>
  <r>
    <n v="64868.707000000002"/>
    <n v="151531.22199999998"/>
    <n v="178849.23400000003"/>
    <n v="154721.16699999999"/>
    <n v="158882.97700000001"/>
    <n v="209898.07700000002"/>
    <n v="197882.35100000002"/>
    <n v="123489.546"/>
    <n v="59862.113000000005"/>
    <n v="1299985.3940000001"/>
    <n v="27162.325000000001"/>
  </r>
  <r>
    <n v="67363"/>
    <n v="155987"/>
    <n v="184658"/>
    <n v="162018"/>
    <n v="161691"/>
    <n v="210968"/>
    <n v="207397"/>
    <n v="133240"/>
    <n v="62943"/>
    <n v="1346265"/>
    <n v="29117"/>
  </r>
  <r>
    <n v="561478.07100000011"/>
    <n v="1146089.3670000001"/>
    <n v="1100047.173"/>
    <n v="1103869.0340000002"/>
    <n v="1315711.2049999998"/>
    <n v="1329099.5839999998"/>
    <n v="953247.45"/>
    <n v="577340.72400000016"/>
    <n v="402428.85099999997"/>
    <n v="8489311.4590000007"/>
    <n v="161651.43399999998"/>
  </r>
  <r>
    <n v="547056.55200000003"/>
    <n v="1156223.9809999999"/>
    <n v="1127535.173"/>
    <n v="1096904.2930000001"/>
    <n v="1294285.4619999998"/>
    <n v="1350560.2340000004"/>
    <n v="993147.88700000034"/>
    <n v="586230.98399999994"/>
    <n v="402941.603"/>
    <n v="8554886.1689999998"/>
    <n v="166413.69899999999"/>
  </r>
  <r>
    <n v="543388.18300000008"/>
    <n v="1150384.0800000003"/>
    <n v="1131399.8459999999"/>
    <n v="1103400.0019999999"/>
    <n v="1265709.344"/>
    <n v="1361404.7469999997"/>
    <n v="1021105.956"/>
    <n v="600153.15600000008"/>
    <n v="400734.31099999999"/>
    <n v="8577679.625"/>
    <n v="172153.21099999998"/>
  </r>
  <r>
    <n v="538329.97499999998"/>
    <n v="1149042.6030000001"/>
    <n v="1137600.6180000002"/>
    <n v="1113213.6040000003"/>
    <n v="1242357.8949999998"/>
    <n v="1366570.034"/>
    <n v="1050462.6259999999"/>
    <n v="622646.61100000003"/>
    <n v="397869.21799999994"/>
    <n v="8618093.1840000004"/>
    <n v="177893.38400000002"/>
  </r>
  <r>
    <n v="538319.11199999996"/>
    <n v="1142388.9810000001"/>
    <n v="1143321.8849999998"/>
    <n v="1122071.4100000001"/>
    <n v="1216612.6679999998"/>
    <n v="1369036.4140000001"/>
    <n v="1078717.834"/>
    <n v="643651.13800000015"/>
    <n v="393734.27300000016"/>
    <n v="8647853.7149999999"/>
    <n v="184432.49400000004"/>
  </r>
  <r>
    <n v="536678.34100000001"/>
    <n v="1139360.4140000003"/>
    <n v="1148660.9940000002"/>
    <n v="1132698.93"/>
    <n v="1201296.1939999999"/>
    <n v="1364410.5430000001"/>
    <n v="1107086.1979999996"/>
    <n v="669593.62399999995"/>
    <n v="389664.587"/>
    <n v="8689449.8250000011"/>
    <n v="188698.62600000005"/>
  </r>
  <r>
    <n v="532953.62"/>
    <n v="1130431.9390000002"/>
    <n v="1147502.5780000002"/>
    <n v="1140738.6950000003"/>
    <n v="1188731.6530000002"/>
    <n v="1352773.8669999996"/>
    <n v="1131040.22"/>
    <n v="699335.39600000007"/>
    <n v="388815.15600000002"/>
    <n v="8712323.1239999998"/>
    <n v="191618.64100000003"/>
  </r>
  <r>
    <n v="524747.13300000003"/>
    <n v="1116586.865"/>
    <n v="1142048.6300000001"/>
    <n v="1140935.7439999999"/>
    <n v="1161364.8970000003"/>
    <n v="1322254.4309999996"/>
    <n v="1142373.9539999999"/>
    <n v="720345.48700000008"/>
    <n v="387963.21000000008"/>
    <n v="8658620.3510000017"/>
    <n v="193387.77899999995"/>
  </r>
  <r>
    <n v="540954"/>
    <n v="1144564"/>
    <n v="1174553"/>
    <n v="1176857"/>
    <n v="1184412"/>
    <n v="1334784"/>
    <n v="1190989"/>
    <n v="763913"/>
    <n v="404170"/>
    <n v="8915196"/>
    <n v="200709"/>
  </r>
  <r>
    <n v="145687.71499999994"/>
    <n v="271598.29399999999"/>
    <n v="289012.26299999998"/>
    <n v="263018.15699999995"/>
    <n v="254305.32799999998"/>
    <n v="275628.86100000009"/>
    <n v="218002.09599999999"/>
    <n v="132610.07300000003"/>
    <n v="84982.487000000023"/>
    <n v="1934845.2739999997"/>
    <n v="31077.452000000001"/>
  </r>
  <r>
    <n v="150001.49099999998"/>
    <n v="292463.37"/>
    <n v="310063.80499999999"/>
    <n v="269445.39500000002"/>
    <n v="267406.30500000005"/>
    <n v="301118.09699999995"/>
    <n v="248443.29799999995"/>
    <n v="149410.55100000006"/>
    <n v="86890.615999999995"/>
    <n v="2075242.9279999998"/>
    <n v="31526.686000000002"/>
  </r>
  <r>
    <n v="145428.52100000001"/>
    <n v="284002.15899999999"/>
    <n v="296388.12800000003"/>
    <n v="262657.18099999998"/>
    <n v="252639.36500000005"/>
    <n v="291065.71100000001"/>
    <n v="250285.33"/>
    <n v="150233.12599999999"/>
    <n v="84756.046999999991"/>
    <n v="2017455.568"/>
    <n v="31528.97"/>
  </r>
  <r>
    <n v="141338.978"/>
    <n v="279260.89700000006"/>
    <n v="288433.09999999998"/>
    <n v="264130.989"/>
    <n v="245823.14399999997"/>
    <n v="281549.95399999997"/>
    <n v="250341.323"/>
    <n v="150571.73999999996"/>
    <n v="83802.454999999987"/>
    <n v="1985252.58"/>
    <n v="32115.852999999992"/>
  </r>
  <r>
    <n v="141825.41899999999"/>
    <n v="285036.39299999998"/>
    <n v="293234.66500000004"/>
    <n v="271578.71100000007"/>
    <n v="249241.18899999995"/>
    <n v="282766.58199999994"/>
    <n v="260762.19800000006"/>
    <n v="161558.23200000005"/>
    <n v="88173.687999999995"/>
    <n v="2034177.0770000003"/>
    <n v="33530.392999999996"/>
  </r>
  <r>
    <n v="135156.05300000001"/>
    <n v="277341.34200000006"/>
    <n v="285033.98399999994"/>
    <n v="264852.35099999997"/>
    <n v="239268.01699999999"/>
    <n v="268354.17899999989"/>
    <n v="256777.95099999994"/>
    <n v="163638.78600000002"/>
    <n v="87909.217000000004"/>
    <n v="1978331.88"/>
    <n v="32156.393999999997"/>
  </r>
  <r>
    <n v="128869.73799999998"/>
    <n v="266470.16500000004"/>
    <n v="272675.62900000002"/>
    <n v="260844.261"/>
    <n v="229266.54499999995"/>
    <n v="252581.16699999996"/>
    <n v="248354.46399999998"/>
    <n v="163729.35499999998"/>
    <n v="85568.476999999984"/>
    <n v="1908359.8009999997"/>
    <n v="31964.423000000006"/>
  </r>
  <r>
    <n v="131566.00099999996"/>
    <n v="280874.83199999988"/>
    <n v="287261.99300000002"/>
    <n v="274733.90899999999"/>
    <n v="245429.82700000002"/>
    <n v="263946.48200000002"/>
    <n v="268325.53499999992"/>
    <n v="183832.69499999998"/>
    <n v="92547.8"/>
    <n v="2028519.074"/>
    <n v="34864.471999999994"/>
  </r>
  <r>
    <n v="131975"/>
    <n v="282371"/>
    <n v="286425"/>
    <n v="278333"/>
    <n v="243737"/>
    <n v="256900"/>
    <n v="267011"/>
    <n v="188108"/>
    <n v="94595"/>
    <n v="2029455"/>
    <n v="36113"/>
  </r>
  <r>
    <n v="1218885.2499999998"/>
    <n v="2458883.1009999993"/>
    <n v="2697088.4880000013"/>
    <n v="2607132.2549999999"/>
    <n v="2835916.2369999993"/>
    <n v="2882213.9930000002"/>
    <n v="2162934.6440000003"/>
    <n v="1304993.3239999998"/>
    <n v="891487.5429999996"/>
    <n v="19059534.835000001"/>
    <n v="365830.23300000001"/>
  </r>
  <r>
    <n v="1160340.3079999997"/>
    <n v="2408401.919999999"/>
    <n v="2752967.0009999992"/>
    <n v="2606551.7590000001"/>
    <n v="2726523.8130000001"/>
    <n v="2837319.5559999989"/>
    <n v="2192211.06"/>
    <n v="1306542.328"/>
    <n v="883289.32199999993"/>
    <n v="18874147.066999998"/>
    <n v="366708.0610000001"/>
  </r>
  <r>
    <n v="1161309.5910000002"/>
    <n v="2391236.1820000005"/>
    <n v="2759587.9280000003"/>
    <n v="2637720.3079999997"/>
    <n v="2676821.9560000012"/>
    <n v="2856004.6560000004"/>
    <n v="2264508.1720000007"/>
    <n v="1343995.726"/>
    <n v="880994.24300000002"/>
    <n v="18972178.762000006"/>
    <n v="378953.23299999995"/>
  </r>
  <r>
    <n v="1155553.4049999998"/>
    <n v="2360066.9589999998"/>
    <n v="2757531.2750000004"/>
    <n v="2665410.2249999996"/>
    <n v="2609422.5750000002"/>
    <n v="2838288.5530000008"/>
    <n v="2294543.4690000005"/>
    <n v="1370042.405"/>
    <n v="864131.21099999966"/>
    <n v="18914990.077"/>
    <n v="388289.71400000027"/>
  </r>
  <r>
    <n v="1167972.2340000002"/>
    <n v="2357883.3689999995"/>
    <n v="2755115.7750000008"/>
    <n v="2717090.8940000003"/>
    <n v="2574909.200999999"/>
    <n v="2852770.4209999992"/>
    <n v="2368686.298"/>
    <n v="1428236.8420000004"/>
    <n v="870200.72499999998"/>
    <n v="19092865.759"/>
    <n v="401523.64200000011"/>
  </r>
  <r>
    <n v="1172846.3819999998"/>
    <n v="2351554.7519999999"/>
    <n v="2750810.3690000004"/>
    <n v="2766621.206999999"/>
    <n v="2559998.5490000015"/>
    <n v="2847688.9220000007"/>
    <n v="2422883.5099999998"/>
    <n v="1485206.8329999999"/>
    <n v="865509.38400000008"/>
    <n v="19223119.908"/>
    <n v="413032.59399999992"/>
  </r>
  <r>
    <n v="1174371.4610000001"/>
    <n v="2322048.2440000004"/>
    <n v="2720067.3799999994"/>
    <n v="2796624.49"/>
    <n v="2525875.1329999994"/>
    <n v="2808279.6739999992"/>
    <n v="2452635.3820000007"/>
    <n v="1530208.2769999998"/>
    <n v="856842.897"/>
    <n v="19186952.937999997"/>
    <n v="415314.22299999982"/>
  </r>
  <r>
    <n v="1176474.4199999997"/>
    <n v="2330615.0690000011"/>
    <n v="2708684.2859999994"/>
    <n v="2842284.2909999997"/>
    <n v="2514912.003"/>
    <n v="2790798.9110000003"/>
    <n v="2509298.3849999993"/>
    <n v="1607112.1069999994"/>
    <n v="873029.51699999999"/>
    <n v="19353208.989"/>
    <n v="427625.87399999995"/>
  </r>
  <r>
    <n v="1185788"/>
    <n v="2318593"/>
    <n v="2683001"/>
    <n v="2901294"/>
    <n v="2500734"/>
    <n v="2754470"/>
    <n v="2544427"/>
    <n v="1677241"/>
    <n v="896084"/>
    <n v="19461632"/>
    <n v="438169"/>
  </r>
  <r>
    <n v="630215.50199999998"/>
    <n v="1194596.523"/>
    <n v="1260248.3470000005"/>
    <n v="1200879.5649999999"/>
    <n v="1313498.8049999997"/>
    <n v="1276094.4870000002"/>
    <n v="997941.21900000039"/>
    <n v="601078.45099999977"/>
    <n v="378789.49199999991"/>
    <n v="8853342.3910000008"/>
    <n v="132131.14600000007"/>
  </r>
  <r>
    <n v="621026.22999999986"/>
    <n v="1234636.1080000005"/>
    <n v="1290162.987"/>
    <n v="1218514.0670000007"/>
    <n v="1336445.3519999995"/>
    <n v="1327565.7380000004"/>
    <n v="1066105.034"/>
    <n v="649584.50000000012"/>
    <n v="381368.7919999999"/>
    <n v="9125408.8080000002"/>
    <n v="134982.21700000006"/>
  </r>
  <r>
    <n v="621963.02699999989"/>
    <n v="1242709.3729999999"/>
    <n v="1299089.6369999994"/>
    <n v="1222384.9650000005"/>
    <n v="1323299.9129999999"/>
    <n v="1334057.007"/>
    <n v="1094142.098"/>
    <n v="664476.78199999989"/>
    <n v="383288.87899999996"/>
    <n v="9185411.6810000017"/>
    <n v="138313.62000000002"/>
  </r>
  <r>
    <n v="624338.95599999977"/>
    <n v="1258644.4219999998"/>
    <n v="1320695.3369999998"/>
    <n v="1241325.1839999999"/>
    <n v="1321060.3829999994"/>
    <n v="1348089.2229999998"/>
    <n v="1128944.9700000002"/>
    <n v="697279.45000000007"/>
    <n v="388991.82699999999"/>
    <n v="9329369.7519999985"/>
    <n v="142797.63200000004"/>
  </r>
  <r>
    <n v="638918.07999999984"/>
    <n v="1315040.1199999999"/>
    <n v="1370776.1169999999"/>
    <n v="1282069.4330000002"/>
    <n v="1350789.5750000002"/>
    <n v="1398553.1780000003"/>
    <n v="1196781.4820000001"/>
    <n v="758092.27499999991"/>
    <n v="408647.06400000001"/>
    <n v="9719667.324000001"/>
    <n v="154484.06900000002"/>
  </r>
  <r>
    <n v="642453.79600000009"/>
    <n v="1337812.537999999"/>
    <n v="1413455.9739999999"/>
    <n v="1313194.1970000002"/>
    <n v="1358071.8729999999"/>
    <n v="1418902.9949999994"/>
    <n v="1248545.5239999993"/>
    <n v="813232.29999999981"/>
    <n v="426393.27099999995"/>
    <n v="9972062.4679999966"/>
    <n v="166056.75900000002"/>
  </r>
  <r>
    <n v="600187.78300000005"/>
    <n v="1269456.865"/>
    <n v="1331997.9370000002"/>
    <n v="1245965.4589999996"/>
    <n v="1279959.4000000004"/>
    <n v="1335008.206"/>
    <n v="1187533.7150000003"/>
    <n v="792293.06300000055"/>
    <n v="404128.42700000003"/>
    <n v="9446530.8550000004"/>
    <n v="153869.53700000004"/>
  </r>
  <r>
    <n v="600763.30199999979"/>
    <n v="1283608.5249999997"/>
    <n v="1345714.0289999996"/>
    <n v="1282140.7089999993"/>
    <n v="1288502.5759999999"/>
    <n v="1355691.3520000002"/>
    <n v="1223048.2520000003"/>
    <n v="833165.0619999998"/>
    <n v="418155.47999999981"/>
    <n v="9630789.2869999986"/>
    <n v="159382.26599999989"/>
  </r>
  <r>
    <n v="617136"/>
    <n v="1321950"/>
    <n v="1395287"/>
    <n v="1342357"/>
    <n v="1324286"/>
    <n v="1404269"/>
    <n v="1300705"/>
    <n v="920283"/>
    <n v="452761"/>
    <n v="10079034"/>
    <n v="171815"/>
  </r>
  <r>
    <n v="39740.358"/>
    <n v="74639.883999999991"/>
    <n v="112085.18800000001"/>
    <n v="76464.710000000006"/>
    <n v="73984.456999999995"/>
    <n v="89927.881999999983"/>
    <n v="66566.008000000016"/>
    <n v="41833.664999999994"/>
    <n v="33123.738999999994"/>
    <n v="608365.89099999995"/>
    <n v="15604.924000000001"/>
  </r>
  <r>
    <n v="36571.53100000001"/>
    <n v="69926.83299999997"/>
    <n v="88320.249000000011"/>
    <n v="72023.131000000023"/>
    <n v="67844.048000000024"/>
    <n v="84675.47600000001"/>
    <n v="66284.74500000001"/>
    <n v="40434.281999999999"/>
    <n v="30365.308000000001"/>
    <n v="556445.603"/>
    <n v="14115.217999999999"/>
  </r>
  <r>
    <n v="50468.344999999994"/>
    <n v="97596.745999999956"/>
    <n v="126255.56100000003"/>
    <n v="103698.618"/>
    <n v="95980.173999999941"/>
    <n v="119928.83100000002"/>
    <n v="100523.53099999997"/>
    <n v="60303.581000000006"/>
    <n v="44942.149000000005"/>
    <n v="799697.53599999996"/>
    <n v="19920.373000000007"/>
  </r>
  <r>
    <n v="45570.785000000003"/>
    <n v="84646.807000000001"/>
    <n v="112406.48699999999"/>
    <n v="93608.000000000029"/>
    <n v="79405.303000000014"/>
    <n v="100133.90899999999"/>
    <n v="86931.608999999968"/>
    <n v="51299.063000000009"/>
    <n v="35656.105999999985"/>
    <n v="689658.06900000002"/>
    <n v="16998.883999999998"/>
  </r>
  <r>
    <n v="48288.910000000011"/>
    <n v="90112.606999999989"/>
    <n v="117152.09999999996"/>
    <n v="99672.372999999992"/>
    <n v="82754.510999999999"/>
    <n v="101224.82999999997"/>
    <n v="91861.116999999998"/>
    <n v="53391.585999999981"/>
    <n v="35917.228000000003"/>
    <n v="720375.26199999999"/>
    <n v="17329.144000000004"/>
  </r>
  <r>
    <n v="46939.447000000007"/>
    <n v="87190.48"/>
    <n v="114169.10899999997"/>
    <n v="98582.263000000035"/>
    <n v="80097.496000000014"/>
    <n v="92292.697999999989"/>
    <n v="87863.152000000016"/>
    <n v="52383.436000000002"/>
    <n v="33148.106"/>
    <n v="692666.18700000003"/>
    <n v="15936.548999999997"/>
  </r>
  <r>
    <n v="48875.08"/>
    <n v="90029.58600000001"/>
    <n v="115626.86800000003"/>
    <n v="103670.89199999999"/>
    <n v="82016.841"/>
    <n v="93591.585999999996"/>
    <n v="93205.707999999984"/>
    <n v="55466.585000000006"/>
    <n v="33689.210999999996"/>
    <n v="716172.35699999996"/>
    <n v="16396.365000000002"/>
  </r>
  <r>
    <n v="42278.99"/>
    <n v="77038.15800000001"/>
    <n v="93192.864000000001"/>
    <n v="90119.838000000003"/>
    <n v="71342.248999999982"/>
    <n v="78258.017000000036"/>
    <n v="79932.108999999997"/>
    <n v="48686.796000000009"/>
    <n v="28508.931999999993"/>
    <n v="609357.9530000001"/>
    <n v="15204.326000000001"/>
  </r>
  <r>
    <n v="55761"/>
    <n v="103122"/>
    <n v="129177"/>
    <n v="120553"/>
    <n v="94335"/>
    <n v="99115"/>
    <n v="106582"/>
    <n v="67766"/>
    <n v="38922"/>
    <n v="815333"/>
    <n v="19608"/>
  </r>
  <r>
    <n v="737234.78499999945"/>
    <n v="1520464.7239999995"/>
    <n v="1550587.9070000004"/>
    <n v="1462744.3209999995"/>
    <n v="1585350.2919999997"/>
    <n v="1737749.5599999998"/>
    <n v="1296379.6649999998"/>
    <n v="793425.80100000009"/>
    <n v="551716.94999999995"/>
    <n v="11235654.004999997"/>
    <n v="212146.69900000008"/>
  </r>
  <r>
    <n v="726477.375"/>
    <n v="1541504.4309999992"/>
    <n v="1609349.0590000004"/>
    <n v="1417909.774"/>
    <n v="1547276.2580000001"/>
    <n v="1744555"/>
    <n v="1363843.2189999996"/>
    <n v="816479.38199999998"/>
    <n v="550267.62499999988"/>
    <n v="11317662.123"/>
    <n v="217122.41199999998"/>
  </r>
  <r>
    <n v="721185.43500000017"/>
    <n v="1526174.8810000001"/>
    <n v="1583513.452"/>
    <n v="1416327.943"/>
    <n v="1511343.8790000002"/>
    <n v="1737508.041999999"/>
    <n v="1410430.5420000001"/>
    <n v="834780.49200000032"/>
    <n v="545482.70199999993"/>
    <n v="11286747.367999999"/>
    <n v="222925.99999999991"/>
  </r>
  <r>
    <n v="709745.28700000048"/>
    <n v="1517063.5919999992"/>
    <n v="1581627.3310000002"/>
    <n v="1419234.1360000002"/>
    <n v="1482186.0379999999"/>
    <n v="1725947.6620000005"/>
    <n v="1456512.14"/>
    <n v="860796.2420000002"/>
    <n v="543868.14499999979"/>
    <n v="11296980.573000001"/>
    <n v="231179.12599999993"/>
  </r>
  <r>
    <n v="684568.5689999999"/>
    <n v="1464604.2040000004"/>
    <n v="1540678.3189999997"/>
    <n v="1387388.9090000005"/>
    <n v="1412860.5659999999"/>
    <n v="1650753.4070000001"/>
    <n v="1449705.041"/>
    <n v="861203.74100000027"/>
    <n v="523947.41699999984"/>
    <n v="10975710.172999999"/>
    <n v="229450.06400000007"/>
  </r>
  <r>
    <n v="706797.50400000007"/>
    <n v="1515072.8499999992"/>
    <n v="1591910.7579999994"/>
    <n v="1453888.9000000001"/>
    <n v="1453508.3530000001"/>
    <n v="1689875.1310000001"/>
    <n v="1546199.6759999995"/>
    <n v="935704.29999999981"/>
    <n v="544183.68199999968"/>
    <n v="11437141.153999999"/>
    <n v="243441.17499999996"/>
  </r>
  <r>
    <n v="671118.64900000033"/>
    <n v="1431756.8910000001"/>
    <n v="1503640.6449999993"/>
    <n v="1402073.787"/>
    <n v="1372822.2909999997"/>
    <n v="1577383.2859999998"/>
    <n v="1495432.4939999997"/>
    <n v="927510.96699999983"/>
    <n v="518383.00200000004"/>
    <n v="10900122.011999998"/>
    <n v="239216.12199999997"/>
  </r>
  <r>
    <n v="699170.72600000014"/>
    <n v="1483374.2489999996"/>
    <n v="1579499.1119999995"/>
    <n v="1478932.1680000003"/>
    <n v="1410659.058"/>
    <n v="1608411.48"/>
    <n v="1579778.0669999998"/>
    <n v="1016508.1090000001"/>
    <n v="545548.36900000006"/>
    <n v="11401881.338"/>
    <n v="252234.98099999997"/>
  </r>
  <r>
    <n v="678140"/>
    <n v="1427695"/>
    <n v="1519736"/>
    <n v="1448875"/>
    <n v="1360397"/>
    <n v="1532033"/>
    <n v="1544596"/>
    <n v="1015171"/>
    <n v="532275"/>
    <n v="11058918"/>
    <n v="246935"/>
  </r>
  <r>
    <n v="259936.95599999998"/>
    <n v="487396.3820000001"/>
    <n v="538257.12199999997"/>
    <n v="479318.57400000014"/>
    <n v="463805.64600000012"/>
    <n v="503769.92899999983"/>
    <n v="394332.39499999984"/>
    <n v="253936.83899999998"/>
    <n v="165705.70200000002"/>
    <n v="3546459.5450000004"/>
    <n v="61246.726999999992"/>
  </r>
  <r>
    <n v="253691.26199999999"/>
    <n v="495009.16200000019"/>
    <n v="531910.56500000006"/>
    <n v="478243.87999999989"/>
    <n v="462068.84799999994"/>
    <n v="513481.03099999996"/>
    <n v="411578.30099999986"/>
    <n v="263520.82699999993"/>
    <n v="159518.79100000003"/>
    <n v="3569022.6669999999"/>
    <n v="58958.001999999986"/>
  </r>
  <r>
    <n v="249085.32100000003"/>
    <n v="484414.89799999999"/>
    <n v="514073.35299999994"/>
    <n v="476725.69599999988"/>
    <n v="447929.67700000008"/>
    <n v="500258.96900000004"/>
    <n v="410341.72799999994"/>
    <n v="259944.22200000001"/>
    <n v="155253.84099999996"/>
    <n v="3498027.7050000001"/>
    <n v="56959.438999999998"/>
  </r>
  <r>
    <n v="261669.72699999998"/>
    <n v="515039.37199999997"/>
    <n v="539611.08299999998"/>
    <n v="505694.50500000006"/>
    <n v="466360.93800000002"/>
    <n v="521417.45700000005"/>
    <n v="443289.52199999994"/>
    <n v="283718.48200000002"/>
    <n v="164651.64499999996"/>
    <n v="3701452.7309999997"/>
    <n v="62585.974999999984"/>
  </r>
  <r>
    <n v="262648.57099999994"/>
    <n v="517875.44099999993"/>
    <n v="537019.57399999991"/>
    <n v="508554.56900000002"/>
    <n v="463267.72200000007"/>
    <n v="514688.61499999999"/>
    <n v="453950.14999999991"/>
    <n v="293302.81199999986"/>
    <n v="167949.88799999995"/>
    <n v="3719257.3419999992"/>
    <n v="64267.123000000007"/>
  </r>
  <r>
    <n v="264226.98799999995"/>
    <n v="521917.95200000011"/>
    <n v="545357.11499999999"/>
    <n v="521115.18000000005"/>
    <n v="467235.40899999999"/>
    <n v="507676.68800000008"/>
    <n v="465727.06199999998"/>
    <n v="302851.86499999999"/>
    <n v="169488.46800000005"/>
    <n v="3765596.7270000004"/>
    <n v="65831.588999999993"/>
  </r>
  <r>
    <n v="281914.57500000007"/>
    <n v="564790.62699999998"/>
    <n v="583311.16100000031"/>
    <n v="559065.89599999983"/>
    <n v="503149.68699999992"/>
    <n v="539852.40700000001"/>
    <n v="512993.65600000013"/>
    <n v="341832.76600000012"/>
    <n v="187495.08399999994"/>
    <n v="4074405.8590000002"/>
    <n v="73084.448999999993"/>
  </r>
  <r>
    <n v="257964.09600000002"/>
    <n v="518150.16800000001"/>
    <n v="531803.29899999988"/>
    <n v="519585.67800000001"/>
    <n v="463157.13499999989"/>
    <n v="480310.5140000002"/>
    <n v="469936.34599999996"/>
    <n v="317663.95899999997"/>
    <n v="168819.63800000001"/>
    <n v="3727390.8329999992"/>
    <n v="65483.985999999997"/>
  </r>
  <r>
    <n v="268809"/>
    <n v="546910"/>
    <n v="556584"/>
    <n v="549059"/>
    <n v="492289"/>
    <n v="500186"/>
    <n v="499355"/>
    <n v="341004"/>
    <n v="177472"/>
    <n v="3931668"/>
    <n v="67773"/>
  </r>
  <r>
    <n v="236504.04600000006"/>
    <n v="468408.76099999988"/>
    <n v="504990.28"/>
    <n v="499858.20899999992"/>
    <n v="500841.478"/>
    <n v="547268.30599999987"/>
    <n v="450193.31000000006"/>
    <n v="250652.08800000002"/>
    <n v="164591.23800000004"/>
    <n v="3623307.7159999995"/>
    <n v="73065.760000000009"/>
  </r>
  <r>
    <n v="234336.38899999997"/>
    <n v="477973.74500000011"/>
    <n v="509066.26299999992"/>
    <n v="508932.25700000004"/>
    <n v="503243.76700000005"/>
    <n v="546230.652"/>
    <n v="476112.83899999992"/>
    <n v="267409.18"/>
    <n v="166725.61200000002"/>
    <n v="3690030.7039999999"/>
    <n v="74353.59599999999"/>
  </r>
  <r>
    <n v="232896.51800000004"/>
    <n v="472197.96200000012"/>
    <n v="502699.46499999991"/>
    <n v="512170.59299999994"/>
    <n v="496041.27600000001"/>
    <n v="534242.473"/>
    <n v="485870.09200000006"/>
    <n v="273136.61700000003"/>
    <n v="163937.77000000008"/>
    <n v="3673192.7659999998"/>
    <n v="72578.395999999993"/>
  </r>
  <r>
    <n v="238321.84600000005"/>
    <n v="487063.73500000004"/>
    <n v="514074.4150000001"/>
    <n v="531131.6"/>
    <n v="510104.67900000006"/>
    <n v="540653.36199999996"/>
    <n v="506201.14899999986"/>
    <n v="290707.10199999996"/>
    <n v="164856.53900000002"/>
    <n v="3783114.4269999997"/>
    <n v="75511.338999999993"/>
  </r>
  <r>
    <n v="236314.08299999996"/>
    <n v="485952.09500000003"/>
    <n v="520279.09599999996"/>
    <n v="532802.65399999998"/>
    <n v="507809.85"/>
    <n v="532947.55200000014"/>
    <n v="520374.24199999991"/>
    <n v="311906.12300000002"/>
    <n v="167707.69599999997"/>
    <n v="3816093.3910000003"/>
    <n v="78553.461999999985"/>
  </r>
  <r>
    <n v="234235.00499999998"/>
    <n v="486583.29500000004"/>
    <n v="515965.9310000001"/>
    <n v="536972.00899999996"/>
    <n v="513977.11699999997"/>
    <n v="529402.728"/>
    <n v="530885.84299999988"/>
    <n v="332251.63599999994"/>
    <n v="171457.79999999996"/>
    <n v="3851731.3640000001"/>
    <n v="79443.121000000014"/>
  </r>
  <r>
    <n v="225586.00100000002"/>
    <n v="468019.71099999989"/>
    <n v="498923.47500000009"/>
    <n v="525450.89599999995"/>
    <n v="497484.07499999995"/>
    <n v="501984.63199999998"/>
    <n v="515291.12699999986"/>
    <n v="335456.60300000012"/>
    <n v="164885.78100000002"/>
    <n v="3733082.301"/>
    <n v="79100.412999999986"/>
  </r>
  <r>
    <n v="234494.82400000002"/>
    <n v="487245.02400000003"/>
    <n v="518377.96499999997"/>
    <n v="554103.29"/>
    <n v="523909.34200000006"/>
    <n v="521997.32200000004"/>
    <n v="545397.2300000001"/>
    <n v="379354.27400000009"/>
    <n v="178369.27500000008"/>
    <n v="3943248.5460000006"/>
    <n v="86255.520999999993"/>
  </r>
  <r>
    <n v="228406"/>
    <n v="477526"/>
    <n v="502310"/>
    <n v="550912"/>
    <n v="520108"/>
    <n v="506038"/>
    <n v="529144"/>
    <n v="381554"/>
    <n v="174687"/>
    <n v="3870685"/>
    <n v="81159"/>
  </r>
  <r>
    <n v="740689.36799999978"/>
    <n v="1548920.6879999994"/>
    <n v="1720883.777"/>
    <n v="1503516.4940000002"/>
    <n v="1730593.8809999998"/>
    <n v="1919114.3689999999"/>
    <n v="1456163.2959999996"/>
    <n v="918697.60599999991"/>
    <n v="715471.31900000048"/>
    <n v="12254050.798"/>
    <n v="285195.065"/>
  </r>
  <r>
    <n v="725472.36099999992"/>
    <n v="1554319.3720000007"/>
    <n v="1753352.3289999997"/>
    <n v="1478699.139"/>
    <n v="1683489.1369999996"/>
    <n v="1923625.3540000001"/>
    <n v="1517166.7909999995"/>
    <n v="937049.86599999981"/>
    <n v="696249.81799999985"/>
    <n v="12269424.166999999"/>
    <n v="286485.72899999999"/>
  </r>
  <r>
    <n v="721574.82700000005"/>
    <n v="1534928.327"/>
    <n v="1755912.4850000001"/>
    <n v="1485863.6050000004"/>
    <n v="1637431.7649999999"/>
    <n v="1912703.5729999999"/>
    <n v="1561463.2929999998"/>
    <n v="950212.82999999973"/>
    <n v="679261.97299999988"/>
    <n v="12239352.677999999"/>
    <n v="293466.55100000004"/>
  </r>
  <r>
    <n v="723409.38400000008"/>
    <n v="1535861.0449999995"/>
    <n v="1763578.4849999999"/>
    <n v="1515174.5880000005"/>
    <n v="1608523.1840000001"/>
    <n v="1914402.1029999994"/>
    <n v="1617192.2010000001"/>
    <n v="987181.80899999954"/>
    <n v="671898.69400000002"/>
    <n v="12337221.493000001"/>
    <n v="303961.94300000014"/>
  </r>
  <r>
    <n v="719632.51699999976"/>
    <n v="1528646.1029999999"/>
    <n v="1752198.0259999998"/>
    <n v="1546115.939"/>
    <n v="1577390.3019999997"/>
    <n v="1892222.3199999998"/>
    <n v="1661581.1639999996"/>
    <n v="1017454.8830000001"/>
    <n v="663223.60100000002"/>
    <n v="12358464.854999999"/>
    <n v="309331.6939999999"/>
  </r>
  <r>
    <n v="710530.56700000016"/>
    <n v="1506977.7490000005"/>
    <n v="1712392.28"/>
    <n v="1561524.2900000003"/>
    <n v="1535472.9720000003"/>
    <n v="1848769.3040000002"/>
    <n v="1683349.0969999996"/>
    <n v="1046388.2960000003"/>
    <n v="650667.49900000007"/>
    <n v="12256072.054"/>
    <n v="314998.50599999999"/>
  </r>
  <r>
    <n v="711561.14800000016"/>
    <n v="1504923.5599999996"/>
    <n v="1724994.4540000004"/>
    <n v="1591967.8360000004"/>
    <n v="1514380.9800000002"/>
    <n v="1817953.1800000006"/>
    <n v="1713675.8820000002"/>
    <n v="1086773.0930000001"/>
    <n v="644904.6109999998"/>
    <n v="12311134.744000003"/>
    <n v="313401.924"/>
  </r>
  <r>
    <n v="721188.13399999996"/>
    <n v="1524430.3950000003"/>
    <n v="1728222.4399999995"/>
    <n v="1650728.6459999999"/>
    <n v="1530351.3249999997"/>
    <n v="1819542.2779999995"/>
    <n v="1775259.0459999999"/>
    <n v="1160203.7830000003"/>
    <n v="662262.1590000001"/>
    <n v="12572188.205999998"/>
    <n v="325752.89299999998"/>
  </r>
  <r>
    <n v="715867"/>
    <n v="1510035"/>
    <n v="1703779"/>
    <n v="1655660"/>
    <n v="1508763"/>
    <n v="1777792"/>
    <n v="1792804"/>
    <n v="1203329"/>
    <n v="663455"/>
    <n v="12531484"/>
    <n v="326620"/>
  </r>
  <r>
    <n v="242236.07500000001"/>
    <n v="566001.61200000008"/>
    <n v="571869.15699999989"/>
    <n v="547903.72899999993"/>
    <n v="521681.36100000015"/>
    <n v="493379.63099999982"/>
    <n v="429421.26300000009"/>
    <n v="291560.6480000001"/>
    <n v="163090.80700000006"/>
    <n v="3827144.2829999998"/>
    <n v="62698.668000000027"/>
  </r>
  <r>
    <n v="225701.34499999994"/>
    <n v="513887.04800000018"/>
    <n v="535954.93099999998"/>
    <n v="480980.196"/>
    <n v="473898.36499999993"/>
    <n v="462603.2589999999"/>
    <n v="414223.30600000004"/>
    <n v="285909.24899999989"/>
    <n v="155526.22100000005"/>
    <n v="3548683.9199999995"/>
    <n v="58493.865999999987"/>
  </r>
  <r>
    <n v="224841.92599999998"/>
    <n v="509876.87700000004"/>
    <n v="541032.34900000016"/>
    <n v="484416.02400000021"/>
    <n v="477857.13099999999"/>
    <n v="480931.80500000017"/>
    <n v="432012.12500000012"/>
    <n v="304940.35399999999"/>
    <n v="166821.68899999995"/>
    <n v="3622730.2800000003"/>
    <n v="62702.027999999991"/>
  </r>
  <r>
    <n v="211630.06600000008"/>
    <n v="482524.12699999992"/>
    <n v="520678.28599999991"/>
    <n v="466245.4910000001"/>
    <n v="459924.06400000007"/>
    <n v="462970.8670000002"/>
    <n v="418721.56199999992"/>
    <n v="301127.07899999997"/>
    <n v="160741.66899999997"/>
    <n v="3484563.2109999997"/>
    <n v="62386.201000000023"/>
  </r>
  <r>
    <n v="217021.807"/>
    <n v="493487.8"/>
    <n v="538967.22100000025"/>
    <n v="481182.77800000011"/>
    <n v="477610.24699999997"/>
    <n v="492386.61199999979"/>
    <n v="450297.73800000013"/>
    <n v="331912.6160000001"/>
    <n v="178150.00099999996"/>
    <n v="3661016.82"/>
    <n v="70629.533999999971"/>
  </r>
  <r>
    <n v="197101.068"/>
    <n v="448315.44999999995"/>
    <n v="503713.73400000005"/>
    <n v="444109.30099999998"/>
    <n v="439700.21899999998"/>
    <n v="452760.52999999991"/>
    <n v="418176.41700000007"/>
    <n v="316542.72099999996"/>
    <n v="169081.41899999999"/>
    <n v="3389500.8589999992"/>
    <n v="65446.450999999994"/>
  </r>
  <r>
    <n v="189464.14600000004"/>
    <n v="438114.67599999998"/>
    <n v="501051.93699999974"/>
    <n v="438789.38300000003"/>
    <n v="441918.22200000001"/>
    <n v="459432.39299999998"/>
    <n v="425631.53"/>
    <n v="331290.86299999995"/>
    <n v="179567.64200000002"/>
    <n v="3405260.7920000004"/>
    <n v="69609.047999999995"/>
  </r>
  <r>
    <n v="179226.171"/>
    <n v="423418.359"/>
    <n v="484957.97000000015"/>
    <n v="421250.72599999997"/>
    <n v="429282.50499999989"/>
    <n v="449535.28400000004"/>
    <n v="424441.01300000004"/>
    <n v="337526.75000000012"/>
    <n v="179305.55000000005"/>
    <n v="3328944.3279999997"/>
    <n v="71640.895000000004"/>
  </r>
  <r>
    <n v="179418"/>
    <n v="425634"/>
    <n v="490739"/>
    <n v="440439"/>
    <n v="441536"/>
    <n v="465252"/>
    <n v="448981"/>
    <n v="365090"/>
    <n v="202950"/>
    <n v="3460039"/>
    <n v="76516"/>
  </r>
  <r>
    <n v="61090.154999999999"/>
    <n v="129218.09700000001"/>
    <n v="152566.22200000001"/>
    <n v="132592.07399999999"/>
    <n v="153612.867"/>
    <n v="160689.891"/>
    <n v="118191.06200000001"/>
    <n v="70282.956000000006"/>
    <n v="55547.460999999996"/>
    <n v="1033790.7850000001"/>
    <n v="23552.728000000003"/>
  </r>
  <r>
    <n v="59283.511000000006"/>
    <n v="127533.791"/>
    <n v="160698.1"/>
    <n v="127788.056"/>
    <n v="146914.60700000002"/>
    <n v="160827.18800000002"/>
    <n v="122761.476"/>
    <n v="70635.231"/>
    <n v="54667.648999999998"/>
    <n v="1031109.6090000001"/>
    <n v="24560.228999999999"/>
  </r>
  <r>
    <n v="58002.8"/>
    <n v="126279.783"/>
    <n v="161452.304"/>
    <n v="127379.747"/>
    <n v="142137.97"/>
    <n v="160668.035"/>
    <n v="127612.29800000001"/>
    <n v="72231.608000000007"/>
    <n v="53682.701000000001"/>
    <n v="1029447.2459999999"/>
    <n v="25087.219000000001"/>
  </r>
  <r>
    <n v="56621.284999999996"/>
    <n v="124764.889"/>
    <n v="161408.93099999998"/>
    <n v="128129.56299999999"/>
    <n v="137111.88399999999"/>
    <n v="160128.08899999998"/>
    <n v="130742.87300000001"/>
    <n v="75064.736999999994"/>
    <n v="51452.987000000001"/>
    <n v="1025425.2379999998"/>
    <n v="26116.228000000003"/>
  </r>
  <r>
    <n v="56278.313000000002"/>
    <n v="123212.005"/>
    <n v="160714.88900000002"/>
    <n v="129837.633"/>
    <n v="133707.21699999998"/>
    <n v="159528.177"/>
    <n v="134099.59299999999"/>
    <n v="78665.145999999993"/>
    <n v="50036.478999999999"/>
    <n v="1026079.452"/>
    <n v="27201.741999999998"/>
  </r>
  <r>
    <n v="55335.516999999993"/>
    <n v="121847.66500000002"/>
    <n v="159175.99799999999"/>
    <n v="132136.65400000001"/>
    <n v="130328.41"/>
    <n v="156938.89800000002"/>
    <n v="137176.37900000002"/>
    <n v="81733.797000000006"/>
    <n v="49353.993000000002"/>
    <n v="1024027.3110000002"/>
    <n v="27806.086000000003"/>
  </r>
  <r>
    <n v="60149.471000000005"/>
    <n v="130967.41000000002"/>
    <n v="167466.32399999999"/>
    <n v="144973.32"/>
    <n v="138295.10699999999"/>
    <n v="166243.875"/>
    <n v="151538.52199999997"/>
    <n v="93732.197"/>
    <n v="52903.271999999997"/>
    <n v="1106269.4980000001"/>
    <n v="30530.058000000005"/>
  </r>
  <r>
    <n v="55056.796000000002"/>
    <n v="118658.35800000001"/>
    <n v="156283.859"/>
    <n v="138074.07199999999"/>
    <n v="125863.67600000001"/>
    <n v="152607.30099999998"/>
    <n v="142242.617"/>
    <n v="88888.597000000009"/>
    <n v="47755.512000000002"/>
    <n v="1025430.7880000001"/>
    <n v="28938.930999999997"/>
  </r>
  <r>
    <n v="54571"/>
    <n v="117794"/>
    <n v="154512"/>
    <n v="140547"/>
    <n v="124511"/>
    <n v="149424"/>
    <n v="144635"/>
    <n v="93339"/>
    <n v="49153"/>
    <n v="1028486"/>
    <n v="27652"/>
  </r>
  <r>
    <n v="295751.25200000009"/>
    <n v="571771.255"/>
    <n v="622318.76599999995"/>
    <n v="576709.62600000005"/>
    <n v="606807.52399999986"/>
    <n v="622042.08500000008"/>
    <n v="514633.33399999997"/>
    <n v="314381.929"/>
    <n v="195406.98300000001"/>
    <n v="4319822.7539999997"/>
    <n v="66003.995999999999"/>
  </r>
  <r>
    <n v="313276.27899999998"/>
    <n v="619036.0830000001"/>
    <n v="687400.77399999998"/>
    <n v="612780.52399999998"/>
    <n v="656475.16100000008"/>
    <n v="695496.45599999989"/>
    <n v="592628.96"/>
    <n v="365179.96199999988"/>
    <n v="202964.13499999998"/>
    <n v="4745238.3339999998"/>
    <n v="71050.82699999999"/>
  </r>
  <r>
    <n v="293181.717"/>
    <n v="578872.32599999988"/>
    <n v="642728.35300000012"/>
    <n v="573459.15700000001"/>
    <n v="596935.53500000003"/>
    <n v="638512.36300000001"/>
    <n v="556351.95700000005"/>
    <n v="350246.05100000009"/>
    <n v="188046.33599999998"/>
    <n v="4418333.7949999999"/>
    <n v="65826.290000000008"/>
  </r>
  <r>
    <n v="299551.49200000003"/>
    <n v="593917.21400000015"/>
    <n v="666026.16899999999"/>
    <n v="592260.32900000003"/>
    <n v="602528.25799999991"/>
    <n v="653668.3350000002"/>
    <n v="585188.31299999997"/>
    <n v="376015.15499999997"/>
    <n v="195526.424"/>
    <n v="4564681.6890000002"/>
    <n v="70237.979999999981"/>
  </r>
  <r>
    <n v="296378.63"/>
    <n v="596263.27400000009"/>
    <n v="658243.70799999975"/>
    <n v="594961.59000000008"/>
    <n v="594106.38300000003"/>
    <n v="651155.68400000012"/>
    <n v="593016.21399999992"/>
    <n v="389587.52799999999"/>
    <n v="197296.47999999998"/>
    <n v="4571009.4909999985"/>
    <n v="72934.394"/>
  </r>
  <r>
    <n v="294928.51499999996"/>
    <n v="603902.85900000005"/>
    <n v="663081.32600000012"/>
    <n v="605716.11700000009"/>
    <n v="595004.31200000003"/>
    <n v="653556.11699999985"/>
    <n v="611836.7080000001"/>
    <n v="417395.87500000012"/>
    <n v="205231.06700000007"/>
    <n v="4650652.8960000006"/>
    <n v="75785.447"/>
  </r>
  <r>
    <n v="286301.08800000011"/>
    <n v="593470.88300000015"/>
    <n v="637090.69099999999"/>
    <n v="598183.3820000001"/>
    <n v="577669.12300000002"/>
    <n v="630881.902"/>
    <n v="602879.72"/>
    <n v="426021.39099999989"/>
    <n v="203119.114"/>
    <n v="4555617.2939999998"/>
    <n v="76144.672999999995"/>
  </r>
  <r>
    <n v="295647.4439999999"/>
    <n v="619839.28300000017"/>
    <n v="669343.20900000003"/>
    <n v="635441.70300000021"/>
    <n v="606910.72399999993"/>
    <n v="661726.0140000002"/>
    <n v="649758.71800000011"/>
    <n v="483952.75099999987"/>
    <n v="220350.55899999998"/>
    <n v="4842970.4050000012"/>
    <n v="82513.180999999982"/>
  </r>
  <r>
    <n v="287954"/>
    <n v="609680"/>
    <n v="653241"/>
    <n v="629942"/>
    <n v="589578"/>
    <n v="639932"/>
    <n v="631530"/>
    <n v="478421"/>
    <n v="219282"/>
    <n v="4739560"/>
    <n v="82674"/>
  </r>
  <r>
    <n v="55525.162000000011"/>
    <n v="104202.947"/>
    <n v="119497.20700000004"/>
    <n v="96951.753999999986"/>
    <n v="96791.543999999994"/>
    <n v="114736.485"/>
    <n v="86550.713999999964"/>
    <n v="53423.368999999999"/>
    <n v="40950.546999999999"/>
    <n v="768629.72899999993"/>
    <n v="18533.295000000002"/>
  </r>
  <r>
    <n v="52763.137999999999"/>
    <n v="100992.29400000001"/>
    <n v="107115.26300000001"/>
    <n v="92840.982000000018"/>
    <n v="90924.632000000012"/>
    <n v="108636.36199999999"/>
    <n v="83743.777000000002"/>
    <n v="51132.86099999999"/>
    <n v="36537.791999999994"/>
    <n v="724687.10100000002"/>
    <n v="16915.374999999996"/>
  </r>
  <r>
    <n v="59999.095000000001"/>
    <n v="114385.98000000001"/>
    <n v="123365.54799999997"/>
    <n v="106589.21299999999"/>
    <n v="101186.17800000003"/>
    <n v="123283.088"/>
    <n v="99694.980999999985"/>
    <n v="59611.988999999994"/>
    <n v="40949.639000000003"/>
    <n v="829065.71099999989"/>
    <n v="18974.231999999996"/>
  </r>
  <r>
    <n v="55130.277000000016"/>
    <n v="104309.61500000001"/>
    <n v="112204.15900000001"/>
    <n v="101853.24799999998"/>
    <n v="92127.539999999979"/>
    <n v="114947.70800000003"/>
    <n v="99498.329000000012"/>
    <n v="59087.103999999992"/>
    <n v="40288.564000000006"/>
    <n v="779446.54399999999"/>
    <n v="19232.377999999997"/>
  </r>
  <r>
    <n v="53159.536"/>
    <n v="103901.27099999999"/>
    <n v="102711.96999999999"/>
    <n v="99046.280999999974"/>
    <n v="90949.018999999986"/>
    <n v="108124.497"/>
    <n v="99206.274999999994"/>
    <n v="60278.039999999986"/>
    <n v="38320.198999999993"/>
    <n v="755697.08799999999"/>
    <n v="17777.231000000003"/>
  </r>
  <r>
    <n v="48676.28100000001"/>
    <n v="95126.344000000026"/>
    <n v="97905.493000000002"/>
    <n v="92403.574000000037"/>
    <n v="81982.353000000003"/>
    <n v="97546.681999999972"/>
    <n v="91150.550000000032"/>
    <n v="55467.795999999995"/>
    <n v="34496.375999999997"/>
    <n v="694755.44900000002"/>
    <n v="16766.043999999998"/>
  </r>
  <r>
    <n v="45186.614000000009"/>
    <n v="89129.640000000072"/>
    <n v="94221.318999999989"/>
    <n v="82976.632000000012"/>
    <n v="74376.45699999998"/>
    <n v="84225.718999999997"/>
    <n v="85090.688000000009"/>
    <n v="53649.700000000012"/>
    <n v="33144.765999999996"/>
    <n v="642001.53500000003"/>
    <n v="15548.692000000003"/>
  </r>
  <r>
    <n v="52809.127000000008"/>
    <n v="103182.58900000002"/>
    <n v="104977.06799999998"/>
    <n v="101234.12299999999"/>
    <n v="88875.686999999976"/>
    <n v="98078.281999999963"/>
    <n v="101828.02499999999"/>
    <n v="63261.175999999992"/>
    <n v="36248.487000000008"/>
    <n v="750494.5639999999"/>
    <n v="17611.056999999997"/>
  </r>
  <r>
    <n v="59377"/>
    <n v="120839"/>
    <n v="121720"/>
    <n v="116598"/>
    <n v="105042"/>
    <n v="109302"/>
    <n v="118246"/>
    <n v="79809"/>
    <n v="42592"/>
    <n v="873525"/>
    <n v="19178"/>
  </r>
  <r>
    <n v="405972.66799999995"/>
    <n v="795174.43799999962"/>
    <n v="815508.31900000002"/>
    <n v="820092.1050000001"/>
    <n v="861006.35999999987"/>
    <n v="879131.15100000007"/>
    <n v="696165.50699999987"/>
    <n v="426953.42300000018"/>
    <n v="262068.78400000001"/>
    <n v="5962072.7549999999"/>
    <n v="94521.242999999973"/>
  </r>
  <r>
    <n v="405224.66099999996"/>
    <n v="830016.85199999972"/>
    <n v="854012.89799999993"/>
    <n v="822706.54499999981"/>
    <n v="876685.22099999979"/>
    <n v="913957.92600000021"/>
    <n v="746007.66400000011"/>
    <n v="460381.03900000005"/>
    <n v="264383.554"/>
    <n v="6173376.3599999994"/>
    <n v="95329.391000000018"/>
  </r>
  <r>
    <n v="410603.21800000023"/>
    <n v="837694.1479999997"/>
    <n v="864387.43499999971"/>
    <n v="829296.53299999994"/>
    <n v="870345.652"/>
    <n v="919269.40000000026"/>
    <n v="768296.71900000016"/>
    <n v="474593.35200000025"/>
    <n v="267836.51400000002"/>
    <n v="6242322.9710000008"/>
    <n v="98621.291999999987"/>
  </r>
  <r>
    <n v="405201.67799999984"/>
    <n v="831540.3139999999"/>
    <n v="864447.7349999994"/>
    <n v="824634.37399999984"/>
    <n v="854745.59899999981"/>
    <n v="914103.51400000032"/>
    <n v="783965.92500000016"/>
    <n v="488551.87399999995"/>
    <n v="267612.79799999995"/>
    <n v="6234803.8109999988"/>
    <n v="98936.495999999985"/>
  </r>
  <r>
    <n v="390066.82400000002"/>
    <n v="804215.81599999999"/>
    <n v="857793.94100000011"/>
    <n v="808226.48400000017"/>
    <n v="819600.277"/>
    <n v="879521.45599999989"/>
    <n v="774237.23200000008"/>
    <n v="489886.72199999989"/>
    <n v="263208.22600000002"/>
    <n v="6086756.9780000001"/>
    <n v="98276.160999999993"/>
  </r>
  <r>
    <n v="407946.527"/>
    <n v="847750.86999999988"/>
    <n v="885144.30299999984"/>
    <n v="847093.72900000005"/>
    <n v="848296.13799999992"/>
    <n v="911845.54299999995"/>
    <n v="825409.06199999992"/>
    <n v="542648.28900000011"/>
    <n v="289910.95000000007"/>
    <n v="6406045.4109999994"/>
    <n v="108793.857"/>
  </r>
  <r>
    <n v="400449.66000000003"/>
    <n v="836348.94599999965"/>
    <n v="872131.00999999966"/>
    <n v="847675.4360000001"/>
    <n v="837665.88500000001"/>
    <n v="898668.44200000016"/>
    <n v="830839.18700000003"/>
    <n v="552916.42700000003"/>
    <n v="283530"/>
    <n v="6360224.9929999998"/>
    <n v="106922.15199999997"/>
  </r>
  <r>
    <n v="391701.37999999983"/>
    <n v="816246.28700000001"/>
    <n v="857368.25899999973"/>
    <n v="838939.32199999993"/>
    <n v="812439.92899999989"/>
    <n v="868683.73300000012"/>
    <n v="816612.11199999996"/>
    <n v="561853.78300000005"/>
    <n v="281941.76699999999"/>
    <n v="6245786.5719999997"/>
    <n v="104944.91300000002"/>
  </r>
  <r>
    <n v="420176"/>
    <n v="874939"/>
    <n v="921170"/>
    <n v="914686"/>
    <n v="872935"/>
    <n v="931694"/>
    <n v="894819"/>
    <n v="630197"/>
    <n v="311698"/>
    <n v="6772314"/>
    <n v="117505"/>
  </r>
  <r>
    <n v="1985625.7340000004"/>
    <n v="3566777.6169999987"/>
    <n v="3508389.5350000006"/>
    <n v="3482930.1059999992"/>
    <n v="3379838.4699999974"/>
    <n v="3189718.6149999988"/>
    <n v="2232492.8169999989"/>
    <n v="1285094.737999999"/>
    <n v="809215.82099999965"/>
    <n v="23440083.45299999"/>
    <n v="293159.61399999988"/>
  </r>
  <r>
    <n v="1895620.4740000002"/>
    <n v="3641491.3590000034"/>
    <n v="3609520.675999999"/>
    <n v="3465989.0809999974"/>
    <n v="3414624.5640000012"/>
    <n v="3306800.4679999999"/>
    <n v="2388891.4879999999"/>
    <n v="1366247.2309999997"/>
    <n v="796666.04900000023"/>
    <n v="23885851.389999997"/>
    <n v="289290.71200000006"/>
  </r>
  <r>
    <n v="1924913.1259999988"/>
    <n v="3733148.7680000025"/>
    <n v="3682627.9380000019"/>
    <n v="3555937.4959999989"/>
    <n v="3458491.4709999999"/>
    <n v="3387215.0599999977"/>
    <n v="2518834.6079999991"/>
    <n v="1436207.670999998"/>
    <n v="815470.04899999988"/>
    <n v="24512846.186999995"/>
    <n v="302246.83400000003"/>
  </r>
  <r>
    <n v="1914320.7790000006"/>
    <n v="3763085.0730000003"/>
    <n v="3694811.7749999994"/>
    <n v="3600543.3080000021"/>
    <n v="3454687.9779999978"/>
    <n v="3392555.4999999986"/>
    <n v="2598309.8310000002"/>
    <n v="1486837.0019999994"/>
    <n v="822902.7589999995"/>
    <n v="24728054.004999999"/>
    <n v="312120.07299999992"/>
  </r>
  <r>
    <n v="1935820.7289999989"/>
    <n v="3862721.597000001"/>
    <n v="3768454.8230000013"/>
    <n v="3689711.0820000041"/>
    <n v="3515056.0790000004"/>
    <n v="3444028.4460000014"/>
    <n v="2715331.6399999987"/>
    <n v="1573989.3889999986"/>
    <n v="851795.47700000065"/>
    <n v="25356909.262000006"/>
    <n v="323943.87600000005"/>
  </r>
  <r>
    <n v="1933816.064"/>
    <n v="3902246.302999997"/>
    <n v="3797501.5940000005"/>
    <n v="3756948.0820000004"/>
    <n v="3546395.046999997"/>
    <n v="3447274.1000000015"/>
    <n v="2795286.0599999996"/>
    <n v="1640312.9579999996"/>
    <n v="867255.90099999995"/>
    <n v="25687036.108999997"/>
    <n v="331829.67"/>
  </r>
  <r>
    <n v="1916586.6740000015"/>
    <n v="3885681.7449999982"/>
    <n v="3804172.3629999985"/>
    <n v="3768801.7449999982"/>
    <n v="3538066.8300000019"/>
    <n v="3400375.6400000011"/>
    <n v="2839062.5380000006"/>
    <n v="1700907.1150000002"/>
    <n v="874629.42699999921"/>
    <n v="25728284.077"/>
    <n v="334921.24500000011"/>
  </r>
  <r>
    <n v="1936654.3180000004"/>
    <n v="3937365.8679999993"/>
    <n v="3843164.1370000024"/>
    <n v="3853360.4499999997"/>
    <n v="3591032.81"/>
    <n v="3417364.297999999"/>
    <n v="2916420.4219999998"/>
    <n v="1799092.833000001"/>
    <n v="902832.27700000035"/>
    <n v="26197287.412999999"/>
    <n v="347125.95200000011"/>
  </r>
  <r>
    <n v="1956475"/>
    <n v="3992090"/>
    <n v="3899817"/>
    <n v="3953626"/>
    <n v="3667632"/>
    <n v="3469176"/>
    <n v="3022032"/>
    <n v="1908434"/>
    <n v="939087"/>
    <n v="26808369"/>
    <n v="359501"/>
  </r>
  <r>
    <n v="258158.67400000003"/>
    <n v="438616.08299999993"/>
    <n v="463179.386"/>
    <n v="413122.76900000003"/>
    <n v="318041.86699999997"/>
    <n v="299989.28500000003"/>
    <n v="211216.62999999998"/>
    <n v="123373.08500000001"/>
    <n v="79235.283000000025"/>
    <n v="2604933.0619999999"/>
    <n v="29270.849000000002"/>
  </r>
  <r>
    <n v="255764.22200000004"/>
    <n v="452268.92499999993"/>
    <n v="448952.08700000006"/>
    <n v="425979.51700000011"/>
    <n v="320635.80200000003"/>
    <n v="301820.64299999998"/>
    <n v="223932.15199999997"/>
    <n v="128441.24700000002"/>
    <n v="79531.786999999997"/>
    <n v="2637326.3820000002"/>
    <n v="28674.317999999996"/>
  </r>
  <r>
    <n v="252970.53399999999"/>
    <n v="453814.27500000002"/>
    <n v="443867.43000000005"/>
    <n v="427466.05600000004"/>
    <n v="322234.35199999996"/>
    <n v="300486.93200000003"/>
    <n v="230371.46600000001"/>
    <n v="133850.23200000002"/>
    <n v="80002.817999999999"/>
    <n v="2645064.0949999997"/>
    <n v="29838.632999999994"/>
  </r>
  <r>
    <n v="260600.56999999998"/>
    <n v="477120.62300000002"/>
    <n v="451651.56699999998"/>
    <n v="442332.42199999996"/>
    <n v="336747.18099999998"/>
    <n v="307240.05799999996"/>
    <n v="242459.73699999996"/>
    <n v="139581.18400000001"/>
    <n v="82827.823000000004"/>
    <n v="2740561.1649999996"/>
    <n v="30752.971000000001"/>
  </r>
  <r>
    <n v="264524.179"/>
    <n v="499844.74899999995"/>
    <n v="467759.04600000009"/>
    <n v="456731.89500000014"/>
    <n v="364376.10400000005"/>
    <n v="326874.56999999995"/>
    <n v="271388.30499999999"/>
    <n v="160512.31099999999"/>
    <n v="91756.79800000001"/>
    <n v="2903767.9569999999"/>
    <n v="34869.953000000001"/>
  </r>
  <r>
    <n v="252989.337"/>
    <n v="489222.55200000003"/>
    <n v="451357.95499999996"/>
    <n v="438414.77399999992"/>
    <n v="357851.75099999993"/>
    <n v="306610.50300000003"/>
    <n v="261314.21299999996"/>
    <n v="156474.56900000002"/>
    <n v="85776.763999999996"/>
    <n v="2800012.4180000001"/>
    <n v="33224.944000000003"/>
  </r>
  <r>
    <n v="253695.53799999997"/>
    <n v="498613.23600000003"/>
    <n v="466388.68499999988"/>
    <n v="441306.55400000006"/>
    <n v="373259.47"/>
    <n v="311183.13999999996"/>
    <n v="274712.21799999994"/>
    <n v="165084.31400000001"/>
    <n v="88986.472999999998"/>
    <n v="2873229.6279999996"/>
    <n v="33917.68"/>
  </r>
  <r>
    <n v="250285.253"/>
    <n v="501206.61"/>
    <n v="469973.57400000002"/>
    <n v="437227.15799999994"/>
    <n v="381255.03699999995"/>
    <n v="306210.23300000001"/>
    <n v="277140.74700000003"/>
    <n v="172716.182"/>
    <n v="89990.382000000012"/>
    <n v="2886005.176"/>
    <n v="34068.915000000001"/>
  </r>
  <r>
    <n v="251018"/>
    <n v="506955"/>
    <n v="480382"/>
    <n v="443533"/>
    <n v="395492"/>
    <n v="311592"/>
    <n v="287014"/>
    <n v="185269"/>
    <n v="93407"/>
    <n v="2954662"/>
    <n v="35307"/>
  </r>
  <r>
    <n v="32510.932000000001"/>
    <n v="72258.352000000014"/>
    <n v="94733.088999999993"/>
    <n v="67506.609000000011"/>
    <n v="85457.424000000014"/>
    <n v="102428.065"/>
    <n v="80435.02900000001"/>
    <n v="44563.913"/>
    <n v="30203.242999999999"/>
    <n v="610096.65599999996"/>
    <n v="10728.603000000001"/>
  </r>
  <r>
    <n v="29364.756000000001"/>
    <n v="67666.705000000002"/>
    <n v="84956.448999999993"/>
    <n v="62465.757000000005"/>
    <n v="76908.089999999982"/>
    <n v="94816.569000000003"/>
    <n v="77049.417000000001"/>
    <n v="42024.949000000008"/>
    <n v="27466.205000000002"/>
    <n v="562718.897"/>
    <n v="10509.152"/>
  </r>
  <r>
    <n v="35564.800000000003"/>
    <n v="80648.016000000003"/>
    <n v="98918.718999999983"/>
    <n v="77618.155000000028"/>
    <n v="89850.825000000012"/>
    <n v="112472.60500000001"/>
    <n v="95933.951000000001"/>
    <n v="53430.446999999986"/>
    <n v="33289.818999999996"/>
    <n v="677727.33699999994"/>
    <n v="13038.345999999998"/>
  </r>
  <r>
    <n v="34450.637999999999"/>
    <n v="77027.476999999999"/>
    <n v="93619.204999999987"/>
    <n v="72888.324999999997"/>
    <n v="81094.625"/>
    <n v="102855.258"/>
    <n v="90941.391000000003"/>
    <n v="51158.722999999998"/>
    <n v="30999.249000000003"/>
    <n v="635034.89099999995"/>
    <n v="12933.883"/>
  </r>
  <r>
    <n v="28486.361000000004"/>
    <n v="64030.434000000001"/>
    <n v="81489.354999999996"/>
    <n v="63791.103999999999"/>
    <n v="69040.64499999999"/>
    <n v="87828.967000000004"/>
    <n v="80417.132000000012"/>
    <n v="46129.860999999997"/>
    <n v="25962.094999999994"/>
    <n v="547175.95400000003"/>
    <n v="10935.663"/>
  </r>
  <r>
    <n v="25489.142999999996"/>
    <n v="58131.128000000004"/>
    <n v="72285.448000000004"/>
    <n v="59504.741999999991"/>
    <n v="61516.443999999996"/>
    <n v="78245.801999999996"/>
    <n v="75640.316999999981"/>
    <n v="44133.85"/>
    <n v="23956.532999999999"/>
    <n v="498903.40700000001"/>
    <n v="10166.959999999999"/>
  </r>
  <r>
    <n v="37228.029000000002"/>
    <n v="85715.700000000012"/>
    <n v="105467.92499999999"/>
    <n v="85644.553"/>
    <n v="89133.162999999986"/>
    <n v="111911.75200000002"/>
    <n v="110588.76600000002"/>
    <n v="69550.974999999991"/>
    <n v="35466.881000000001"/>
    <n v="730707.74400000006"/>
    <n v="15366.233999999999"/>
  </r>
  <r>
    <n v="26950.145999999997"/>
    <n v="60017.729000000007"/>
    <n v="81278.62999999999"/>
    <n v="64655.152999999991"/>
    <n v="63089.375999999989"/>
    <n v="80573.314999999988"/>
    <n v="83937.842999999993"/>
    <n v="54930.506000000008"/>
    <n v="27402.936000000005"/>
    <n v="542835.63399999996"/>
    <n v="12719.062000000002"/>
  </r>
  <r>
    <n v="32093"/>
    <n v="72496"/>
    <n v="92808"/>
    <n v="74877"/>
    <n v="74671"/>
    <n v="93129"/>
    <n v="101817"/>
    <n v="69213"/>
    <n v="32302"/>
    <n v="643406"/>
    <n v="14061"/>
  </r>
  <r>
    <n v="520160.201"/>
    <n v="992039.69600000023"/>
    <n v="1108231.0219999999"/>
    <n v="1040514.4959999997"/>
    <n v="1141703.4109999998"/>
    <n v="1134931.9290000002"/>
    <n v="847941.7999999997"/>
    <n v="489290.29199999978"/>
    <n v="299651.77899999992"/>
    <n v="7574464.6259999992"/>
    <n v="111586.35300000006"/>
  </r>
  <r>
    <n v="491480.57300000015"/>
    <n v="980611.00600000005"/>
    <n v="1065176.642"/>
    <n v="1020824.8029999998"/>
    <n v="1108666.9980000001"/>
    <n v="1146428.6980000001"/>
    <n v="868867.44900000014"/>
    <n v="492348.85199999984"/>
    <n v="289073.95099999988"/>
    <n v="7463478.9719999991"/>
    <n v="107965.701"/>
  </r>
  <r>
    <n v="508880.315"/>
    <n v="1017991.3870000001"/>
    <n v="1117069.1209999998"/>
    <n v="1071799.1509999998"/>
    <n v="1126467.4209999996"/>
    <n v="1193534.9299999997"/>
    <n v="927378.223"/>
    <n v="531499.228"/>
    <n v="302107.88100000011"/>
    <n v="7796727.6569999997"/>
    <n v="117058.30799999998"/>
  </r>
  <r>
    <n v="484483.03699999989"/>
    <n v="979830.39500000002"/>
    <n v="1067079.6940000006"/>
    <n v="1040960.1819999996"/>
    <n v="1065642.9179999998"/>
    <n v="1147663.7379999999"/>
    <n v="909371.35099999991"/>
    <n v="526110.321"/>
    <n v="289142.07600000006"/>
    <n v="7510283.7120000003"/>
    <n v="114265.446"/>
  </r>
  <r>
    <n v="514047.91599999997"/>
    <n v="1039829.0399999998"/>
    <n v="1111505.6909999996"/>
    <n v="1111687.7919999997"/>
    <n v="1102910.8250000002"/>
    <n v="1202101.9550000001"/>
    <n v="978937.39600000018"/>
    <n v="582322.78"/>
    <n v="309379.87400000013"/>
    <n v="7952723.2690000003"/>
    <n v="125104.54800000004"/>
  </r>
  <r>
    <n v="504885.02699999994"/>
    <n v="1031533.0980000003"/>
    <n v="1120390.7050000003"/>
    <n v="1121477.3060000001"/>
    <n v="1089345.2340000004"/>
    <n v="1190254.5730000001"/>
    <n v="1002775.7540000001"/>
    <n v="612465.08700000052"/>
    <n v="310641.24000000017"/>
    <n v="7983768.0240000011"/>
    <n v="129442.75900000002"/>
  </r>
  <r>
    <n v="519156.76800000004"/>
    <n v="1053620.382"/>
    <n v="1150864.8640000001"/>
    <n v="1162712.5460000003"/>
    <n v="1102699.5280000002"/>
    <n v="1195958.9739999999"/>
    <n v="1033636.951"/>
    <n v="645862.08500000008"/>
    <n v="323496.64199999999"/>
    <n v="8188008.7400000012"/>
    <n v="138347.98799999995"/>
  </r>
  <r>
    <n v="504927.08199999988"/>
    <n v="1028817.1699999998"/>
    <n v="1129045.1639999999"/>
    <n v="1143409.2350000003"/>
    <n v="1080543.0089999998"/>
    <n v="1159132.4720000005"/>
    <n v="1022770.4740000006"/>
    <n v="658056.87000000023"/>
    <n v="319672.10800000001"/>
    <n v="8046373.5839999998"/>
    <n v="132259.74100000004"/>
  </r>
  <r>
    <n v="504724"/>
    <n v="1028939"/>
    <n v="1121874"/>
    <n v="1149295"/>
    <n v="1080076"/>
    <n v="1149272"/>
    <n v="1038827"/>
    <n v="684948"/>
    <n v="330496"/>
    <n v="8088451"/>
    <n v="137011"/>
  </r>
  <r>
    <n v="431513.32899999997"/>
    <n v="844117.80799999984"/>
    <n v="900477.19400000013"/>
    <n v="895432.0340000001"/>
    <n v="922174.39899999998"/>
    <n v="972846.60000000021"/>
    <n v="738332.50100000016"/>
    <n v="400285.478"/>
    <n v="255177.58699999994"/>
    <n v="6360356.9300000016"/>
    <n v="103078.38500000001"/>
  </r>
  <r>
    <n v="425379.18200000009"/>
    <n v="853474.2100000002"/>
    <n v="915993.04799999995"/>
    <n v="895183.06699999992"/>
    <n v="921788.9049999998"/>
    <n v="977533.29300000018"/>
    <n v="774018.30899999978"/>
    <n v="415531.68199999997"/>
    <n v="253453.77699999997"/>
    <n v="6432355.4729999993"/>
    <n v="106946.40900000001"/>
  </r>
  <r>
    <n v="431446.04999999993"/>
    <n v="858672.20100000012"/>
    <n v="921586.12300000002"/>
    <n v="915263.39800000028"/>
    <n v="912897.66399999999"/>
    <n v="978297.68700000003"/>
    <n v="805824.68099999987"/>
    <n v="437026.83799999999"/>
    <n v="256535.08400000003"/>
    <n v="6517549.7260000007"/>
    <n v="111299.74999999999"/>
  </r>
  <r>
    <n v="439010.62700000004"/>
    <n v="868375.25599999994"/>
    <n v="931726.18500000006"/>
    <n v="943523.18099999975"/>
    <n v="916011.49700000009"/>
    <n v="985833.85600000003"/>
    <n v="840025.50900000008"/>
    <n v="466808.01599999995"/>
    <n v="260373.06199999998"/>
    <n v="6651687.1889999993"/>
    <n v="114731.89100000002"/>
  </r>
  <r>
    <n v="439044.24399999995"/>
    <n v="867937.19799999997"/>
    <n v="926967.89999999979"/>
    <n v="953260.40600000019"/>
    <n v="907758.80099999986"/>
    <n v="966288.59899999993"/>
    <n v="854229.29600000009"/>
    <n v="486829.64400000003"/>
    <n v="257823.16100000002"/>
    <n v="6660139.2490000008"/>
    <n v="117463.72899999996"/>
  </r>
  <r>
    <n v="446753.47199999995"/>
    <n v="884069.02299999993"/>
    <n v="935517.06399999966"/>
    <n v="983400.26099999982"/>
    <n v="916947.79300000006"/>
    <n v="968526.49199999985"/>
    <n v="884994.39799999993"/>
    <n v="525244.91900000011"/>
    <n v="264004.97399999999"/>
    <n v="6809458.3959999997"/>
    <n v="124059.68500000001"/>
  </r>
  <r>
    <n v="442528.08699999994"/>
    <n v="878668.0700000003"/>
    <n v="925867.83100000012"/>
    <n v="1001145.6440000001"/>
    <n v="917728.92599999986"/>
    <n v="952543.77899999986"/>
    <n v="889665.69200000004"/>
    <n v="546893.04999999981"/>
    <n v="265424.64100000006"/>
    <n v="6820465.7199999997"/>
    <n v="124771.148"/>
  </r>
  <r>
    <n v="443365.13500000001"/>
    <n v="882630.18600000022"/>
    <n v="924086.68499999982"/>
    <n v="1015086.5590000001"/>
    <n v="915660.19500000007"/>
    <n v="945953.46200000017"/>
    <n v="902154.277"/>
    <n v="577679.47100000014"/>
    <n v="271587.99799999996"/>
    <n v="6878203.9680000003"/>
    <n v="124636.997"/>
  </r>
  <r>
    <n v="442652"/>
    <n v="887651"/>
    <n v="917135"/>
    <n v="1042519"/>
    <n v="930595"/>
    <n v="942242"/>
    <n v="919015"/>
    <n v="612201"/>
    <n v="280157"/>
    <n v="6974167"/>
    <n v="125907"/>
  </r>
  <r>
    <n v="103052.72900000001"/>
    <n v="207112.391"/>
    <n v="235779.26299999995"/>
    <n v="217248.19099999993"/>
    <n v="236580.52999999997"/>
    <n v="268575.61499999993"/>
    <n v="228272.58100000012"/>
    <n v="143809.76699999999"/>
    <n v="96775.189999999988"/>
    <n v="1737206.2569999998"/>
    <n v="35053.653000000013"/>
  </r>
  <r>
    <n v="106657.22100000001"/>
    <n v="220851.78999999995"/>
    <n v="246092.24899999995"/>
    <n v="225325.06099999999"/>
    <n v="247463.10300000003"/>
    <n v="284961.42700000003"/>
    <n v="253306.49899999995"/>
    <n v="159360.05500000002"/>
    <n v="101273.91899999999"/>
    <n v="1845291.3239999996"/>
    <n v="35991.769000000015"/>
  </r>
  <r>
    <n v="103008.74000000002"/>
    <n v="211896.30299999993"/>
    <n v="237660.94400000002"/>
    <n v="214922.45499999993"/>
    <n v="234576.71600000001"/>
    <n v="270662.76400000002"/>
    <n v="250878.84699999995"/>
    <n v="156961.01799999995"/>
    <n v="96926.139999999985"/>
    <n v="1777493.9269999997"/>
    <n v="35867.094000000012"/>
  </r>
  <r>
    <n v="102740.90699999998"/>
    <n v="211864.43600000007"/>
    <n v="234155.59899999993"/>
    <n v="213814.60800000004"/>
    <n v="228370.03199999998"/>
    <n v="261112.84199999998"/>
    <n v="248115.10600000006"/>
    <n v="156890.64599999995"/>
    <n v="92547.417999999991"/>
    <n v="1749611.5940000003"/>
    <n v="35308.166000000012"/>
  </r>
  <r>
    <n v="104006.58899999999"/>
    <n v="216715.171"/>
    <n v="239772.72500000001"/>
    <n v="221179.50999999998"/>
    <n v="237084.77499999991"/>
    <n v="273507.37899999996"/>
    <n v="269729.33100000001"/>
    <n v="169285.61000000002"/>
    <n v="98034.27900000001"/>
    <n v="1829315.3689999999"/>
    <n v="37013.311999999998"/>
  </r>
  <r>
    <n v="108577.28500000003"/>
    <n v="223260.63299999991"/>
    <n v="245379.07400000005"/>
    <n v="228330.62499999994"/>
    <n v="239359.98599999998"/>
    <n v="271149.19"/>
    <n v="280810.08399999997"/>
    <n v="182525.70899999994"/>
    <n v="101930.43300000002"/>
    <n v="1881323.0189999999"/>
    <n v="40147.676999999989"/>
  </r>
  <r>
    <n v="94981.095999999976"/>
    <n v="195820.99499999997"/>
    <n v="220865.08000000002"/>
    <n v="200473.13200000001"/>
    <n v="207663.67199999996"/>
    <n v="231586.53500000003"/>
    <n v="240584.99899999995"/>
    <n v="161310.69999999998"/>
    <n v="87311.702000000005"/>
    <n v="1640597.9109999996"/>
    <n v="36338.036000000007"/>
  </r>
  <r>
    <n v="102524.13400000003"/>
    <n v="212908.90199999997"/>
    <n v="233946.13500000004"/>
    <n v="218566.27200000006"/>
    <n v="225459.24699999997"/>
    <n v="248462.54999999993"/>
    <n v="262769.85000000003"/>
    <n v="184996.07299999997"/>
    <n v="96566.765000000014"/>
    <n v="1786199.9280000003"/>
    <n v="37528.494999999988"/>
  </r>
  <r>
    <n v="97919"/>
    <n v="207767"/>
    <n v="224618"/>
    <n v="213472"/>
    <n v="214790"/>
    <n v="237863"/>
    <n v="257692"/>
    <n v="187986"/>
    <n v="97923"/>
    <n v="1740030"/>
    <n v="37589"/>
  </r>
  <r>
    <n v="356612.68"/>
    <n v="723103.33299999975"/>
    <n v="826691.03999999992"/>
    <n v="687415.73300000036"/>
    <n v="786252.96199999994"/>
    <n v="860910.71599999978"/>
    <n v="620627.3670000002"/>
    <n v="369176.98999999993"/>
    <n v="261492.45700000011"/>
    <n v="5492283.2780000009"/>
    <n v="108896.36799999999"/>
  </r>
  <r>
    <n v="352802.071"/>
    <n v="741260.86800000002"/>
    <n v="795699.28099999996"/>
    <n v="697098.72800000012"/>
    <n v="758612.44600000011"/>
    <n v="861930.98699999996"/>
    <n v="647185.86399999994"/>
    <n v="374887.33299999993"/>
    <n v="259910.94900000002"/>
    <n v="5489388.5269999998"/>
    <n v="110653.67700000001"/>
  </r>
  <r>
    <n v="342937.75700000004"/>
    <n v="716424.82899999991"/>
    <n v="769875.56700000027"/>
    <n v="686946.38899999997"/>
    <n v="717252.41899999988"/>
    <n v="832210.02500000014"/>
    <n v="650993.71100000001"/>
    <n v="372765.93699999992"/>
    <n v="251435.00600000005"/>
    <n v="5340841.6400000006"/>
    <n v="109637.28299999998"/>
  </r>
  <r>
    <n v="372734.53100000002"/>
    <n v="779805.79099999974"/>
    <n v="826314.68299999973"/>
    <n v="753507.29700000025"/>
    <n v="763540.5149999999"/>
    <n v="909270.14900000009"/>
    <n v="743279.62800000026"/>
    <n v="427679.75600000005"/>
    <n v="273361.77899999998"/>
    <n v="5849494.1290000007"/>
    <n v="121166.33599999995"/>
  </r>
  <r>
    <n v="345495.31899999996"/>
    <n v="728173.12999999977"/>
    <n v="777201.20999999985"/>
    <n v="715220.52500000002"/>
    <n v="702748.81600000022"/>
    <n v="842062.28800000018"/>
    <n v="709697.55999999994"/>
    <n v="408751.78399999987"/>
    <n v="252233.97000000003"/>
    <n v="5481584.601999999"/>
    <n v="117273.65499999998"/>
  </r>
  <r>
    <n v="344165.7080000001"/>
    <n v="734668.0560000001"/>
    <n v="783003.67099999974"/>
    <n v="724271.63100000017"/>
    <n v="698781.62099999981"/>
    <n v="840070.8520000003"/>
    <n v="741174.67699999979"/>
    <n v="435391.01"/>
    <n v="258240.84299999999"/>
    <n v="5559768.0690000001"/>
    <n v="120649.95100000002"/>
  </r>
  <r>
    <n v="342008.89399999997"/>
    <n v="731318.73699999996"/>
    <n v="787011.92599999986"/>
    <n v="729174.46100000001"/>
    <n v="695763.66299999983"/>
    <n v="822600.08900000015"/>
    <n v="757189.6"/>
    <n v="457661.91899999994"/>
    <n v="259861.66600000011"/>
    <n v="5582590.9550000001"/>
    <n v="121939.39099999999"/>
  </r>
  <r>
    <n v="339130.30900000001"/>
    <n v="731300.22200000018"/>
    <n v="785299.5190000002"/>
    <n v="724944.37999999989"/>
    <n v="687993.98299999989"/>
    <n v="804035.45599999989"/>
    <n v="765383.67100000009"/>
    <n v="474602.10699999996"/>
    <n v="257183.75200000004"/>
    <n v="5569873.3990000002"/>
    <n v="122997.08700000007"/>
  </r>
  <r>
    <n v="341261"/>
    <n v="740143"/>
    <n v="792281"/>
    <n v="738604"/>
    <n v="702893"/>
    <n v="806048"/>
    <n v="802186"/>
    <n v="513232"/>
    <n v="269252"/>
    <n v="5705900"/>
    <n v="126275"/>
  </r>
  <r>
    <n v="35722.439000000006"/>
    <n v="67029.884000000005"/>
    <n v="80415.207000000009"/>
    <n v="67060.034"/>
    <n v="64126.428"/>
    <n v="81240.143999999986"/>
    <n v="61507.877999999997"/>
    <n v="33323.114999999998"/>
    <n v="21280.575999999997"/>
    <n v="511705.70499999996"/>
    <n v="7882.1490000000003"/>
  </r>
  <r>
    <n v="40494.825000000004"/>
    <n v="77715.874999999985"/>
    <n v="88851.178"/>
    <n v="77156.800999999992"/>
    <n v="73259.838999999993"/>
    <n v="93035.099999999991"/>
    <n v="74793.721999999994"/>
    <n v="41131.65"/>
    <n v="24625.828999999994"/>
    <n v="591064.8189999999"/>
    <n v="9434.969000000001"/>
  </r>
  <r>
    <n v="45915.47"/>
    <n v="84792.402999999991"/>
    <n v="91280.776000000027"/>
    <n v="86544.811999999991"/>
    <n v="76519.243999999992"/>
    <n v="93801.688999999998"/>
    <n v="78728.544999999984"/>
    <n v="42336.460999999996"/>
    <n v="24834.790000000005"/>
    <n v="624754.19000000006"/>
    <n v="9252.020999999997"/>
  </r>
  <r>
    <n v="49010.877000000015"/>
    <n v="94064.870999999985"/>
    <n v="100166.54399999999"/>
    <n v="95369.759000000005"/>
    <n v="86695.840000000011"/>
    <n v="105041.95300000001"/>
    <n v="93464.829000000027"/>
    <n v="52432.534"/>
    <n v="29317.275999999994"/>
    <n v="705564.48300000001"/>
    <n v="11632.696"/>
  </r>
  <r>
    <n v="38707.881000000001"/>
    <n v="75759.210999999996"/>
    <n v="78987.667000000001"/>
    <n v="76794.134999999995"/>
    <n v="67701.121999999988"/>
    <n v="79644.967000000004"/>
    <n v="76243.84599999999"/>
    <n v="41835.700000000004"/>
    <n v="22436.706000000002"/>
    <n v="558111.23499999999"/>
    <n v="8757.4509999999991"/>
  </r>
  <r>
    <n v="42941.430999999997"/>
    <n v="85763.886999999988"/>
    <n v="90180.114999999991"/>
    <n v="90796.286000000007"/>
    <n v="78030.465000000011"/>
    <n v="88806.283999999971"/>
    <n v="88308.285000000003"/>
    <n v="51068.714000000007"/>
    <n v="27424.261999999999"/>
    <n v="643319.72900000005"/>
    <n v="10953.800000000001"/>
  </r>
  <r>
    <n v="39527.417000000001"/>
    <n v="79470.554000000018"/>
    <n v="83521.739999999976"/>
    <n v="84054.645999999979"/>
    <n v="73225.517999999996"/>
    <n v="80365.710000000036"/>
    <n v="83839.366999999998"/>
    <n v="48198.788999999982"/>
    <n v="24389.503000000008"/>
    <n v="596593.24399999995"/>
    <n v="9883.5869999999995"/>
  </r>
  <r>
    <n v="35176.455000000002"/>
    <n v="73714.14899999999"/>
    <n v="70389.62"/>
    <n v="71218.364000000016"/>
    <n v="64976.394"/>
    <n v="68859.576000000001"/>
    <n v="75210.060999999987"/>
    <n v="47088.686999999998"/>
    <n v="23758.260999999999"/>
    <n v="530391.56699999992"/>
    <n v="9213.5969999999998"/>
  </r>
  <r>
    <n v="39641"/>
    <n v="83314"/>
    <n v="85784"/>
    <n v="86765"/>
    <n v="74910"/>
    <n v="76858"/>
    <n v="88143"/>
    <n v="55233"/>
    <n v="26931"/>
    <n v="617579"/>
    <n v="105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D3BC7-0E46-3D47-ADB5-F07540D8D4A7}" name="PivotTable78" cacheId="4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J4" firstHeaderRow="0" firstDataRow="1" firstDataCol="0"/>
  <pivotFields count="14"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&lt; 5 years" fld="3" baseField="0" baseItem="0"/>
    <dataField name="Sum of 5-14 years" fld="4" baseField="0" baseItem="0"/>
    <dataField name="Sum of 15-24 years" fld="5" baseField="0" baseItem="0"/>
    <dataField name="Sum of 25-34 years" fld="6" baseField="0" baseItem="0"/>
    <dataField name="Sum of 35-44 years" fld="7" baseField="0" baseItem="0"/>
    <dataField name="Sum of 45-54 years" fld="8" baseField="0" baseItem="0"/>
    <dataField name="Sum of 55-64 years" fld="9" baseField="0" baseItem="0"/>
    <dataField name="Sum of 65-74 years" fld="10" baseField="0" baseItem="0"/>
    <dataField name="Sum of 75-84 years" fld="11" baseField="0" baseItem="0"/>
    <dataField name="Sum of 85+ years" fld="12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37585-4B30-C74B-A3B7-056EBE92C68D}" name="PivotTable79" cacheId="4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J4" firstHeaderRow="0" firstDataRow="1" firstDataCol="0"/>
  <pivotFields count="11"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  <pivotField dataField="1" numFmtId="164" showAll="0"/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&lt; 5 years" fld="0" baseField="0" baseItem="0" numFmtId="164"/>
    <dataField name="Sum of 5-14 years" fld="1" baseField="0" baseItem="0" numFmtId="164"/>
    <dataField name="Sum of 15-24 years" fld="2" baseField="0" baseItem="0" numFmtId="164"/>
    <dataField name="Sum of 25-34 years" fld="3" baseField="0" baseItem="0" numFmtId="164"/>
    <dataField name="Sum of 35-44 years" fld="4" baseField="0" baseItem="0" numFmtId="164"/>
    <dataField name="Sum of 45-54 years" fld="5" baseField="0" baseItem="0" numFmtId="164"/>
    <dataField name="Sum of 55-64 years" fld="6" baseField="0" baseItem="0" numFmtId="164"/>
    <dataField name="Sum of 65-74 years" fld="7" baseField="0" baseItem="0" numFmtId="164"/>
    <dataField name="Sum of 75-84 years" fld="8" baseField="0" baseItem="0" numFmtId="164"/>
    <dataField name="Sum of 85+ years" fld="10" baseField="0" baseItem="0" numFmtId="164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3FFB1-76A3-1244-969D-09DADA44AD6B}">
  <dimension ref="A1:AN470"/>
  <sheetViews>
    <sheetView topLeftCell="C1" workbookViewId="0">
      <selection activeCell="X4" sqref="X4"/>
    </sheetView>
  </sheetViews>
  <sheetFormatPr baseColWidth="10" defaultRowHeight="16" x14ac:dyDescent="0.2"/>
  <cols>
    <col min="1" max="1" width="21" bestFit="1" customWidth="1"/>
    <col min="2" max="2" width="7.33203125" bestFit="1" customWidth="1"/>
    <col min="3" max="3" width="23.83203125" customWidth="1"/>
    <col min="4" max="10" width="11" bestFit="1" customWidth="1"/>
    <col min="11" max="11" width="12.5" style="17" customWidth="1"/>
    <col min="12" max="13" width="12.5" style="29" customWidth="1"/>
    <col min="14" max="14" width="11" bestFit="1" customWidth="1"/>
    <col min="15" max="15" width="11" style="17" customWidth="1"/>
    <col min="16" max="16" width="11" bestFit="1" customWidth="1"/>
    <col min="17" max="23" width="13" bestFit="1" customWidth="1"/>
    <col min="24" max="26" width="13" style="17" customWidth="1"/>
    <col min="27" max="27" width="11.5" bestFit="1" customWidth="1"/>
    <col min="28" max="28" width="11.5" style="17" customWidth="1"/>
    <col min="29" max="29" width="17.83203125" customWidth="1"/>
    <col min="31" max="31" width="11.1640625" bestFit="1" customWidth="1"/>
    <col min="33" max="33" width="12.1640625" bestFit="1" customWidth="1"/>
    <col min="40" max="40" width="13.83203125" bestFit="1" customWidth="1"/>
  </cols>
  <sheetData>
    <row r="1" spans="1:40" ht="26" customHeight="1" x14ac:dyDescent="0.35">
      <c r="D1" s="1"/>
      <c r="E1" s="1"/>
      <c r="F1" s="1"/>
      <c r="G1" s="1"/>
      <c r="H1" s="1" t="s">
        <v>0</v>
      </c>
      <c r="I1" s="1"/>
      <c r="J1" s="1"/>
      <c r="K1" s="14"/>
      <c r="L1" s="27"/>
      <c r="M1" s="27"/>
      <c r="N1" s="1"/>
      <c r="O1" s="14"/>
      <c r="P1" s="1"/>
      <c r="Q1" s="12" t="s">
        <v>1</v>
      </c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 t="s">
        <v>2</v>
      </c>
      <c r="AE1" s="13"/>
      <c r="AF1" s="13"/>
      <c r="AG1" s="13"/>
      <c r="AH1" s="13"/>
      <c r="AI1" s="13"/>
      <c r="AJ1" s="13"/>
      <c r="AK1" s="13"/>
      <c r="AL1" s="13"/>
      <c r="AM1" s="13"/>
      <c r="AN1" s="13"/>
    </row>
    <row r="2" spans="1:40" x14ac:dyDescent="0.2">
      <c r="A2" t="s">
        <v>3</v>
      </c>
      <c r="B2" t="s">
        <v>4</v>
      </c>
      <c r="C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15" t="s">
        <v>568</v>
      </c>
      <c r="L2" s="2" t="s">
        <v>13</v>
      </c>
      <c r="M2" s="2" t="s">
        <v>14</v>
      </c>
      <c r="N2" s="2" t="s">
        <v>15</v>
      </c>
      <c r="O2" s="15" t="s">
        <v>569</v>
      </c>
      <c r="P2" s="2" t="s">
        <v>16</v>
      </c>
      <c r="Q2" s="3" t="s">
        <v>6</v>
      </c>
      <c r="R2" s="4" t="s">
        <v>7</v>
      </c>
      <c r="S2" s="4" t="s">
        <v>8</v>
      </c>
      <c r="T2" s="4" t="s">
        <v>9</v>
      </c>
      <c r="U2" s="4" t="s">
        <v>10</v>
      </c>
      <c r="V2" s="4" t="s">
        <v>11</v>
      </c>
      <c r="W2" s="4" t="s">
        <v>12</v>
      </c>
      <c r="X2" s="19" t="s">
        <v>571</v>
      </c>
      <c r="Y2" s="4" t="s">
        <v>13</v>
      </c>
      <c r="Z2" s="4" t="s">
        <v>14</v>
      </c>
      <c r="AA2" s="4" t="s">
        <v>15</v>
      </c>
      <c r="AB2" s="19" t="s">
        <v>570</v>
      </c>
      <c r="AC2" s="4" t="s">
        <v>17</v>
      </c>
      <c r="AD2" s="5" t="s">
        <v>6</v>
      </c>
      <c r="AE2" s="6" t="s">
        <v>7</v>
      </c>
      <c r="AF2" s="6" t="s">
        <v>8</v>
      </c>
      <c r="AG2" s="6" t="s">
        <v>9</v>
      </c>
      <c r="AH2" s="6" t="s">
        <v>10</v>
      </c>
      <c r="AI2" s="6" t="s">
        <v>11</v>
      </c>
      <c r="AJ2" s="6" t="s">
        <v>12</v>
      </c>
      <c r="AK2" s="6" t="s">
        <v>13</v>
      </c>
      <c r="AL2" s="6" t="s">
        <v>14</v>
      </c>
      <c r="AM2" s="6" t="s">
        <v>15</v>
      </c>
      <c r="AN2" s="6" t="s">
        <v>17</v>
      </c>
    </row>
    <row r="3" spans="1:40" x14ac:dyDescent="0.2">
      <c r="A3" t="s">
        <v>18</v>
      </c>
      <c r="B3">
        <v>2009</v>
      </c>
      <c r="C3" t="s">
        <v>19</v>
      </c>
      <c r="D3" s="7">
        <v>86</v>
      </c>
      <c r="E3" s="7">
        <v>55</v>
      </c>
      <c r="F3" s="7">
        <v>69</v>
      </c>
      <c r="G3" s="7">
        <v>53</v>
      </c>
      <c r="H3" s="7">
        <v>68</v>
      </c>
      <c r="I3" s="7">
        <v>60</v>
      </c>
      <c r="J3" s="7">
        <v>73</v>
      </c>
      <c r="K3" s="16">
        <f>SUM(D3:J3)</f>
        <v>464</v>
      </c>
      <c r="L3" s="28">
        <v>110</v>
      </c>
      <c r="M3" s="28">
        <v>261</v>
      </c>
      <c r="N3" s="7">
        <v>356</v>
      </c>
      <c r="O3" s="16">
        <f>SUM(L3:N3)</f>
        <v>727</v>
      </c>
      <c r="P3" s="7">
        <v>1191</v>
      </c>
      <c r="Q3" s="7">
        <v>313461.973</v>
      </c>
      <c r="R3" s="7">
        <v>630249.62199999997</v>
      </c>
      <c r="S3" s="7">
        <v>666388.58499999985</v>
      </c>
      <c r="T3" s="7">
        <v>612761.47900000005</v>
      </c>
      <c r="U3" s="7">
        <v>642363.69299999985</v>
      </c>
      <c r="V3" s="7">
        <v>677823.44000000029</v>
      </c>
      <c r="W3" s="7">
        <v>534879.98899999983</v>
      </c>
      <c r="X3" s="16">
        <f>SUM(Q3:W3)</f>
        <v>4077928.7810000004</v>
      </c>
      <c r="Y3" s="28">
        <v>341648.00099999999</v>
      </c>
      <c r="Z3" s="28">
        <v>217111.679</v>
      </c>
      <c r="AA3" s="7">
        <v>77806.246000000014</v>
      </c>
      <c r="AB3" s="16">
        <f>SUM(Y3:AA3)</f>
        <v>636565.92599999998</v>
      </c>
      <c r="AC3" s="7">
        <v>4714494.7070000013</v>
      </c>
      <c r="AD3" s="8">
        <v>2.743554478935153E-4</v>
      </c>
      <c r="AE3" s="8">
        <v>8.7267009895961508E-5</v>
      </c>
      <c r="AF3" s="8">
        <v>1.0354319019435187E-4</v>
      </c>
      <c r="AG3" s="8">
        <v>8.6493687701279264E-5</v>
      </c>
      <c r="AH3" s="8">
        <v>1.058590339725194E-4</v>
      </c>
      <c r="AI3" s="8">
        <v>8.8518626620525212E-5</v>
      </c>
      <c r="AJ3" s="8">
        <v>1.3647921309690279E-4</v>
      </c>
      <c r="AK3" s="8">
        <v>3.2196880906087901E-4</v>
      </c>
      <c r="AL3" s="8">
        <v>1.2021462926460073E-3</v>
      </c>
      <c r="AM3" s="8">
        <v>4.575468144292682E-3</v>
      </c>
      <c r="AN3" s="8">
        <v>2.5262516431116648E-4</v>
      </c>
    </row>
    <row r="4" spans="1:40" x14ac:dyDescent="0.2">
      <c r="A4" t="s">
        <v>18</v>
      </c>
      <c r="B4">
        <v>2010</v>
      </c>
      <c r="C4" t="s">
        <v>20</v>
      </c>
      <c r="D4" s="7">
        <v>131</v>
      </c>
      <c r="E4" s="7">
        <v>62</v>
      </c>
      <c r="F4" s="7">
        <v>63</v>
      </c>
      <c r="G4" s="7">
        <v>38</v>
      </c>
      <c r="H4" s="7">
        <v>55</v>
      </c>
      <c r="I4" s="7">
        <v>57</v>
      </c>
      <c r="J4" s="7">
        <v>73</v>
      </c>
      <c r="K4" s="16">
        <f>SUM(D4:J4)</f>
        <v>479</v>
      </c>
      <c r="L4" s="28">
        <v>157</v>
      </c>
      <c r="M4" s="28">
        <v>263</v>
      </c>
      <c r="N4" s="7">
        <v>348</v>
      </c>
      <c r="O4" s="16">
        <f t="shared" ref="O4:O67" si="0">SUM(L4:N4)</f>
        <v>768</v>
      </c>
      <c r="P4" s="7">
        <v>1247</v>
      </c>
      <c r="Q4" s="7">
        <v>312439.16499999992</v>
      </c>
      <c r="R4" s="7">
        <v>648489.67900000024</v>
      </c>
      <c r="S4" s="7">
        <v>693474.40099999995</v>
      </c>
      <c r="T4" s="7">
        <v>617886.18599999987</v>
      </c>
      <c r="U4" s="7">
        <v>653877.49400000006</v>
      </c>
      <c r="V4" s="7">
        <v>706558.674</v>
      </c>
      <c r="W4" s="7">
        <v>574930.12699999998</v>
      </c>
      <c r="X4" s="16">
        <f>SUM(Q4:W4)</f>
        <v>4207655.7259999998</v>
      </c>
      <c r="Y4" s="28">
        <v>366249.07199999981</v>
      </c>
      <c r="Z4" s="28">
        <v>214827.42199999999</v>
      </c>
      <c r="AA4" s="7">
        <v>76841.016999999978</v>
      </c>
      <c r="AB4" s="16">
        <f t="shared" ref="AB4:AB67" si="1">SUM(Y4:AA4)</f>
        <v>657917.51099999982</v>
      </c>
      <c r="AC4" s="7">
        <v>4865573.2369999997</v>
      </c>
      <c r="AD4" s="8">
        <v>4.1928162239199441E-4</v>
      </c>
      <c r="AE4" s="8">
        <v>9.5606764467873626E-5</v>
      </c>
      <c r="AF4" s="8">
        <v>9.0846900634187946E-5</v>
      </c>
      <c r="AG4" s="8">
        <v>6.1499999289513173E-5</v>
      </c>
      <c r="AH4" s="8">
        <v>8.411361532501376E-5</v>
      </c>
      <c r="AI4" s="8">
        <v>8.0672705746161425E-5</v>
      </c>
      <c r="AJ4" s="8">
        <v>1.2697195114981337E-4</v>
      </c>
      <c r="AK4" s="8">
        <v>4.2867002813866536E-4</v>
      </c>
      <c r="AL4" s="8">
        <v>1.2242384959588633E-3</v>
      </c>
      <c r="AM4" s="8">
        <v>4.5288312620849367E-3</v>
      </c>
      <c r="AN4" s="8">
        <v>2.5629045936812812E-4</v>
      </c>
    </row>
    <row r="5" spans="1:40" x14ac:dyDescent="0.2">
      <c r="A5" t="s">
        <v>18</v>
      </c>
      <c r="B5">
        <v>2011</v>
      </c>
      <c r="C5" t="s">
        <v>21</v>
      </c>
      <c r="D5" s="7">
        <v>95</v>
      </c>
      <c r="E5" s="7">
        <v>55</v>
      </c>
      <c r="F5" s="7">
        <v>63</v>
      </c>
      <c r="G5" s="7">
        <v>47</v>
      </c>
      <c r="H5" s="7">
        <v>42</v>
      </c>
      <c r="I5" s="7">
        <v>57</v>
      </c>
      <c r="J5" s="7">
        <v>80</v>
      </c>
      <c r="K5" s="16">
        <f>SUM(D5:J5)</f>
        <v>439</v>
      </c>
      <c r="L5" s="28">
        <v>130</v>
      </c>
      <c r="M5" s="28">
        <v>292</v>
      </c>
      <c r="N5" s="7">
        <v>348</v>
      </c>
      <c r="O5" s="16">
        <f t="shared" si="0"/>
        <v>770</v>
      </c>
      <c r="P5" s="7">
        <v>1209</v>
      </c>
      <c r="Q5" s="7">
        <v>322372.92200000014</v>
      </c>
      <c r="R5" s="7">
        <v>666087.80400000024</v>
      </c>
      <c r="S5" s="7">
        <v>729370.75499999989</v>
      </c>
      <c r="T5" s="7">
        <v>642169.58400000026</v>
      </c>
      <c r="U5" s="7">
        <v>666641.69099999988</v>
      </c>
      <c r="V5" s="7">
        <v>738126.62400000007</v>
      </c>
      <c r="W5" s="7">
        <v>617657.35000000009</v>
      </c>
      <c r="X5" s="16">
        <f>SUM(Q5:W5)</f>
        <v>4382426.7300000004</v>
      </c>
      <c r="Y5" s="28">
        <v>390500.00599999994</v>
      </c>
      <c r="Z5" s="28">
        <v>226963.753</v>
      </c>
      <c r="AA5" s="7">
        <v>81442.062000000005</v>
      </c>
      <c r="AB5" s="16">
        <f t="shared" si="1"/>
        <v>698905.821</v>
      </c>
      <c r="AC5" s="7">
        <v>5081332.551</v>
      </c>
      <c r="AD5" s="8">
        <v>2.9468976305646404E-4</v>
      </c>
      <c r="AE5" s="8">
        <v>8.2571696508648248E-5</v>
      </c>
      <c r="AF5" s="8">
        <v>8.6375824048497813E-5</v>
      </c>
      <c r="AG5" s="8">
        <v>7.3189389798318413E-5</v>
      </c>
      <c r="AH5" s="8">
        <v>6.3002360288924703E-5</v>
      </c>
      <c r="AI5" s="8">
        <v>7.7222522730734065E-5</v>
      </c>
      <c r="AJ5" s="8">
        <v>1.2952165144638849E-4</v>
      </c>
      <c r="AK5" s="8">
        <v>3.3290652497454767E-4</v>
      </c>
      <c r="AL5" s="8">
        <v>1.2865490464461962E-3</v>
      </c>
      <c r="AM5" s="8">
        <v>4.2729762908016739E-3</v>
      </c>
      <c r="AN5" s="8">
        <v>2.3792971388225128E-4</v>
      </c>
    </row>
    <row r="6" spans="1:40" x14ac:dyDescent="0.2">
      <c r="A6" t="s">
        <v>18</v>
      </c>
      <c r="B6">
        <v>2012</v>
      </c>
      <c r="C6" t="s">
        <v>22</v>
      </c>
      <c r="D6" s="7">
        <v>101</v>
      </c>
      <c r="E6" s="7">
        <v>49</v>
      </c>
      <c r="F6" s="7">
        <v>35</v>
      </c>
      <c r="G6" s="7">
        <v>64</v>
      </c>
      <c r="H6" s="7">
        <v>44</v>
      </c>
      <c r="I6" s="7">
        <v>59</v>
      </c>
      <c r="J6" s="7">
        <v>62</v>
      </c>
      <c r="K6" s="16">
        <f>SUM(D6:J6)</f>
        <v>414</v>
      </c>
      <c r="L6" s="28">
        <v>123</v>
      </c>
      <c r="M6" s="28">
        <v>270</v>
      </c>
      <c r="N6" s="7">
        <v>358</v>
      </c>
      <c r="O6" s="16">
        <f t="shared" si="0"/>
        <v>751</v>
      </c>
      <c r="P6" s="7">
        <v>1165</v>
      </c>
      <c r="Q6" s="7">
        <v>309366.07</v>
      </c>
      <c r="R6" s="7">
        <v>637460.32200000004</v>
      </c>
      <c r="S6" s="7">
        <v>687206.42799999996</v>
      </c>
      <c r="T6" s="7">
        <v>614914.95900000015</v>
      </c>
      <c r="U6" s="7">
        <v>629224.65299999993</v>
      </c>
      <c r="V6" s="7">
        <v>702691.35900000029</v>
      </c>
      <c r="W6" s="7">
        <v>604314.23499999987</v>
      </c>
      <c r="X6" s="16">
        <f>SUM(Q6:W6)</f>
        <v>4185178.0260000001</v>
      </c>
      <c r="Y6" s="28">
        <v>384670.60800000007</v>
      </c>
      <c r="Z6" s="28">
        <v>216927.48000000007</v>
      </c>
      <c r="AA6" s="7">
        <v>79572.686999999991</v>
      </c>
      <c r="AB6" s="16">
        <f t="shared" si="1"/>
        <v>681170.77500000014</v>
      </c>
      <c r="AC6" s="7">
        <v>4866348.8010000009</v>
      </c>
      <c r="AD6" s="8">
        <v>3.2647407002325753E-4</v>
      </c>
      <c r="AE6" s="8">
        <v>7.6867529333064896E-5</v>
      </c>
      <c r="AF6" s="8">
        <v>5.0930839081150158E-5</v>
      </c>
      <c r="AG6" s="8">
        <v>1.0407943255125785E-4</v>
      </c>
      <c r="AH6" s="8">
        <v>6.9927330072364484E-5</v>
      </c>
      <c r="AI6" s="8">
        <v>8.3962893871304849E-5</v>
      </c>
      <c r="AJ6" s="8">
        <v>1.0259563056627322E-4</v>
      </c>
      <c r="AK6" s="8">
        <v>3.1975408945203313E-4</v>
      </c>
      <c r="AL6" s="8">
        <v>1.2446555872036125E-3</v>
      </c>
      <c r="AM6" s="8">
        <v>4.4990311813901673E-3</v>
      </c>
      <c r="AN6" s="8">
        <v>2.3939919796965654E-4</v>
      </c>
    </row>
    <row r="7" spans="1:40" x14ac:dyDescent="0.2">
      <c r="A7" t="s">
        <v>18</v>
      </c>
      <c r="B7">
        <v>2013</v>
      </c>
      <c r="C7" t="s">
        <v>23</v>
      </c>
      <c r="D7" s="7">
        <v>101</v>
      </c>
      <c r="E7" s="7">
        <v>60</v>
      </c>
      <c r="F7" s="7">
        <v>53</v>
      </c>
      <c r="G7" s="7">
        <v>47</v>
      </c>
      <c r="H7" s="7">
        <v>59</v>
      </c>
      <c r="I7" s="7">
        <v>51</v>
      </c>
      <c r="J7" s="7">
        <v>109</v>
      </c>
      <c r="K7" s="16">
        <f>SUM(D7:J7)</f>
        <v>480</v>
      </c>
      <c r="L7" s="28">
        <v>135</v>
      </c>
      <c r="M7" s="28">
        <v>283</v>
      </c>
      <c r="N7" s="7">
        <v>381</v>
      </c>
      <c r="O7" s="16">
        <f t="shared" si="0"/>
        <v>799</v>
      </c>
      <c r="P7" s="7">
        <v>1279</v>
      </c>
      <c r="Q7" s="7">
        <v>304011.80100000004</v>
      </c>
      <c r="R7" s="7">
        <v>633387.603</v>
      </c>
      <c r="S7" s="7">
        <v>693259.45099999988</v>
      </c>
      <c r="T7" s="7">
        <v>619138.674</v>
      </c>
      <c r="U7" s="7">
        <v>620929.5199999999</v>
      </c>
      <c r="V7" s="7">
        <v>692805.71200000006</v>
      </c>
      <c r="W7" s="7">
        <v>615748.66899999976</v>
      </c>
      <c r="X7" s="16">
        <f>SUM(Q7:W7)</f>
        <v>4179281.4299999997</v>
      </c>
      <c r="Y7" s="28">
        <v>396294.59200000006</v>
      </c>
      <c r="Z7" s="28">
        <v>220396.19699999999</v>
      </c>
      <c r="AA7" s="7">
        <v>82020.393999999986</v>
      </c>
      <c r="AB7" s="16">
        <f t="shared" si="1"/>
        <v>698711.18300000008</v>
      </c>
      <c r="AC7" s="7">
        <v>4877992.6129999999</v>
      </c>
      <c r="AD7" s="8">
        <v>3.3222394547769541E-4</v>
      </c>
      <c r="AE7" s="8">
        <v>9.4728724900540871E-5</v>
      </c>
      <c r="AF7" s="8">
        <v>7.6450454333582544E-5</v>
      </c>
      <c r="AG7" s="8">
        <v>7.5911911133498346E-5</v>
      </c>
      <c r="AH7" s="8">
        <v>9.5018835632102025E-5</v>
      </c>
      <c r="AI7" s="8">
        <v>7.3613711776094595E-5</v>
      </c>
      <c r="AJ7" s="8">
        <v>1.770202770832137E-4</v>
      </c>
      <c r="AK7" s="8">
        <v>3.4065567061788212E-4</v>
      </c>
      <c r="AL7" s="8">
        <v>1.2840511944042302E-3</v>
      </c>
      <c r="AM7" s="8">
        <v>4.6451861716245851E-3</v>
      </c>
      <c r="AN7" s="8">
        <v>2.6219801903582755E-4</v>
      </c>
    </row>
    <row r="8" spans="1:40" x14ac:dyDescent="0.2">
      <c r="A8" t="s">
        <v>18</v>
      </c>
      <c r="B8">
        <v>2014</v>
      </c>
      <c r="C8" t="s">
        <v>24</v>
      </c>
      <c r="D8" s="7">
        <v>106</v>
      </c>
      <c r="E8" s="7">
        <v>56</v>
      </c>
      <c r="F8" s="7">
        <v>46</v>
      </c>
      <c r="G8" s="7">
        <v>72</v>
      </c>
      <c r="H8" s="7">
        <v>85</v>
      </c>
      <c r="I8" s="7">
        <v>85</v>
      </c>
      <c r="J8" s="7">
        <v>78</v>
      </c>
      <c r="K8" s="16">
        <f>SUM(D8:J8)</f>
        <v>528</v>
      </c>
      <c r="L8" s="28">
        <v>181</v>
      </c>
      <c r="M8" s="28">
        <v>261</v>
      </c>
      <c r="N8" s="7">
        <v>345</v>
      </c>
      <c r="O8" s="16">
        <f t="shared" si="0"/>
        <v>787</v>
      </c>
      <c r="P8" s="7">
        <v>1315</v>
      </c>
      <c r="Q8" s="7">
        <v>287832.99799999996</v>
      </c>
      <c r="R8" s="7">
        <v>600198.505</v>
      </c>
      <c r="S8" s="7">
        <v>649803.18599999999</v>
      </c>
      <c r="T8" s="7">
        <v>596994.65500000026</v>
      </c>
      <c r="U8" s="7">
        <v>587552.53699999989</v>
      </c>
      <c r="V8" s="7">
        <v>647491.15800000017</v>
      </c>
      <c r="W8" s="7">
        <v>587083.99699999997</v>
      </c>
      <c r="X8" s="16">
        <f>SUM(Q8:W8)</f>
        <v>3956957.0360000008</v>
      </c>
      <c r="Y8" s="28">
        <v>380790.53500000003</v>
      </c>
      <c r="Z8" s="28">
        <v>206634.05299999999</v>
      </c>
      <c r="AA8" s="7">
        <v>77027.340000000011</v>
      </c>
      <c r="AB8" s="16">
        <f t="shared" si="1"/>
        <v>664451.92799999996</v>
      </c>
      <c r="AC8" s="7">
        <v>4621408.9640000006</v>
      </c>
      <c r="AD8" s="8">
        <v>3.6826910304425906E-4</v>
      </c>
      <c r="AE8" s="8">
        <v>9.3302464990311834E-5</v>
      </c>
      <c r="AF8" s="8">
        <v>7.0790665529300742E-5</v>
      </c>
      <c r="AG8" s="8">
        <v>1.2060409485575708E-4</v>
      </c>
      <c r="AH8" s="8">
        <v>1.4466791418177473E-4</v>
      </c>
      <c r="AI8" s="8">
        <v>1.3127592392543524E-4</v>
      </c>
      <c r="AJ8" s="8">
        <v>1.3286003433679014E-4</v>
      </c>
      <c r="AK8" s="8">
        <v>4.7532694057114623E-4</v>
      </c>
      <c r="AL8" s="8">
        <v>1.2631025535757168E-3</v>
      </c>
      <c r="AM8" s="8">
        <v>4.4789291698246357E-3</v>
      </c>
      <c r="AN8" s="8">
        <v>2.8454525670496358E-4</v>
      </c>
    </row>
    <row r="9" spans="1:40" x14ac:dyDescent="0.2">
      <c r="A9" t="s">
        <v>18</v>
      </c>
      <c r="B9">
        <v>2015</v>
      </c>
      <c r="C9" t="s">
        <v>25</v>
      </c>
      <c r="D9" s="7">
        <v>109</v>
      </c>
      <c r="E9" s="7">
        <v>46</v>
      </c>
      <c r="F9" s="7">
        <v>35</v>
      </c>
      <c r="G9" s="7">
        <v>48</v>
      </c>
      <c r="H9" s="7">
        <v>62</v>
      </c>
      <c r="I9" s="7">
        <v>43</v>
      </c>
      <c r="J9" s="7">
        <v>124</v>
      </c>
      <c r="K9" s="16">
        <f>SUM(D9:J9)</f>
        <v>467</v>
      </c>
      <c r="L9" s="28">
        <v>203</v>
      </c>
      <c r="M9" s="28">
        <v>308</v>
      </c>
      <c r="N9" s="7">
        <v>381</v>
      </c>
      <c r="O9" s="16">
        <f t="shared" si="0"/>
        <v>892</v>
      </c>
      <c r="P9" s="7">
        <v>1359</v>
      </c>
      <c r="Q9" s="7">
        <v>289513.79300000001</v>
      </c>
      <c r="R9" s="7">
        <v>610789.65299999993</v>
      </c>
      <c r="S9" s="7">
        <v>652929.81400000001</v>
      </c>
      <c r="T9" s="7">
        <v>610978.2420000002</v>
      </c>
      <c r="U9" s="7">
        <v>595044.54899999977</v>
      </c>
      <c r="V9" s="7">
        <v>652442.83700000029</v>
      </c>
      <c r="W9" s="7">
        <v>610374.50699999987</v>
      </c>
      <c r="X9" s="16">
        <f>SUM(Q9:W9)</f>
        <v>4022073.395</v>
      </c>
      <c r="Y9" s="28">
        <v>408052.16699999996</v>
      </c>
      <c r="Z9" s="28">
        <v>216651.45399999997</v>
      </c>
      <c r="AA9" s="7">
        <v>80089.160000000018</v>
      </c>
      <c r="AB9" s="16">
        <f t="shared" si="1"/>
        <v>704792.78099999996</v>
      </c>
      <c r="AC9" s="7">
        <v>4726866.176</v>
      </c>
      <c r="AD9" s="8">
        <v>3.7649328852528969E-4</v>
      </c>
      <c r="AE9" s="8">
        <v>7.53123432495344E-5</v>
      </c>
      <c r="AF9" s="8">
        <v>5.3604536428780692E-5</v>
      </c>
      <c r="AG9" s="8">
        <v>7.856253578339371E-5</v>
      </c>
      <c r="AH9" s="8">
        <v>1.0419387944010899E-4</v>
      </c>
      <c r="AI9" s="8">
        <v>6.5906156925131488E-5</v>
      </c>
      <c r="AJ9" s="8">
        <v>2.0315396298161586E-4</v>
      </c>
      <c r="AK9" s="8">
        <v>4.9748541097687643E-4</v>
      </c>
      <c r="AL9" s="8">
        <v>1.4216382780426668E-3</v>
      </c>
      <c r="AM9" s="8">
        <v>4.7571981027145233E-3</v>
      </c>
      <c r="AN9" s="8">
        <v>2.8750549505719708E-4</v>
      </c>
    </row>
    <row r="10" spans="1:40" x14ac:dyDescent="0.2">
      <c r="A10" t="s">
        <v>18</v>
      </c>
      <c r="B10">
        <v>2016</v>
      </c>
      <c r="C10" t="s">
        <v>26</v>
      </c>
      <c r="D10" s="7">
        <v>92</v>
      </c>
      <c r="E10" s="7">
        <v>69</v>
      </c>
      <c r="F10" s="7">
        <v>68</v>
      </c>
      <c r="G10" s="7">
        <v>52</v>
      </c>
      <c r="H10" s="7">
        <v>58</v>
      </c>
      <c r="I10" s="7">
        <v>66</v>
      </c>
      <c r="J10" s="7">
        <v>119</v>
      </c>
      <c r="K10" s="16">
        <f>SUM(D10:J10)</f>
        <v>524</v>
      </c>
      <c r="L10" s="28">
        <v>191</v>
      </c>
      <c r="M10" s="28">
        <v>277</v>
      </c>
      <c r="N10" s="7">
        <v>289</v>
      </c>
      <c r="O10" s="16">
        <f t="shared" si="0"/>
        <v>757</v>
      </c>
      <c r="P10" s="7">
        <v>1281</v>
      </c>
      <c r="Q10" s="7">
        <v>297332.554</v>
      </c>
      <c r="R10" s="7">
        <v>631756.43700000015</v>
      </c>
      <c r="S10" s="7">
        <v>673997.75900000019</v>
      </c>
      <c r="T10" s="7">
        <v>635795.73699999996</v>
      </c>
      <c r="U10" s="7">
        <v>619383.34</v>
      </c>
      <c r="V10" s="7">
        <v>670538.92000000027</v>
      </c>
      <c r="W10" s="7">
        <v>644270.06099999987</v>
      </c>
      <c r="X10" s="16">
        <f>SUM(Q10:W10)</f>
        <v>4173074.8080000007</v>
      </c>
      <c r="Y10" s="28">
        <v>447754.11099999998</v>
      </c>
      <c r="Z10" s="28">
        <v>232425.34900000005</v>
      </c>
      <c r="AA10" s="7">
        <v>85788.299999999974</v>
      </c>
      <c r="AB10" s="16">
        <f t="shared" si="1"/>
        <v>765967.75999999989</v>
      </c>
      <c r="AC10" s="7">
        <v>4939042.5680000009</v>
      </c>
      <c r="AD10" s="8">
        <v>3.0941785136652072E-4</v>
      </c>
      <c r="AE10" s="8">
        <v>1.0921930661705309E-4</v>
      </c>
      <c r="AF10" s="8">
        <v>1.0089054316870507E-4</v>
      </c>
      <c r="AG10" s="8">
        <v>8.1787273763995056E-5</v>
      </c>
      <c r="AH10" s="8">
        <v>9.3641524164986419E-5</v>
      </c>
      <c r="AI10" s="8">
        <v>9.8428291082641362E-5</v>
      </c>
      <c r="AJ10" s="8">
        <v>1.8470515270458925E-4</v>
      </c>
      <c r="AK10" s="8">
        <v>4.265734145319774E-4</v>
      </c>
      <c r="AL10" s="8">
        <v>1.1917805058345849E-3</v>
      </c>
      <c r="AM10" s="8">
        <v>3.3687577443544175E-3</v>
      </c>
      <c r="AN10" s="8">
        <v>2.5936200839806161E-4</v>
      </c>
    </row>
    <row r="11" spans="1:40" x14ac:dyDescent="0.2">
      <c r="A11" t="s">
        <v>18</v>
      </c>
      <c r="B11">
        <v>2017</v>
      </c>
      <c r="C11" t="s">
        <v>27</v>
      </c>
      <c r="D11" s="7">
        <v>94</v>
      </c>
      <c r="E11" s="7">
        <v>60</v>
      </c>
      <c r="F11" s="7">
        <v>62</v>
      </c>
      <c r="G11" s="7">
        <v>59</v>
      </c>
      <c r="H11" s="7">
        <v>58</v>
      </c>
      <c r="I11" s="7">
        <v>61</v>
      </c>
      <c r="J11" s="7">
        <v>112</v>
      </c>
      <c r="K11" s="16">
        <f>SUM(D11:J11)</f>
        <v>506</v>
      </c>
      <c r="L11" s="28">
        <v>227</v>
      </c>
      <c r="M11" s="28">
        <v>338</v>
      </c>
      <c r="N11" s="7">
        <v>375</v>
      </c>
      <c r="O11" s="16">
        <f t="shared" si="0"/>
        <v>940</v>
      </c>
      <c r="P11" s="7">
        <v>1446</v>
      </c>
      <c r="Q11" s="7">
        <v>285582</v>
      </c>
      <c r="R11" s="7">
        <v>604603</v>
      </c>
      <c r="S11" s="7">
        <v>650293</v>
      </c>
      <c r="T11" s="7">
        <v>614519</v>
      </c>
      <c r="U11" s="7">
        <v>590164</v>
      </c>
      <c r="V11" s="7">
        <v>637686</v>
      </c>
      <c r="W11" s="7">
        <v>627460</v>
      </c>
      <c r="X11" s="16">
        <f>SUM(Q11:W11)</f>
        <v>4010307</v>
      </c>
      <c r="Y11" s="28">
        <v>443258</v>
      </c>
      <c r="Z11" s="28">
        <v>225993</v>
      </c>
      <c r="AA11" s="7">
        <v>82154</v>
      </c>
      <c r="AB11" s="16">
        <f t="shared" si="1"/>
        <v>751405</v>
      </c>
      <c r="AC11" s="7">
        <v>4761712</v>
      </c>
      <c r="AD11" s="8">
        <v>3.291523975600703E-4</v>
      </c>
      <c r="AE11" s="8">
        <v>9.9238673972838369E-5</v>
      </c>
      <c r="AF11" s="8">
        <v>9.5341638307655166E-5</v>
      </c>
      <c r="AG11" s="8">
        <v>9.6010050136773636E-5</v>
      </c>
      <c r="AH11" s="8">
        <v>9.82777668580259E-5</v>
      </c>
      <c r="AI11" s="8">
        <v>9.5658364775140118E-5</v>
      </c>
      <c r="AJ11" s="8">
        <v>1.7849743409938481E-4</v>
      </c>
      <c r="AK11" s="8">
        <v>5.1211709658934522E-4</v>
      </c>
      <c r="AL11" s="8">
        <v>1.4956215458000913E-3</v>
      </c>
      <c r="AM11" s="8">
        <v>4.5645981936363418E-3</v>
      </c>
      <c r="AN11" s="8">
        <v>3.0367229265440662E-4</v>
      </c>
    </row>
    <row r="12" spans="1:40" x14ac:dyDescent="0.2">
      <c r="A12" t="s">
        <v>28</v>
      </c>
      <c r="B12">
        <v>2009</v>
      </c>
      <c r="C12" t="s">
        <v>29</v>
      </c>
      <c r="D12" s="7">
        <v>121</v>
      </c>
      <c r="E12" s="7">
        <v>47</v>
      </c>
      <c r="F12" s="7">
        <v>60</v>
      </c>
      <c r="G12" s="7">
        <v>73</v>
      </c>
      <c r="H12" s="7">
        <v>32</v>
      </c>
      <c r="I12" s="7">
        <v>40</v>
      </c>
      <c r="J12" s="7">
        <v>62</v>
      </c>
      <c r="K12" s="16">
        <f>SUM(D12:J12)</f>
        <v>435</v>
      </c>
      <c r="L12" s="28">
        <v>58</v>
      </c>
      <c r="M12" s="28">
        <v>53</v>
      </c>
      <c r="N12" s="7">
        <v>69</v>
      </c>
      <c r="O12" s="16">
        <f t="shared" si="0"/>
        <v>180</v>
      </c>
      <c r="P12" s="7">
        <v>615</v>
      </c>
      <c r="Q12" s="7">
        <v>55508.074999999997</v>
      </c>
      <c r="R12" s="7">
        <v>105685.9</v>
      </c>
      <c r="S12" s="7">
        <v>121296.25199999999</v>
      </c>
      <c r="T12" s="7">
        <v>102702.40100000001</v>
      </c>
      <c r="U12" s="7">
        <v>102961.63699999999</v>
      </c>
      <c r="V12" s="7">
        <v>114657.09499999999</v>
      </c>
      <c r="W12" s="7">
        <v>77422.602000000014</v>
      </c>
      <c r="X12" s="16">
        <f>SUM(Q12:W12)</f>
        <v>680233.96200000006</v>
      </c>
      <c r="Y12" s="28">
        <v>33475.446000000004</v>
      </c>
      <c r="Z12" s="28">
        <v>16093.718000000004</v>
      </c>
      <c r="AA12" s="7">
        <v>5240.0789999999997</v>
      </c>
      <c r="AB12" s="16">
        <f t="shared" si="1"/>
        <v>54809.243000000002</v>
      </c>
      <c r="AC12" s="7">
        <v>735043.20500000007</v>
      </c>
      <c r="AD12" s="8">
        <v>2.1798630199299832E-3</v>
      </c>
      <c r="AE12" s="8">
        <v>4.4471400631493894E-4</v>
      </c>
      <c r="AF12" s="8">
        <v>4.9465666919370273E-4</v>
      </c>
      <c r="AG12" s="8">
        <v>7.1079156172794823E-4</v>
      </c>
      <c r="AH12" s="8">
        <v>3.1079536934712883E-4</v>
      </c>
      <c r="AI12" s="8">
        <v>3.4886633051360675E-4</v>
      </c>
      <c r="AJ12" s="8">
        <v>8.0079974578999545E-4</v>
      </c>
      <c r="AK12" s="8">
        <v>1.7326132114864128E-3</v>
      </c>
      <c r="AL12" s="8">
        <v>3.2932104315485078E-3</v>
      </c>
      <c r="AM12" s="8">
        <v>1.3167740410020537E-2</v>
      </c>
      <c r="AN12" s="8">
        <v>8.3668551156799E-4</v>
      </c>
    </row>
    <row r="13" spans="1:40" x14ac:dyDescent="0.2">
      <c r="A13" t="s">
        <v>28</v>
      </c>
      <c r="B13">
        <v>2010</v>
      </c>
      <c r="C13" t="s">
        <v>30</v>
      </c>
      <c r="D13" s="7">
        <v>120</v>
      </c>
      <c r="E13" s="7">
        <v>49</v>
      </c>
      <c r="F13" s="7">
        <v>64</v>
      </c>
      <c r="G13" s="7">
        <v>56</v>
      </c>
      <c r="H13" s="7">
        <v>70</v>
      </c>
      <c r="I13" s="7">
        <v>66</v>
      </c>
      <c r="J13" s="7">
        <v>44</v>
      </c>
      <c r="K13" s="16">
        <f>SUM(D13:J13)</f>
        <v>469</v>
      </c>
      <c r="L13" s="28">
        <v>54</v>
      </c>
      <c r="M13" s="28">
        <v>44</v>
      </c>
      <c r="N13" s="7">
        <v>71</v>
      </c>
      <c r="O13" s="16">
        <f t="shared" si="0"/>
        <v>169</v>
      </c>
      <c r="P13" s="7">
        <v>638</v>
      </c>
      <c r="Q13" s="7">
        <v>52137.323999999986</v>
      </c>
      <c r="R13" s="7">
        <v>102332.07699999999</v>
      </c>
      <c r="S13" s="7">
        <v>110410.98299999999</v>
      </c>
      <c r="T13" s="7">
        <v>94661.169000000024</v>
      </c>
      <c r="U13" s="7">
        <v>97170.112000000008</v>
      </c>
      <c r="V13" s="7">
        <v>111612.61599999999</v>
      </c>
      <c r="W13" s="7">
        <v>80035.559000000023</v>
      </c>
      <c r="X13" s="16">
        <f>SUM(Q13:W13)</f>
        <v>648359.84</v>
      </c>
      <c r="Y13" s="28">
        <v>33808.06500000001</v>
      </c>
      <c r="Z13" s="28">
        <v>15441.694999999996</v>
      </c>
      <c r="AA13" s="7">
        <v>5010.1500000000005</v>
      </c>
      <c r="AB13" s="16">
        <f t="shared" si="1"/>
        <v>54259.910000000011</v>
      </c>
      <c r="AC13" s="7">
        <v>702619.75</v>
      </c>
      <c r="AD13" s="8">
        <v>2.3016140989514542E-3</v>
      </c>
      <c r="AE13" s="8">
        <v>4.7883324013837816E-4</v>
      </c>
      <c r="AF13" s="8">
        <v>5.7965247895673576E-4</v>
      </c>
      <c r="AG13" s="8">
        <v>5.9158365137028878E-4</v>
      </c>
      <c r="AH13" s="8">
        <v>7.2038612037413313E-4</v>
      </c>
      <c r="AI13" s="8">
        <v>5.9133100150613805E-4</v>
      </c>
      <c r="AJ13" s="8">
        <v>5.4975564048974769E-4</v>
      </c>
      <c r="AK13" s="8">
        <v>1.5972520166415908E-3</v>
      </c>
      <c r="AL13" s="8">
        <v>2.8494281230136984E-3</v>
      </c>
      <c r="AM13" s="8">
        <v>1.4171232398231589E-2</v>
      </c>
      <c r="AN13" s="8">
        <v>9.0803026815001998E-4</v>
      </c>
    </row>
    <row r="14" spans="1:40" x14ac:dyDescent="0.2">
      <c r="A14" t="s">
        <v>28</v>
      </c>
      <c r="B14">
        <v>2011</v>
      </c>
      <c r="C14" t="s">
        <v>31</v>
      </c>
      <c r="D14" s="7">
        <v>93</v>
      </c>
      <c r="E14" s="7">
        <v>39</v>
      </c>
      <c r="F14" s="7">
        <v>46</v>
      </c>
      <c r="G14" s="7">
        <v>65</v>
      </c>
      <c r="H14" s="7">
        <v>57</v>
      </c>
      <c r="I14" s="7">
        <v>62</v>
      </c>
      <c r="J14" s="7">
        <v>65</v>
      </c>
      <c r="K14" s="16">
        <f>SUM(D14:J14)</f>
        <v>427</v>
      </c>
      <c r="L14" s="28">
        <v>44</v>
      </c>
      <c r="M14" s="28">
        <v>58</v>
      </c>
      <c r="N14" s="7">
        <v>65</v>
      </c>
      <c r="O14" s="16">
        <f t="shared" si="0"/>
        <v>167</v>
      </c>
      <c r="P14" s="7">
        <v>594</v>
      </c>
      <c r="Q14" s="7">
        <v>50142.041000000005</v>
      </c>
      <c r="R14" s="7">
        <v>97168.511000000042</v>
      </c>
      <c r="S14" s="7">
        <v>103420.13300000002</v>
      </c>
      <c r="T14" s="7">
        <v>94885.244000000035</v>
      </c>
      <c r="U14" s="7">
        <v>91425.493999999992</v>
      </c>
      <c r="V14" s="7">
        <v>106786.51599999999</v>
      </c>
      <c r="W14" s="7">
        <v>80478.22199999998</v>
      </c>
      <c r="X14" s="16">
        <f>SUM(Q14:W14)</f>
        <v>624306.16100000008</v>
      </c>
      <c r="Y14" s="28">
        <v>33438.928000000007</v>
      </c>
      <c r="Z14" s="28">
        <v>15400.793</v>
      </c>
      <c r="AA14" s="7">
        <v>4467.2799999999988</v>
      </c>
      <c r="AB14" s="16">
        <f t="shared" si="1"/>
        <v>53307.001000000004</v>
      </c>
      <c r="AC14" s="7">
        <v>677613.16200000001</v>
      </c>
      <c r="AD14" s="8">
        <v>1.8547310429585424E-3</v>
      </c>
      <c r="AE14" s="8">
        <v>4.0136459433859166E-4</v>
      </c>
      <c r="AF14" s="8">
        <v>4.4478767011448336E-4</v>
      </c>
      <c r="AG14" s="8">
        <v>6.8503802340435539E-4</v>
      </c>
      <c r="AH14" s="8">
        <v>6.2345848522295114E-4</v>
      </c>
      <c r="AI14" s="8">
        <v>5.8059764774046941E-4</v>
      </c>
      <c r="AJ14" s="8">
        <v>8.0767191899443322E-4</v>
      </c>
      <c r="AK14" s="8">
        <v>1.3158316558473404E-3</v>
      </c>
      <c r="AL14" s="8">
        <v>3.7660398396368294E-3</v>
      </c>
      <c r="AM14" s="8">
        <v>1.4550240862448742E-2</v>
      </c>
      <c r="AN14" s="8">
        <v>8.7660634903664989E-4</v>
      </c>
    </row>
    <row r="15" spans="1:40" x14ac:dyDescent="0.2">
      <c r="A15" t="s">
        <v>28</v>
      </c>
      <c r="B15">
        <v>2012</v>
      </c>
      <c r="C15" t="s">
        <v>32</v>
      </c>
      <c r="D15" s="7">
        <v>110</v>
      </c>
      <c r="E15" s="7">
        <v>52</v>
      </c>
      <c r="F15" s="7">
        <v>57</v>
      </c>
      <c r="G15" s="7">
        <v>63</v>
      </c>
      <c r="H15" s="7">
        <v>68</v>
      </c>
      <c r="I15" s="7">
        <v>43</v>
      </c>
      <c r="J15" s="7">
        <v>56</v>
      </c>
      <c r="K15" s="16">
        <f>SUM(D15:J15)</f>
        <v>449</v>
      </c>
      <c r="L15" s="28">
        <v>48</v>
      </c>
      <c r="M15" s="28">
        <v>59</v>
      </c>
      <c r="N15" s="7">
        <v>62</v>
      </c>
      <c r="O15" s="16">
        <f t="shared" si="0"/>
        <v>169</v>
      </c>
      <c r="P15" s="7">
        <v>618</v>
      </c>
      <c r="Q15" s="7">
        <v>50428.642999999996</v>
      </c>
      <c r="R15" s="7">
        <v>95879.114000000001</v>
      </c>
      <c r="S15" s="7">
        <v>103240.92</v>
      </c>
      <c r="T15" s="7">
        <v>97754.688000000009</v>
      </c>
      <c r="U15" s="7">
        <v>89171.321000000011</v>
      </c>
      <c r="V15" s="7">
        <v>103836.804</v>
      </c>
      <c r="W15" s="7">
        <v>82276.79399999998</v>
      </c>
      <c r="X15" s="16">
        <f>SUM(Q15:W15)</f>
        <v>622588.28399999999</v>
      </c>
      <c r="Y15" s="28">
        <v>34090.461000000003</v>
      </c>
      <c r="Z15" s="28">
        <v>14680.168</v>
      </c>
      <c r="AA15" s="7">
        <v>4485.6340000000009</v>
      </c>
      <c r="AB15" s="16">
        <f t="shared" si="1"/>
        <v>53256.262999999999</v>
      </c>
      <c r="AC15" s="7">
        <v>675844.5469999999</v>
      </c>
      <c r="AD15" s="8">
        <v>2.1813000203079035E-3</v>
      </c>
      <c r="AE15" s="8">
        <v>5.4234960911299205E-4</v>
      </c>
      <c r="AF15" s="8">
        <v>5.5210666468295713E-4</v>
      </c>
      <c r="AG15" s="8">
        <v>6.4447037056678035E-4</v>
      </c>
      <c r="AH15" s="8">
        <v>7.6257701733497911E-4</v>
      </c>
      <c r="AI15" s="8">
        <v>4.1411135882032734E-4</v>
      </c>
      <c r="AJ15" s="8">
        <v>6.8062934002994829E-4</v>
      </c>
      <c r="AK15" s="8">
        <v>1.4080185069952559E-3</v>
      </c>
      <c r="AL15" s="8">
        <v>4.0190275751612655E-3</v>
      </c>
      <c r="AM15" s="8">
        <v>1.3821903436615646E-2</v>
      </c>
      <c r="AN15" s="8">
        <v>9.1441146154575708E-4</v>
      </c>
    </row>
    <row r="16" spans="1:40" x14ac:dyDescent="0.2">
      <c r="A16" t="s">
        <v>28</v>
      </c>
      <c r="B16">
        <v>2013</v>
      </c>
      <c r="C16" t="s">
        <v>33</v>
      </c>
      <c r="D16" s="7">
        <v>97</v>
      </c>
      <c r="E16" s="7">
        <v>43</v>
      </c>
      <c r="F16" s="7">
        <v>45</v>
      </c>
      <c r="G16" s="7">
        <v>50</v>
      </c>
      <c r="H16" s="7">
        <v>62</v>
      </c>
      <c r="I16" s="7">
        <v>68</v>
      </c>
      <c r="J16" s="7">
        <v>66</v>
      </c>
      <c r="K16" s="16">
        <f>SUM(D16:J16)</f>
        <v>431</v>
      </c>
      <c r="L16" s="28">
        <v>53</v>
      </c>
      <c r="M16" s="28">
        <v>50</v>
      </c>
      <c r="N16" s="7">
        <v>64</v>
      </c>
      <c r="O16" s="16">
        <f t="shared" si="0"/>
        <v>167</v>
      </c>
      <c r="P16" s="7">
        <v>598</v>
      </c>
      <c r="Q16" s="7">
        <v>53765.155000000006</v>
      </c>
      <c r="R16" s="7">
        <v>102126.67300000001</v>
      </c>
      <c r="S16" s="7">
        <v>109764.30500000001</v>
      </c>
      <c r="T16" s="7">
        <v>106829.90499999997</v>
      </c>
      <c r="U16" s="7">
        <v>92447.462000000014</v>
      </c>
      <c r="V16" s="7">
        <v>106277.84900000003</v>
      </c>
      <c r="W16" s="7">
        <v>89797.648000000001</v>
      </c>
      <c r="X16" s="16">
        <f>SUM(Q16:W16)</f>
        <v>661008.99700000009</v>
      </c>
      <c r="Y16" s="28">
        <v>40322.754999999997</v>
      </c>
      <c r="Z16" s="28">
        <v>17175.344000000001</v>
      </c>
      <c r="AA16" s="7">
        <v>5636.7080000000005</v>
      </c>
      <c r="AB16" s="16">
        <f t="shared" si="1"/>
        <v>63134.807000000001</v>
      </c>
      <c r="AC16" s="7">
        <v>724143.80400000012</v>
      </c>
      <c r="AD16" s="8">
        <v>1.804142478525357E-3</v>
      </c>
      <c r="AE16" s="8">
        <v>4.2104573405617548E-4</v>
      </c>
      <c r="AF16" s="8">
        <v>4.099693429480558E-4</v>
      </c>
      <c r="AG16" s="8">
        <v>4.6803374017790255E-4</v>
      </c>
      <c r="AH16" s="8">
        <v>6.7065118564314926E-4</v>
      </c>
      <c r="AI16" s="8">
        <v>6.3983229468635541E-4</v>
      </c>
      <c r="AJ16" s="8">
        <v>7.3498584283632911E-4</v>
      </c>
      <c r="AK16" s="8">
        <v>1.3143943165589752E-3</v>
      </c>
      <c r="AL16" s="8">
        <v>2.9111498436363193E-3</v>
      </c>
      <c r="AM16" s="8">
        <v>1.1354145008043701E-2</v>
      </c>
      <c r="AN16" s="8">
        <v>8.2580282631265864E-4</v>
      </c>
    </row>
    <row r="17" spans="1:40" x14ac:dyDescent="0.2">
      <c r="A17" t="s">
        <v>28</v>
      </c>
      <c r="B17">
        <v>2014</v>
      </c>
      <c r="C17" t="s">
        <v>34</v>
      </c>
      <c r="D17" s="7">
        <v>103</v>
      </c>
      <c r="E17" s="7">
        <v>50</v>
      </c>
      <c r="F17" s="7">
        <v>52</v>
      </c>
      <c r="G17" s="7">
        <v>57</v>
      </c>
      <c r="H17" s="7">
        <v>57</v>
      </c>
      <c r="I17" s="7">
        <v>67</v>
      </c>
      <c r="J17" s="7">
        <v>60</v>
      </c>
      <c r="K17" s="16">
        <f>SUM(D17:J17)</f>
        <v>446</v>
      </c>
      <c r="L17" s="28">
        <v>51</v>
      </c>
      <c r="M17" s="28">
        <v>54</v>
      </c>
      <c r="N17" s="7">
        <v>54</v>
      </c>
      <c r="O17" s="16">
        <f t="shared" si="0"/>
        <v>159</v>
      </c>
      <c r="P17" s="7">
        <v>605</v>
      </c>
      <c r="Q17" s="7">
        <v>47377.864000000009</v>
      </c>
      <c r="R17" s="7">
        <v>89681.29399999998</v>
      </c>
      <c r="S17" s="7">
        <v>98186.82699999999</v>
      </c>
      <c r="T17" s="7">
        <v>99906.180999999997</v>
      </c>
      <c r="U17" s="7">
        <v>82451.358999999997</v>
      </c>
      <c r="V17" s="7">
        <v>92263.771999999997</v>
      </c>
      <c r="W17" s="7">
        <v>79761.980999999985</v>
      </c>
      <c r="X17" s="16">
        <f>SUM(Q17:W17)</f>
        <v>589629.27799999993</v>
      </c>
      <c r="Y17" s="28">
        <v>37158.247000000018</v>
      </c>
      <c r="Z17" s="28">
        <v>15515.553000000002</v>
      </c>
      <c r="AA17" s="7">
        <v>5565.7160000000013</v>
      </c>
      <c r="AB17" s="16">
        <f t="shared" si="1"/>
        <v>58239.516000000018</v>
      </c>
      <c r="AC17" s="7">
        <v>647868.79399999988</v>
      </c>
      <c r="AD17" s="8">
        <v>2.1740110529254756E-3</v>
      </c>
      <c r="AE17" s="8">
        <v>5.5752986793433212E-4</v>
      </c>
      <c r="AF17" s="8">
        <v>5.2960261156010269E-4</v>
      </c>
      <c r="AG17" s="8">
        <v>5.7053527048541678E-4</v>
      </c>
      <c r="AH17" s="8">
        <v>6.9131668284570064E-4</v>
      </c>
      <c r="AI17" s="8">
        <v>7.2617885165154536E-4</v>
      </c>
      <c r="AJ17" s="8">
        <v>7.5223808696526747E-4</v>
      </c>
      <c r="AK17" s="8">
        <v>1.3725082348475691E-3</v>
      </c>
      <c r="AL17" s="8">
        <v>3.4803786884038223E-3</v>
      </c>
      <c r="AM17" s="8">
        <v>9.7022557385249251E-3</v>
      </c>
      <c r="AN17" s="8">
        <v>9.3383105592210406E-4</v>
      </c>
    </row>
    <row r="18" spans="1:40" x14ac:dyDescent="0.2">
      <c r="A18" t="s">
        <v>28</v>
      </c>
      <c r="B18">
        <v>2015</v>
      </c>
      <c r="C18" t="s">
        <v>35</v>
      </c>
      <c r="D18" s="7">
        <v>105</v>
      </c>
      <c r="E18" s="7">
        <v>45</v>
      </c>
      <c r="F18" s="7">
        <v>47</v>
      </c>
      <c r="G18" s="7">
        <v>68</v>
      </c>
      <c r="H18" s="7">
        <v>61</v>
      </c>
      <c r="I18" s="7">
        <v>67</v>
      </c>
      <c r="J18" s="7">
        <v>45</v>
      </c>
      <c r="K18" s="16">
        <f>SUM(D18:J18)</f>
        <v>438</v>
      </c>
      <c r="L18" s="28">
        <v>59</v>
      </c>
      <c r="M18" s="28">
        <v>51</v>
      </c>
      <c r="N18" s="7">
        <v>66</v>
      </c>
      <c r="O18" s="16">
        <f t="shared" si="0"/>
        <v>176</v>
      </c>
      <c r="P18" s="7">
        <v>614</v>
      </c>
      <c r="Q18" s="7">
        <v>51611.420999999995</v>
      </c>
      <c r="R18" s="7">
        <v>96804.754000000001</v>
      </c>
      <c r="S18" s="7">
        <v>106176.12800000003</v>
      </c>
      <c r="T18" s="7">
        <v>108430.307</v>
      </c>
      <c r="U18" s="7">
        <v>87362.376000000004</v>
      </c>
      <c r="V18" s="7">
        <v>96761.911999999997</v>
      </c>
      <c r="W18" s="7">
        <v>89332.432999999975</v>
      </c>
      <c r="X18" s="16">
        <f>SUM(Q18:W18)</f>
        <v>636479.33099999989</v>
      </c>
      <c r="Y18" s="28">
        <v>44175.777999999991</v>
      </c>
      <c r="Z18" s="28">
        <v>18066.054000000004</v>
      </c>
      <c r="AA18" s="7">
        <v>6495.7960000000012</v>
      </c>
      <c r="AB18" s="16">
        <f t="shared" si="1"/>
        <v>68737.627999999997</v>
      </c>
      <c r="AC18" s="7">
        <v>705216.95899999992</v>
      </c>
      <c r="AD18" s="8">
        <v>2.0344334251134067E-3</v>
      </c>
      <c r="AE18" s="8">
        <v>4.6485320338709811E-4</v>
      </c>
      <c r="AF18" s="8">
        <v>4.4266070806424574E-4</v>
      </c>
      <c r="AG18" s="8">
        <v>6.2713093674077668E-4</v>
      </c>
      <c r="AH18" s="8">
        <v>6.9824108263722123E-4</v>
      </c>
      <c r="AI18" s="8">
        <v>6.9242120804723247E-4</v>
      </c>
      <c r="AJ18" s="8">
        <v>5.037364201196671E-4</v>
      </c>
      <c r="AK18" s="8">
        <v>1.3355735353432828E-3</v>
      </c>
      <c r="AL18" s="8">
        <v>2.8229739598918495E-3</v>
      </c>
      <c r="AM18" s="8">
        <v>1.0160417599321158E-2</v>
      </c>
      <c r="AN18" s="8">
        <v>8.70654047898471E-4</v>
      </c>
    </row>
    <row r="19" spans="1:40" x14ac:dyDescent="0.2">
      <c r="A19" t="s">
        <v>28</v>
      </c>
      <c r="B19">
        <v>2016</v>
      </c>
      <c r="C19" t="s">
        <v>36</v>
      </c>
      <c r="D19" s="7">
        <v>134</v>
      </c>
      <c r="E19" s="7">
        <v>63</v>
      </c>
      <c r="F19" s="7">
        <v>46</v>
      </c>
      <c r="G19" s="7">
        <v>49</v>
      </c>
      <c r="H19" s="7">
        <v>47</v>
      </c>
      <c r="I19" s="7">
        <v>56</v>
      </c>
      <c r="J19" s="7">
        <v>55</v>
      </c>
      <c r="K19" s="16">
        <f>SUM(D19:J19)</f>
        <v>450</v>
      </c>
      <c r="L19" s="28">
        <v>64</v>
      </c>
      <c r="M19" s="28">
        <v>49</v>
      </c>
      <c r="N19" s="7">
        <v>38</v>
      </c>
      <c r="O19" s="16">
        <f t="shared" si="0"/>
        <v>151</v>
      </c>
      <c r="P19" s="7">
        <v>601</v>
      </c>
      <c r="Q19" s="7">
        <v>52186.161999999989</v>
      </c>
      <c r="R19" s="7">
        <v>99494.960999999981</v>
      </c>
      <c r="S19" s="7">
        <v>105915.63900000001</v>
      </c>
      <c r="T19" s="7">
        <v>111527.47700000001</v>
      </c>
      <c r="U19" s="7">
        <v>90152.862000000023</v>
      </c>
      <c r="V19" s="7">
        <v>97774.750999999989</v>
      </c>
      <c r="W19" s="7">
        <v>94824.969999999987</v>
      </c>
      <c r="X19" s="16">
        <f>SUM(Q19:W19)</f>
        <v>651876.82199999993</v>
      </c>
      <c r="Y19" s="28">
        <v>49566.242000000006</v>
      </c>
      <c r="Z19" s="28">
        <v>19227.582000000002</v>
      </c>
      <c r="AA19" s="7">
        <v>7466.1139999999987</v>
      </c>
      <c r="AB19" s="16">
        <f t="shared" si="1"/>
        <v>76259.938000000009</v>
      </c>
      <c r="AC19" s="7">
        <v>728136.75999999989</v>
      </c>
      <c r="AD19" s="8">
        <v>2.5677305029636025E-3</v>
      </c>
      <c r="AE19" s="8">
        <v>6.3319789632361391E-4</v>
      </c>
      <c r="AF19" s="8">
        <v>4.3430791179006146E-4</v>
      </c>
      <c r="AG19" s="8">
        <v>4.393536132804295E-4</v>
      </c>
      <c r="AH19" s="8">
        <v>5.2133674913171354E-4</v>
      </c>
      <c r="AI19" s="8">
        <v>5.7274500243933123E-4</v>
      </c>
      <c r="AJ19" s="8">
        <v>5.8001600211421119E-4</v>
      </c>
      <c r="AK19" s="8">
        <v>1.2912013785511516E-3</v>
      </c>
      <c r="AL19" s="8">
        <v>2.54842236532914E-3</v>
      </c>
      <c r="AM19" s="8">
        <v>5.0896624401931189E-3</v>
      </c>
      <c r="AN19" s="8">
        <v>8.2539439431680405E-4</v>
      </c>
    </row>
    <row r="20" spans="1:40" x14ac:dyDescent="0.2">
      <c r="A20" t="s">
        <v>28</v>
      </c>
      <c r="B20">
        <v>2017</v>
      </c>
      <c r="C20" t="s">
        <v>37</v>
      </c>
      <c r="D20" s="7">
        <v>129</v>
      </c>
      <c r="E20" s="7">
        <v>54</v>
      </c>
      <c r="F20" s="7">
        <v>48</v>
      </c>
      <c r="G20" s="7">
        <v>59</v>
      </c>
      <c r="H20" s="7">
        <v>47</v>
      </c>
      <c r="I20" s="7">
        <v>54</v>
      </c>
      <c r="J20" s="7">
        <v>64</v>
      </c>
      <c r="K20" s="16">
        <f>SUM(D20:J20)</f>
        <v>455</v>
      </c>
      <c r="L20" s="28">
        <v>59</v>
      </c>
      <c r="M20" s="28">
        <v>56</v>
      </c>
      <c r="N20" s="7">
        <v>43</v>
      </c>
      <c r="O20" s="16">
        <f t="shared" si="0"/>
        <v>158</v>
      </c>
      <c r="P20" s="7">
        <v>613</v>
      </c>
      <c r="Q20" s="7">
        <v>53061</v>
      </c>
      <c r="R20" s="7">
        <v>99859</v>
      </c>
      <c r="S20" s="7">
        <v>105060</v>
      </c>
      <c r="T20" s="7">
        <v>114406</v>
      </c>
      <c r="U20" s="7">
        <v>90822</v>
      </c>
      <c r="V20" s="7">
        <v>94719</v>
      </c>
      <c r="W20" s="7">
        <v>93754</v>
      </c>
      <c r="X20" s="16">
        <f>SUM(Q20:W20)</f>
        <v>651681</v>
      </c>
      <c r="Y20" s="28">
        <v>52637</v>
      </c>
      <c r="Z20" s="28">
        <v>20247</v>
      </c>
      <c r="AA20" s="7">
        <v>7051</v>
      </c>
      <c r="AB20" s="16">
        <f t="shared" si="1"/>
        <v>79935</v>
      </c>
      <c r="AC20" s="7">
        <v>731616</v>
      </c>
      <c r="AD20" s="8">
        <v>2.4311641318482502E-3</v>
      </c>
      <c r="AE20" s="8">
        <v>5.407624750898767E-4</v>
      </c>
      <c r="AF20" s="8">
        <v>4.5688178183894918E-4</v>
      </c>
      <c r="AG20" s="8">
        <v>5.1570721815289409E-4</v>
      </c>
      <c r="AH20" s="8">
        <v>5.1749576093897956E-4</v>
      </c>
      <c r="AI20" s="8">
        <v>5.7010737022139167E-4</v>
      </c>
      <c r="AJ20" s="8">
        <v>6.826375407982593E-4</v>
      </c>
      <c r="AK20" s="8">
        <v>1.1208845488914641E-3</v>
      </c>
      <c r="AL20" s="8">
        <v>2.7658418531140414E-3</v>
      </c>
      <c r="AM20" s="8">
        <v>6.0984257552120268E-3</v>
      </c>
      <c r="AN20" s="8">
        <v>8.378712329965446E-4</v>
      </c>
    </row>
    <row r="21" spans="1:40" x14ac:dyDescent="0.2">
      <c r="A21" t="s">
        <v>38</v>
      </c>
      <c r="B21">
        <v>2009</v>
      </c>
      <c r="C21" t="s">
        <v>39</v>
      </c>
      <c r="D21" s="7">
        <v>124</v>
      </c>
      <c r="E21" s="7">
        <v>56</v>
      </c>
      <c r="F21" s="7">
        <v>54</v>
      </c>
      <c r="G21" s="7">
        <v>57</v>
      </c>
      <c r="H21" s="7">
        <v>69</v>
      </c>
      <c r="I21" s="7">
        <v>59</v>
      </c>
      <c r="J21" s="7">
        <v>77</v>
      </c>
      <c r="K21" s="16">
        <f>SUM(D21:J21)</f>
        <v>496</v>
      </c>
      <c r="L21" s="28">
        <v>160</v>
      </c>
      <c r="M21" s="28">
        <v>278</v>
      </c>
      <c r="N21" s="7">
        <v>350</v>
      </c>
      <c r="O21" s="16">
        <f t="shared" si="0"/>
        <v>788</v>
      </c>
      <c r="P21" s="7">
        <v>1284</v>
      </c>
      <c r="Q21" s="7">
        <v>500512.114</v>
      </c>
      <c r="R21" s="7">
        <v>900235.31799999997</v>
      </c>
      <c r="S21" s="7">
        <v>858304.76299999992</v>
      </c>
      <c r="T21" s="7">
        <v>919459.3870000001</v>
      </c>
      <c r="U21" s="7">
        <v>858826.80199999979</v>
      </c>
      <c r="V21" s="7">
        <v>819785.54599999997</v>
      </c>
      <c r="W21" s="7">
        <v>651778.59500000009</v>
      </c>
      <c r="X21" s="16">
        <f>SUM(Q21:W21)</f>
        <v>5508902.5249999994</v>
      </c>
      <c r="Y21" s="28">
        <v>422658.01999999996</v>
      </c>
      <c r="Z21" s="28">
        <v>294833.44300000003</v>
      </c>
      <c r="AA21" s="7">
        <v>96568.51999999999</v>
      </c>
      <c r="AB21" s="16">
        <f t="shared" si="1"/>
        <v>814059.98300000001</v>
      </c>
      <c r="AC21" s="7">
        <v>6322962.5079999985</v>
      </c>
      <c r="AD21" s="8">
        <v>2.4774625135246979E-4</v>
      </c>
      <c r="AE21" s="8">
        <v>6.2205957576083455E-5</v>
      </c>
      <c r="AF21" s="8">
        <v>6.2914715527449548E-5</v>
      </c>
      <c r="AG21" s="8">
        <v>6.1992950211731319E-5</v>
      </c>
      <c r="AH21" s="8">
        <v>8.0342159605773474E-5</v>
      </c>
      <c r="AI21" s="8">
        <v>7.1970041784562034E-5</v>
      </c>
      <c r="AJ21" s="8">
        <v>1.1813827669501786E-4</v>
      </c>
      <c r="AK21" s="8">
        <v>3.7855664018868022E-4</v>
      </c>
      <c r="AL21" s="8">
        <v>9.4290524565763037E-4</v>
      </c>
      <c r="AM21" s="8">
        <v>3.6243695150345065E-3</v>
      </c>
      <c r="AN21" s="8">
        <v>2.0306936793875423E-4</v>
      </c>
    </row>
    <row r="22" spans="1:40" x14ac:dyDescent="0.2">
      <c r="A22" t="s">
        <v>38</v>
      </c>
      <c r="B22">
        <v>2010</v>
      </c>
      <c r="C22" t="s">
        <v>40</v>
      </c>
      <c r="D22" s="7">
        <v>94</v>
      </c>
      <c r="E22" s="7">
        <v>51</v>
      </c>
      <c r="F22" s="7">
        <v>67</v>
      </c>
      <c r="G22" s="7">
        <v>51</v>
      </c>
      <c r="H22" s="7">
        <v>38</v>
      </c>
      <c r="I22" s="7">
        <v>50</v>
      </c>
      <c r="J22" s="7">
        <v>64</v>
      </c>
      <c r="K22" s="16">
        <f>SUM(D22:J22)</f>
        <v>415</v>
      </c>
      <c r="L22" s="28">
        <v>89</v>
      </c>
      <c r="M22" s="28">
        <v>216</v>
      </c>
      <c r="N22" s="7">
        <v>295</v>
      </c>
      <c r="O22" s="16">
        <f t="shared" si="0"/>
        <v>600</v>
      </c>
      <c r="P22" s="7">
        <v>1015</v>
      </c>
      <c r="Q22" s="7">
        <v>464715.06700000004</v>
      </c>
      <c r="R22" s="7">
        <v>884670.92000000016</v>
      </c>
      <c r="S22" s="7">
        <v>889390.049</v>
      </c>
      <c r="T22" s="7">
        <v>856180.73</v>
      </c>
      <c r="U22" s="7">
        <v>833850.97700000007</v>
      </c>
      <c r="V22" s="7">
        <v>823424.88500000001</v>
      </c>
      <c r="W22" s="7">
        <v>688896.07900000003</v>
      </c>
      <c r="X22" s="16">
        <f>SUM(Q22:W22)</f>
        <v>5441128.7070000004</v>
      </c>
      <c r="Y22" s="28">
        <v>463952.11099999998</v>
      </c>
      <c r="Z22" s="28">
        <v>279255.54599999997</v>
      </c>
      <c r="AA22" s="7">
        <v>95229.909999999989</v>
      </c>
      <c r="AB22" s="16">
        <f t="shared" si="1"/>
        <v>838437.56699999992</v>
      </c>
      <c r="AC22" s="7">
        <v>6279566.2740000002</v>
      </c>
      <c r="AD22" s="8">
        <v>2.0227448317271794E-4</v>
      </c>
      <c r="AE22" s="8">
        <v>5.7648554786903125E-5</v>
      </c>
      <c r="AF22" s="8">
        <v>7.5332527135122014E-5</v>
      </c>
      <c r="AG22" s="8">
        <v>5.9566862711334322E-5</v>
      </c>
      <c r="AH22" s="8">
        <v>4.5571692122632116E-5</v>
      </c>
      <c r="AI22" s="8">
        <v>6.0721992874917791E-5</v>
      </c>
      <c r="AJ22" s="8">
        <v>9.2902256161629275E-5</v>
      </c>
      <c r="AK22" s="8">
        <v>1.9183014343478224E-4</v>
      </c>
      <c r="AL22" s="8">
        <v>7.7348508595062972E-4</v>
      </c>
      <c r="AM22" s="8">
        <v>3.0977662375192838E-3</v>
      </c>
      <c r="AN22" s="8">
        <v>1.6163536711166177E-4</v>
      </c>
    </row>
    <row r="23" spans="1:40" x14ac:dyDescent="0.2">
      <c r="A23" t="s">
        <v>38</v>
      </c>
      <c r="B23">
        <v>2011</v>
      </c>
      <c r="C23" t="s">
        <v>41</v>
      </c>
      <c r="D23" s="7">
        <v>128</v>
      </c>
      <c r="E23" s="7">
        <v>45</v>
      </c>
      <c r="F23" s="7">
        <v>43</v>
      </c>
      <c r="G23" s="7">
        <v>62</v>
      </c>
      <c r="H23" s="7">
        <v>57</v>
      </c>
      <c r="I23" s="7">
        <v>72</v>
      </c>
      <c r="J23" s="7">
        <v>71</v>
      </c>
      <c r="K23" s="16">
        <f>SUM(D23:J23)</f>
        <v>478</v>
      </c>
      <c r="L23" s="28">
        <v>107</v>
      </c>
      <c r="M23" s="28">
        <v>192</v>
      </c>
      <c r="N23" s="7">
        <v>269</v>
      </c>
      <c r="O23" s="16">
        <f t="shared" si="0"/>
        <v>568</v>
      </c>
      <c r="P23" s="7">
        <v>1046</v>
      </c>
      <c r="Q23" s="7">
        <v>456940.97500000009</v>
      </c>
      <c r="R23" s="7">
        <v>879537.21700000006</v>
      </c>
      <c r="S23" s="7">
        <v>892590.57700000016</v>
      </c>
      <c r="T23" s="7">
        <v>856794.96900000004</v>
      </c>
      <c r="U23" s="7">
        <v>825214.06900000013</v>
      </c>
      <c r="V23" s="7">
        <v>825702.19700000016</v>
      </c>
      <c r="W23" s="7">
        <v>702905.41899999999</v>
      </c>
      <c r="X23" s="16">
        <f>SUM(Q23:W23)</f>
        <v>5439685.4230000004</v>
      </c>
      <c r="Y23" s="28">
        <v>479824.01000000007</v>
      </c>
      <c r="Z23" s="28">
        <v>282415.424</v>
      </c>
      <c r="AA23" s="7">
        <v>97631.558000000005</v>
      </c>
      <c r="AB23" s="16">
        <f t="shared" si="1"/>
        <v>859870.99200000009</v>
      </c>
      <c r="AC23" s="7">
        <v>6299556.415</v>
      </c>
      <c r="AD23" s="8">
        <v>2.8012370744383335E-4</v>
      </c>
      <c r="AE23" s="8">
        <v>5.1163269876731088E-5</v>
      </c>
      <c r="AF23" s="8">
        <v>4.8174382643073758E-5</v>
      </c>
      <c r="AG23" s="8">
        <v>7.2362703147478444E-5</v>
      </c>
      <c r="AH23" s="8">
        <v>6.9072986199899595E-5</v>
      </c>
      <c r="AI23" s="8">
        <v>8.7198508447228928E-5</v>
      </c>
      <c r="AJ23" s="8">
        <v>1.0100932227981585E-4</v>
      </c>
      <c r="AK23" s="8">
        <v>2.2299842811117349E-4</v>
      </c>
      <c r="AL23" s="8">
        <v>6.7984955382606861E-4</v>
      </c>
      <c r="AM23" s="8">
        <v>2.755256655844824E-3</v>
      </c>
      <c r="AN23" s="8">
        <v>1.6604343720287169E-4</v>
      </c>
    </row>
    <row r="24" spans="1:40" x14ac:dyDescent="0.2">
      <c r="A24" t="s">
        <v>38</v>
      </c>
      <c r="B24">
        <v>2012</v>
      </c>
      <c r="C24" t="s">
        <v>42</v>
      </c>
      <c r="D24" s="7">
        <v>119</v>
      </c>
      <c r="E24" s="7">
        <v>59</v>
      </c>
      <c r="F24" s="7">
        <v>43</v>
      </c>
      <c r="G24" s="7">
        <v>65</v>
      </c>
      <c r="H24" s="7">
        <v>58</v>
      </c>
      <c r="I24" s="7">
        <v>59</v>
      </c>
      <c r="J24" s="7">
        <v>65</v>
      </c>
      <c r="K24" s="16">
        <f>SUM(D24:J24)</f>
        <v>468</v>
      </c>
      <c r="L24" s="28">
        <v>82</v>
      </c>
      <c r="M24" s="28">
        <v>206</v>
      </c>
      <c r="N24" s="7">
        <v>273</v>
      </c>
      <c r="O24" s="16">
        <f t="shared" si="0"/>
        <v>561</v>
      </c>
      <c r="P24" s="7">
        <v>1029</v>
      </c>
      <c r="Q24" s="7">
        <v>459596.42200000002</v>
      </c>
      <c r="R24" s="7">
        <v>907245.95200000005</v>
      </c>
      <c r="S24" s="7">
        <v>913166.78900000011</v>
      </c>
      <c r="T24" s="7">
        <v>872688.66800000018</v>
      </c>
      <c r="U24" s="7">
        <v>833065.05199999991</v>
      </c>
      <c r="V24" s="7">
        <v>840803.46099999989</v>
      </c>
      <c r="W24" s="7">
        <v>732408.44300000009</v>
      </c>
      <c r="X24" s="16">
        <f>SUM(Q24:W24)</f>
        <v>5558974.7870000005</v>
      </c>
      <c r="Y24" s="28">
        <v>504676.92300000001</v>
      </c>
      <c r="Z24" s="28">
        <v>285554.89899999998</v>
      </c>
      <c r="AA24" s="7">
        <v>104701.458</v>
      </c>
      <c r="AB24" s="16">
        <f t="shared" si="1"/>
        <v>894933.27999999991</v>
      </c>
      <c r="AC24" s="7">
        <v>6453908.0670000007</v>
      </c>
      <c r="AD24" s="8">
        <v>2.5892281641827053E-4</v>
      </c>
      <c r="AE24" s="8">
        <v>6.5031979332545975E-5</v>
      </c>
      <c r="AF24" s="8">
        <v>4.7088878524687562E-5</v>
      </c>
      <c r="AG24" s="8">
        <v>7.4482461367310874E-5</v>
      </c>
      <c r="AH24" s="8">
        <v>6.9622414072892841E-5</v>
      </c>
      <c r="AI24" s="8">
        <v>7.017097661542571E-5</v>
      </c>
      <c r="AJ24" s="8">
        <v>8.8748294235597704E-5</v>
      </c>
      <c r="AK24" s="8">
        <v>1.6248018536801613E-4</v>
      </c>
      <c r="AL24" s="8">
        <v>7.2140243687431895E-4</v>
      </c>
      <c r="AM24" s="8">
        <v>2.6074135471924375E-3</v>
      </c>
      <c r="AN24" s="8">
        <v>1.5943827977058785E-4</v>
      </c>
    </row>
    <row r="25" spans="1:40" x14ac:dyDescent="0.2">
      <c r="A25" t="s">
        <v>38</v>
      </c>
      <c r="B25">
        <v>2013</v>
      </c>
      <c r="C25" t="s">
        <v>43</v>
      </c>
      <c r="D25" s="7">
        <v>96</v>
      </c>
      <c r="E25" s="7">
        <v>67</v>
      </c>
      <c r="F25" s="7">
        <v>61</v>
      </c>
      <c r="G25" s="7">
        <v>65</v>
      </c>
      <c r="H25" s="7">
        <v>67</v>
      </c>
      <c r="I25" s="7">
        <v>50</v>
      </c>
      <c r="J25" s="7">
        <v>53</v>
      </c>
      <c r="K25" s="16">
        <f>SUM(D25:J25)</f>
        <v>459</v>
      </c>
      <c r="L25" s="28">
        <v>78</v>
      </c>
      <c r="M25" s="28">
        <v>197</v>
      </c>
      <c r="N25" s="7">
        <v>348</v>
      </c>
      <c r="O25" s="16">
        <f t="shared" si="0"/>
        <v>623</v>
      </c>
      <c r="P25" s="7">
        <v>1082</v>
      </c>
      <c r="Q25" s="7">
        <v>450178.63199999998</v>
      </c>
      <c r="R25" s="7">
        <v>910374.43299999996</v>
      </c>
      <c r="S25" s="7">
        <v>921847.85400000005</v>
      </c>
      <c r="T25" s="7">
        <v>870085.35499999998</v>
      </c>
      <c r="U25" s="7">
        <v>834820.62100000016</v>
      </c>
      <c r="V25" s="7">
        <v>844302.35800000001</v>
      </c>
      <c r="W25" s="7">
        <v>752311.51099999994</v>
      </c>
      <c r="X25" s="16">
        <f>SUM(Q25:W25)</f>
        <v>5583920.7640000004</v>
      </c>
      <c r="Y25" s="28">
        <v>531488.652</v>
      </c>
      <c r="Z25" s="28">
        <v>293287.13300000003</v>
      </c>
      <c r="AA25" s="7">
        <v>107786.72500000001</v>
      </c>
      <c r="AB25" s="16">
        <f t="shared" si="1"/>
        <v>932562.51</v>
      </c>
      <c r="AC25" s="7">
        <v>6516483.2740000002</v>
      </c>
      <c r="AD25" s="8">
        <v>2.1324868213647245E-4</v>
      </c>
      <c r="AE25" s="8">
        <v>7.3596091422747592E-5</v>
      </c>
      <c r="AF25" s="8">
        <v>6.6171440043293728E-5</v>
      </c>
      <c r="AG25" s="8">
        <v>7.4705314399872873E-5</v>
      </c>
      <c r="AH25" s="8">
        <v>8.0256762129022664E-5</v>
      </c>
      <c r="AI25" s="8">
        <v>5.9220490771150965E-5</v>
      </c>
      <c r="AJ25" s="8">
        <v>7.0449540150662414E-5</v>
      </c>
      <c r="AK25" s="8">
        <v>1.4675760189137584E-4</v>
      </c>
      <c r="AL25" s="8">
        <v>6.7169670208477904E-4</v>
      </c>
      <c r="AM25" s="8">
        <v>3.2285979558243374E-3</v>
      </c>
      <c r="AN25" s="8">
        <v>1.6604047835387721E-4</v>
      </c>
    </row>
    <row r="26" spans="1:40" x14ac:dyDescent="0.2">
      <c r="A26" t="s">
        <v>38</v>
      </c>
      <c r="B26">
        <v>2014</v>
      </c>
      <c r="C26" t="s">
        <v>44</v>
      </c>
      <c r="D26" s="7">
        <v>123</v>
      </c>
      <c r="E26" s="7">
        <v>55</v>
      </c>
      <c r="F26" s="7">
        <v>70</v>
      </c>
      <c r="G26" s="7">
        <v>56</v>
      </c>
      <c r="H26" s="7">
        <v>54</v>
      </c>
      <c r="I26" s="7">
        <v>55</v>
      </c>
      <c r="J26" s="7">
        <v>62</v>
      </c>
      <c r="K26" s="16">
        <f>SUM(D26:J26)</f>
        <v>475</v>
      </c>
      <c r="L26" s="28">
        <v>122</v>
      </c>
      <c r="M26" s="28">
        <v>185</v>
      </c>
      <c r="N26" s="7">
        <v>270</v>
      </c>
      <c r="O26" s="16">
        <f t="shared" si="0"/>
        <v>577</v>
      </c>
      <c r="P26" s="7">
        <v>1052</v>
      </c>
      <c r="Q26" s="7">
        <v>440267.74399999995</v>
      </c>
      <c r="R26" s="7">
        <v>907809.88000000024</v>
      </c>
      <c r="S26" s="7">
        <v>923684.94899999979</v>
      </c>
      <c r="T26" s="7">
        <v>874115.33699999994</v>
      </c>
      <c r="U26" s="7">
        <v>826593.3459999999</v>
      </c>
      <c r="V26" s="7">
        <v>840883.02999999991</v>
      </c>
      <c r="W26" s="7">
        <v>764093.67700000003</v>
      </c>
      <c r="X26" s="16">
        <f>SUM(Q26:W26)</f>
        <v>5577447.9629999995</v>
      </c>
      <c r="Y26" s="28">
        <v>556746.95499999996</v>
      </c>
      <c r="Z26" s="28">
        <v>300493.87800000003</v>
      </c>
      <c r="AA26" s="7">
        <v>113770.36700000001</v>
      </c>
      <c r="AB26" s="16">
        <f t="shared" si="1"/>
        <v>971011.2</v>
      </c>
      <c r="AC26" s="7">
        <v>6548459.1629999997</v>
      </c>
      <c r="AD26" s="8">
        <v>2.7937545204310949E-4</v>
      </c>
      <c r="AE26" s="8">
        <v>6.0585372787526817E-5</v>
      </c>
      <c r="AF26" s="8">
        <v>7.5783415195606929E-5</v>
      </c>
      <c r="AG26" s="8">
        <v>6.4064772267003481E-5</v>
      </c>
      <c r="AH26" s="8">
        <v>6.5328374903225999E-5</v>
      </c>
      <c r="AI26" s="8">
        <v>6.5407432470126082E-5</v>
      </c>
      <c r="AJ26" s="8">
        <v>8.1141883340044965E-5</v>
      </c>
      <c r="AK26" s="8">
        <v>2.1913007139841477E-4</v>
      </c>
      <c r="AL26" s="8">
        <v>6.1565314152589817E-4</v>
      </c>
      <c r="AM26" s="8">
        <v>2.3732014506026859E-3</v>
      </c>
      <c r="AN26" s="8">
        <v>1.6064847833884249E-4</v>
      </c>
    </row>
    <row r="27" spans="1:40" x14ac:dyDescent="0.2">
      <c r="A27" t="s">
        <v>38</v>
      </c>
      <c r="B27">
        <v>2015</v>
      </c>
      <c r="C27" t="s">
        <v>45</v>
      </c>
      <c r="D27" s="7">
        <v>127</v>
      </c>
      <c r="E27" s="7">
        <v>42</v>
      </c>
      <c r="F27" s="7">
        <v>52</v>
      </c>
      <c r="G27" s="7">
        <v>57</v>
      </c>
      <c r="H27" s="7">
        <v>56</v>
      </c>
      <c r="I27" s="7">
        <v>60</v>
      </c>
      <c r="J27" s="7">
        <v>58</v>
      </c>
      <c r="K27" s="16">
        <f>SUM(D27:J27)</f>
        <v>452</v>
      </c>
      <c r="L27" s="28">
        <v>105</v>
      </c>
      <c r="M27" s="28">
        <v>207</v>
      </c>
      <c r="N27" s="7">
        <v>321</v>
      </c>
      <c r="O27" s="16">
        <f t="shared" si="0"/>
        <v>633</v>
      </c>
      <c r="P27" s="7">
        <v>1085</v>
      </c>
      <c r="Q27" s="7">
        <v>424856.47899999999</v>
      </c>
      <c r="R27" s="7">
        <v>892843.10600000003</v>
      </c>
      <c r="S27" s="7">
        <v>916341.00699999998</v>
      </c>
      <c r="T27" s="7">
        <v>873997.61799999978</v>
      </c>
      <c r="U27" s="7">
        <v>823284.95900000003</v>
      </c>
      <c r="V27" s="7">
        <v>824481.64100000006</v>
      </c>
      <c r="W27" s="7">
        <v>767758.80299999996</v>
      </c>
      <c r="X27" s="16">
        <f>SUM(Q27:W27)</f>
        <v>5523563.6129999999</v>
      </c>
      <c r="Y27" s="28">
        <v>581227.27800000005</v>
      </c>
      <c r="Z27" s="28">
        <v>309296.212</v>
      </c>
      <c r="AA27" s="7">
        <v>119063.27099999999</v>
      </c>
      <c r="AB27" s="16">
        <f t="shared" si="1"/>
        <v>1009586.7609999999</v>
      </c>
      <c r="AC27" s="7">
        <v>6533150.3739999998</v>
      </c>
      <c r="AD27" s="8">
        <v>2.9892447515199598E-4</v>
      </c>
      <c r="AE27" s="8">
        <v>4.7040739540637723E-5</v>
      </c>
      <c r="AF27" s="8">
        <v>5.6747433109255143E-5</v>
      </c>
      <c r="AG27" s="8">
        <v>6.5217569048340373E-5</v>
      </c>
      <c r="AH27" s="8">
        <v>6.8020190807348385E-5</v>
      </c>
      <c r="AI27" s="8">
        <v>7.2772997015709169E-5</v>
      </c>
      <c r="AJ27" s="8">
        <v>7.5544558751220212E-5</v>
      </c>
      <c r="AK27" s="8">
        <v>1.8065222327710503E-4</v>
      </c>
      <c r="AL27" s="8">
        <v>6.6926134872935332E-4</v>
      </c>
      <c r="AM27" s="8">
        <v>2.6960455336390013E-3</v>
      </c>
      <c r="AN27" s="8">
        <v>1.6607607936256573E-4</v>
      </c>
    </row>
    <row r="28" spans="1:40" x14ac:dyDescent="0.2">
      <c r="A28" t="s">
        <v>38</v>
      </c>
      <c r="B28">
        <v>2016</v>
      </c>
      <c r="C28" t="s">
        <v>46</v>
      </c>
      <c r="D28" s="7">
        <v>101</v>
      </c>
      <c r="E28" s="7">
        <v>64</v>
      </c>
      <c r="F28" s="7">
        <v>57</v>
      </c>
      <c r="G28" s="7">
        <v>50</v>
      </c>
      <c r="H28" s="7">
        <v>43</v>
      </c>
      <c r="I28" s="7">
        <v>80</v>
      </c>
      <c r="J28" s="7">
        <v>104</v>
      </c>
      <c r="K28" s="16">
        <f>SUM(D28:J28)</f>
        <v>499</v>
      </c>
      <c r="L28" s="28">
        <v>157</v>
      </c>
      <c r="M28" s="28">
        <v>213</v>
      </c>
      <c r="N28" s="7">
        <v>299</v>
      </c>
      <c r="O28" s="16">
        <f t="shared" si="0"/>
        <v>669</v>
      </c>
      <c r="P28" s="7">
        <v>1168</v>
      </c>
      <c r="Q28" s="7">
        <v>429627.26100000006</v>
      </c>
      <c r="R28" s="7">
        <v>895929.60499999986</v>
      </c>
      <c r="S28" s="7">
        <v>924842.09499999997</v>
      </c>
      <c r="T28" s="7">
        <v>883722.65199999989</v>
      </c>
      <c r="U28" s="7">
        <v>817900.82799999986</v>
      </c>
      <c r="V28" s="7">
        <v>822771.35700000008</v>
      </c>
      <c r="W28" s="7">
        <v>761320.06499999994</v>
      </c>
      <c r="X28" s="16">
        <f>SUM(Q28:W28)</f>
        <v>5536113.8629999999</v>
      </c>
      <c r="Y28" s="28">
        <v>587133.42099999986</v>
      </c>
      <c r="Z28" s="28">
        <v>308298.37099999998</v>
      </c>
      <c r="AA28" s="7">
        <v>116430.857</v>
      </c>
      <c r="AB28" s="16">
        <f t="shared" si="1"/>
        <v>1011862.6489999999</v>
      </c>
      <c r="AC28" s="7">
        <v>6547976.5120000001</v>
      </c>
      <c r="AD28" s="8">
        <v>2.3508750297854118E-4</v>
      </c>
      <c r="AE28" s="8">
        <v>7.1434183715806573E-5</v>
      </c>
      <c r="AF28" s="8">
        <v>6.1632142728105385E-5</v>
      </c>
      <c r="AG28" s="8">
        <v>5.6578837134979317E-5</v>
      </c>
      <c r="AH28" s="8">
        <v>5.2573611039308066E-5</v>
      </c>
      <c r="AI28" s="8">
        <v>9.7232359050146162E-5</v>
      </c>
      <c r="AJ28" s="8">
        <v>1.3660483255488611E-4</v>
      </c>
      <c r="AK28" s="8">
        <v>2.6740089115111031E-4</v>
      </c>
      <c r="AL28" s="8">
        <v>6.9088915166535213E-4</v>
      </c>
      <c r="AM28" s="8">
        <v>2.5680477469988902E-3</v>
      </c>
      <c r="AN28" s="8">
        <v>1.7837571620171383E-4</v>
      </c>
    </row>
    <row r="29" spans="1:40" x14ac:dyDescent="0.2">
      <c r="A29" t="s">
        <v>38</v>
      </c>
      <c r="B29">
        <v>2017</v>
      </c>
      <c r="C29" t="s">
        <v>47</v>
      </c>
      <c r="D29" s="7">
        <v>116</v>
      </c>
      <c r="E29" s="7">
        <v>43</v>
      </c>
      <c r="F29" s="7">
        <v>58</v>
      </c>
      <c r="G29" s="7">
        <v>64</v>
      </c>
      <c r="H29" s="7">
        <v>59</v>
      </c>
      <c r="I29" s="7">
        <v>46</v>
      </c>
      <c r="J29" s="7">
        <v>88</v>
      </c>
      <c r="K29" s="16">
        <f>SUM(D29:J29)</f>
        <v>474</v>
      </c>
      <c r="L29" s="28">
        <v>136</v>
      </c>
      <c r="M29" s="28">
        <v>218</v>
      </c>
      <c r="N29" s="7">
        <v>339</v>
      </c>
      <c r="O29" s="16">
        <f t="shared" si="0"/>
        <v>693</v>
      </c>
      <c r="P29" s="7">
        <v>1167</v>
      </c>
      <c r="Q29" s="7">
        <v>430289</v>
      </c>
      <c r="R29" s="7">
        <v>903976</v>
      </c>
      <c r="S29" s="7">
        <v>936681</v>
      </c>
      <c r="T29" s="7">
        <v>909225</v>
      </c>
      <c r="U29" s="7">
        <v>834243</v>
      </c>
      <c r="V29" s="7">
        <v>833583</v>
      </c>
      <c r="W29" s="7">
        <v>801636</v>
      </c>
      <c r="X29" s="16">
        <f>SUM(Q29:W29)</f>
        <v>5649633</v>
      </c>
      <c r="Y29" s="28">
        <v>637694</v>
      </c>
      <c r="Z29" s="28">
        <v>331749</v>
      </c>
      <c r="AA29" s="7">
        <v>123325</v>
      </c>
      <c r="AB29" s="16">
        <f t="shared" si="1"/>
        <v>1092768</v>
      </c>
      <c r="AC29" s="7">
        <v>6742401</v>
      </c>
      <c r="AD29" s="8">
        <v>2.6958625481943529E-4</v>
      </c>
      <c r="AE29" s="8">
        <v>4.7567634538970061E-5</v>
      </c>
      <c r="AF29" s="8">
        <v>6.1920760643164533E-5</v>
      </c>
      <c r="AG29" s="8">
        <v>7.0389617531414113E-5</v>
      </c>
      <c r="AH29" s="8">
        <v>7.0722798992619657E-5</v>
      </c>
      <c r="AI29" s="8">
        <v>5.5183467033276829E-5</v>
      </c>
      <c r="AJ29" s="8">
        <v>1.0977550908392337E-4</v>
      </c>
      <c r="AK29" s="8">
        <v>2.1326843282201181E-4</v>
      </c>
      <c r="AL29" s="8">
        <v>6.5712330707854436E-4</v>
      </c>
      <c r="AM29" s="8">
        <v>2.7488343807013987E-3</v>
      </c>
      <c r="AN29" s="8">
        <v>1.7308374272013782E-4</v>
      </c>
    </row>
    <row r="30" spans="1:40" x14ac:dyDescent="0.2">
      <c r="A30" t="s">
        <v>48</v>
      </c>
      <c r="B30">
        <v>2009</v>
      </c>
      <c r="C30" t="s">
        <v>49</v>
      </c>
      <c r="D30" s="7">
        <v>103</v>
      </c>
      <c r="E30" s="7">
        <v>50</v>
      </c>
      <c r="F30" s="7">
        <v>46</v>
      </c>
      <c r="G30" s="7">
        <v>53</v>
      </c>
      <c r="H30" s="7">
        <v>69</v>
      </c>
      <c r="I30" s="7">
        <v>57</v>
      </c>
      <c r="J30" s="7">
        <v>62</v>
      </c>
      <c r="K30" s="16">
        <f>SUM(D30:J30)</f>
        <v>440</v>
      </c>
      <c r="L30" s="28">
        <v>55</v>
      </c>
      <c r="M30" s="28">
        <v>198</v>
      </c>
      <c r="N30" s="7">
        <v>288</v>
      </c>
      <c r="O30" s="16">
        <f t="shared" si="0"/>
        <v>541</v>
      </c>
      <c r="P30" s="7">
        <v>981</v>
      </c>
      <c r="Q30" s="7">
        <v>199186.86600000004</v>
      </c>
      <c r="R30" s="7">
        <v>382872.46100000007</v>
      </c>
      <c r="S30" s="7">
        <v>391797.96699999995</v>
      </c>
      <c r="T30" s="7">
        <v>377695.30299999996</v>
      </c>
      <c r="U30" s="7">
        <v>375805.32100000011</v>
      </c>
      <c r="V30" s="7">
        <v>394377.50799999991</v>
      </c>
      <c r="W30" s="7">
        <v>323356.77000000014</v>
      </c>
      <c r="X30" s="16">
        <f>SUM(Q30:W30)</f>
        <v>2445092.196</v>
      </c>
      <c r="Y30" s="28">
        <v>211225.89</v>
      </c>
      <c r="Z30" s="28">
        <v>137599.99900000001</v>
      </c>
      <c r="AA30" s="7">
        <v>51390.42099999998</v>
      </c>
      <c r="AB30" s="16">
        <f t="shared" si="1"/>
        <v>400216.31</v>
      </c>
      <c r="AC30" s="7">
        <v>2845308.5060000001</v>
      </c>
      <c r="AD30" s="8">
        <v>5.171023675828103E-4</v>
      </c>
      <c r="AE30" s="8">
        <v>1.3059178993811204E-4</v>
      </c>
      <c r="AF30" s="8">
        <v>1.1740744943681652E-4</v>
      </c>
      <c r="AG30" s="8">
        <v>1.4032475272799462E-4</v>
      </c>
      <c r="AH30" s="8">
        <v>1.8360570259195447E-4</v>
      </c>
      <c r="AI30" s="8">
        <v>1.4453156897578453E-4</v>
      </c>
      <c r="AJ30" s="8">
        <v>1.9173867923037447E-4</v>
      </c>
      <c r="AK30" s="8">
        <v>2.6038474734323521E-4</v>
      </c>
      <c r="AL30" s="8">
        <v>1.4389534988296039E-3</v>
      </c>
      <c r="AM30" s="8">
        <v>5.6041572416773953E-3</v>
      </c>
      <c r="AN30" s="8">
        <v>3.4477807869738255E-4</v>
      </c>
    </row>
    <row r="31" spans="1:40" x14ac:dyDescent="0.2">
      <c r="A31" t="s">
        <v>48</v>
      </c>
      <c r="B31">
        <v>2010</v>
      </c>
      <c r="C31" t="s">
        <v>50</v>
      </c>
      <c r="D31" s="7">
        <v>97</v>
      </c>
      <c r="E31" s="7">
        <v>55</v>
      </c>
      <c r="F31" s="7">
        <v>54</v>
      </c>
      <c r="G31" s="7">
        <v>49</v>
      </c>
      <c r="H31" s="7">
        <v>49</v>
      </c>
      <c r="I31" s="7">
        <v>56</v>
      </c>
      <c r="J31" s="7">
        <v>54</v>
      </c>
      <c r="K31" s="16">
        <f>SUM(D31:J31)</f>
        <v>414</v>
      </c>
      <c r="L31" s="28">
        <v>70</v>
      </c>
      <c r="M31" s="28">
        <v>178</v>
      </c>
      <c r="N31" s="7">
        <v>263</v>
      </c>
      <c r="O31" s="16">
        <f t="shared" si="0"/>
        <v>511</v>
      </c>
      <c r="P31" s="7">
        <v>925</v>
      </c>
      <c r="Q31" s="7">
        <v>204960.21</v>
      </c>
      <c r="R31" s="7">
        <v>409884.86800000007</v>
      </c>
      <c r="S31" s="7">
        <v>423367.80600000016</v>
      </c>
      <c r="T31" s="7">
        <v>386472.19900000008</v>
      </c>
      <c r="U31" s="7">
        <v>395140.17800000007</v>
      </c>
      <c r="V31" s="7">
        <v>425145.47100000008</v>
      </c>
      <c r="W31" s="7">
        <v>360636.62099999998</v>
      </c>
      <c r="X31" s="16">
        <f>SUM(Q31:W31)</f>
        <v>2605607.3530000001</v>
      </c>
      <c r="Y31" s="28">
        <v>240599.25100000002</v>
      </c>
      <c r="Z31" s="28">
        <v>142096.35199999998</v>
      </c>
      <c r="AA31" s="7">
        <v>53408.835000000006</v>
      </c>
      <c r="AB31" s="16">
        <f t="shared" si="1"/>
        <v>436104.43800000002</v>
      </c>
      <c r="AC31" s="7">
        <v>3041711.7910000002</v>
      </c>
      <c r="AD31" s="8">
        <v>4.7326259082189662E-4</v>
      </c>
      <c r="AE31" s="8">
        <v>1.3418402164580516E-4</v>
      </c>
      <c r="AF31" s="8">
        <v>1.2754866863920206E-4</v>
      </c>
      <c r="AG31" s="8">
        <v>1.267879038305676E-4</v>
      </c>
      <c r="AH31" s="8">
        <v>1.240066253146244E-4</v>
      </c>
      <c r="AI31" s="8">
        <v>1.3171962027086956E-4</v>
      </c>
      <c r="AJ31" s="8">
        <v>1.4973520950330776E-4</v>
      </c>
      <c r="AK31" s="8">
        <v>2.9094022408240997E-4</v>
      </c>
      <c r="AL31" s="8">
        <v>1.2526711452803519E-3</v>
      </c>
      <c r="AM31" s="8">
        <v>4.9242789137789646E-3</v>
      </c>
      <c r="AN31" s="8">
        <v>3.0410507752146195E-4</v>
      </c>
    </row>
    <row r="32" spans="1:40" x14ac:dyDescent="0.2">
      <c r="A32" t="s">
        <v>48</v>
      </c>
      <c r="B32">
        <v>2011</v>
      </c>
      <c r="C32" t="s">
        <v>51</v>
      </c>
      <c r="D32" s="7">
        <v>125</v>
      </c>
      <c r="E32" s="7">
        <v>56</v>
      </c>
      <c r="F32" s="7">
        <v>45</v>
      </c>
      <c r="G32" s="7">
        <v>50</v>
      </c>
      <c r="H32" s="7">
        <v>62</v>
      </c>
      <c r="I32" s="7">
        <v>62</v>
      </c>
      <c r="J32" s="7">
        <v>57</v>
      </c>
      <c r="K32" s="16">
        <f>SUM(D32:J32)</f>
        <v>457</v>
      </c>
      <c r="L32" s="28">
        <v>77</v>
      </c>
      <c r="M32" s="28">
        <v>195</v>
      </c>
      <c r="N32" s="7">
        <v>343</v>
      </c>
      <c r="O32" s="16">
        <f t="shared" si="0"/>
        <v>615</v>
      </c>
      <c r="P32" s="7">
        <v>1072</v>
      </c>
      <c r="Q32" s="7">
        <v>201013.345</v>
      </c>
      <c r="R32" s="7">
        <v>401595.69700000004</v>
      </c>
      <c r="S32" s="7">
        <v>413008.55900000007</v>
      </c>
      <c r="T32" s="7">
        <v>382848.91099999991</v>
      </c>
      <c r="U32" s="7">
        <v>381655.40300000011</v>
      </c>
      <c r="V32" s="7">
        <v>412790.38999999996</v>
      </c>
      <c r="W32" s="7">
        <v>353585.6500000002</v>
      </c>
      <c r="X32" s="16">
        <f>SUM(Q32:W32)</f>
        <v>2546497.9550000005</v>
      </c>
      <c r="Y32" s="28">
        <v>234666.11500000002</v>
      </c>
      <c r="Z32" s="28">
        <v>137703.33599999998</v>
      </c>
      <c r="AA32" s="7">
        <v>51657.542999999998</v>
      </c>
      <c r="AB32" s="16">
        <f t="shared" si="1"/>
        <v>424026.99400000001</v>
      </c>
      <c r="AC32" s="7">
        <v>2970524.949000001</v>
      </c>
      <c r="AD32" s="8">
        <v>6.2184926080405256E-4</v>
      </c>
      <c r="AE32" s="8">
        <v>1.394437251652126E-4</v>
      </c>
      <c r="AF32" s="8">
        <v>1.0895657975940396E-4</v>
      </c>
      <c r="AG32" s="8">
        <v>1.3059982296776079E-4</v>
      </c>
      <c r="AH32" s="8">
        <v>1.6245020904368012E-4</v>
      </c>
      <c r="AI32" s="8">
        <v>1.5019729504846274E-4</v>
      </c>
      <c r="AJ32" s="8">
        <v>1.6120563716315968E-4</v>
      </c>
      <c r="AK32" s="8">
        <v>3.2812577137521535E-4</v>
      </c>
      <c r="AL32" s="8">
        <v>1.4160876973960893E-3</v>
      </c>
      <c r="AM32" s="8">
        <v>6.639882194939082E-3</v>
      </c>
      <c r="AN32" s="8">
        <v>3.6087897540159648E-4</v>
      </c>
    </row>
    <row r="33" spans="1:40" x14ac:dyDescent="0.2">
      <c r="A33" t="s">
        <v>48</v>
      </c>
      <c r="B33">
        <v>2012</v>
      </c>
      <c r="C33" t="s">
        <v>52</v>
      </c>
      <c r="D33" s="7">
        <v>115</v>
      </c>
      <c r="E33" s="7">
        <v>52</v>
      </c>
      <c r="F33" s="7">
        <v>53</v>
      </c>
      <c r="G33" s="7">
        <v>64</v>
      </c>
      <c r="H33" s="7">
        <v>62</v>
      </c>
      <c r="I33" s="7">
        <v>63</v>
      </c>
      <c r="J33" s="7">
        <v>80</v>
      </c>
      <c r="K33" s="16">
        <f>SUM(D33:J33)</f>
        <v>489</v>
      </c>
      <c r="L33" s="28">
        <v>80</v>
      </c>
      <c r="M33" s="28">
        <v>160</v>
      </c>
      <c r="N33" s="7">
        <v>353</v>
      </c>
      <c r="O33" s="16">
        <f t="shared" si="0"/>
        <v>593</v>
      </c>
      <c r="P33" s="7">
        <v>1082</v>
      </c>
      <c r="Q33" s="7">
        <v>203823.91299999997</v>
      </c>
      <c r="R33" s="7">
        <v>410541.44699999993</v>
      </c>
      <c r="S33" s="7">
        <v>417997.08400000009</v>
      </c>
      <c r="T33" s="7">
        <v>391034.77800000028</v>
      </c>
      <c r="U33" s="7">
        <v>387441.9529999998</v>
      </c>
      <c r="V33" s="7">
        <v>426075.0630000002</v>
      </c>
      <c r="W33" s="7">
        <v>377370.55900000001</v>
      </c>
      <c r="X33" s="16">
        <f>SUM(Q33:W33)</f>
        <v>2614284.7969999998</v>
      </c>
      <c r="Y33" s="28">
        <v>251004.82699999999</v>
      </c>
      <c r="Z33" s="28">
        <v>144373.21399999992</v>
      </c>
      <c r="AA33" s="7">
        <v>53390.073999999986</v>
      </c>
      <c r="AB33" s="16">
        <f t="shared" si="1"/>
        <v>448768.11499999987</v>
      </c>
      <c r="AC33" s="7">
        <v>3063052.9119999995</v>
      </c>
      <c r="AD33" s="8">
        <v>5.6421250238680297E-4</v>
      </c>
      <c r="AE33" s="8">
        <v>1.2666199814899569E-4</v>
      </c>
      <c r="AF33" s="8">
        <v>1.2679514290582942E-4</v>
      </c>
      <c r="AG33" s="8">
        <v>1.6366830676119542E-4</v>
      </c>
      <c r="AH33" s="8">
        <v>1.6002397138443092E-4</v>
      </c>
      <c r="AI33" s="8">
        <v>1.4786127016309323E-4</v>
      </c>
      <c r="AJ33" s="8">
        <v>2.119932201706281E-4</v>
      </c>
      <c r="AK33" s="8">
        <v>3.1871897029294978E-4</v>
      </c>
      <c r="AL33" s="8">
        <v>1.1082388177629688E-3</v>
      </c>
      <c r="AM33" s="8">
        <v>6.6117158781237141E-3</v>
      </c>
      <c r="AN33" s="8">
        <v>3.5324234712403826E-4</v>
      </c>
    </row>
    <row r="34" spans="1:40" x14ac:dyDescent="0.2">
      <c r="A34" t="s">
        <v>48</v>
      </c>
      <c r="B34">
        <v>2013</v>
      </c>
      <c r="C34" t="s">
        <v>53</v>
      </c>
      <c r="D34" s="7">
        <v>119</v>
      </c>
      <c r="E34" s="7">
        <v>77</v>
      </c>
      <c r="F34" s="7">
        <v>65</v>
      </c>
      <c r="G34" s="7">
        <v>56</v>
      </c>
      <c r="H34" s="7">
        <v>55</v>
      </c>
      <c r="I34" s="7">
        <v>59</v>
      </c>
      <c r="J34" s="7">
        <v>61</v>
      </c>
      <c r="K34" s="16">
        <f>SUM(D34:J34)</f>
        <v>492</v>
      </c>
      <c r="L34" s="28">
        <v>141</v>
      </c>
      <c r="M34" s="28">
        <v>183</v>
      </c>
      <c r="N34" s="7">
        <v>335</v>
      </c>
      <c r="O34" s="16">
        <f t="shared" si="0"/>
        <v>659</v>
      </c>
      <c r="P34" s="7">
        <v>1151</v>
      </c>
      <c r="Q34" s="7">
        <v>201907.75699999995</v>
      </c>
      <c r="R34" s="7">
        <v>409637.83799999993</v>
      </c>
      <c r="S34" s="7">
        <v>417459.21100000007</v>
      </c>
      <c r="T34" s="7">
        <v>394154.52100000012</v>
      </c>
      <c r="U34" s="7">
        <v>381010.70699999999</v>
      </c>
      <c r="V34" s="7">
        <v>416714.05199999997</v>
      </c>
      <c r="W34" s="7">
        <v>372291.72800000012</v>
      </c>
      <c r="X34" s="16">
        <f>SUM(Q34:W34)</f>
        <v>2593175.8140000002</v>
      </c>
      <c r="Y34" s="28">
        <v>250170.57299999997</v>
      </c>
      <c r="Z34" s="28">
        <v>141744.07000000004</v>
      </c>
      <c r="AA34" s="7">
        <v>53803.536</v>
      </c>
      <c r="AB34" s="16">
        <f t="shared" si="1"/>
        <v>445718.17900000006</v>
      </c>
      <c r="AC34" s="7">
        <v>3038893.9929999998</v>
      </c>
      <c r="AD34" s="8">
        <v>5.8937804950208038E-4</v>
      </c>
      <c r="AE34" s="8">
        <v>1.8797091688585666E-4</v>
      </c>
      <c r="AF34" s="8">
        <v>1.5570383473943755E-4</v>
      </c>
      <c r="AG34" s="8">
        <v>1.420762594779421E-4</v>
      </c>
      <c r="AH34" s="8">
        <v>1.443528987231322E-4</v>
      </c>
      <c r="AI34" s="8">
        <v>1.415838983994713E-4</v>
      </c>
      <c r="AJ34" s="8">
        <v>1.6385000098632324E-4</v>
      </c>
      <c r="AK34" s="8">
        <v>5.6361544968760178E-4</v>
      </c>
      <c r="AL34" s="8">
        <v>1.2910593014579018E-3</v>
      </c>
      <c r="AM34" s="8">
        <v>6.2263565725494321E-3</v>
      </c>
      <c r="AN34" s="8">
        <v>3.7875621941775318E-4</v>
      </c>
    </row>
    <row r="35" spans="1:40" x14ac:dyDescent="0.2">
      <c r="A35" t="s">
        <v>48</v>
      </c>
      <c r="B35">
        <v>2014</v>
      </c>
      <c r="C35" t="s">
        <v>54</v>
      </c>
      <c r="D35" s="7">
        <v>107</v>
      </c>
      <c r="E35" s="7">
        <v>45</v>
      </c>
      <c r="F35" s="7">
        <v>55</v>
      </c>
      <c r="G35" s="7">
        <v>57</v>
      </c>
      <c r="H35" s="7">
        <v>49</v>
      </c>
      <c r="I35" s="7">
        <v>48</v>
      </c>
      <c r="J35" s="7">
        <v>91</v>
      </c>
      <c r="K35" s="16">
        <f>SUM(D35:J35)</f>
        <v>452</v>
      </c>
      <c r="L35" s="28">
        <v>87</v>
      </c>
      <c r="M35" s="28">
        <v>176</v>
      </c>
      <c r="N35" s="7">
        <v>260</v>
      </c>
      <c r="O35" s="16">
        <f t="shared" si="0"/>
        <v>523</v>
      </c>
      <c r="P35" s="7">
        <v>975</v>
      </c>
      <c r="Q35" s="7">
        <v>196279.19200000007</v>
      </c>
      <c r="R35" s="7">
        <v>402519.16499999998</v>
      </c>
      <c r="S35" s="7">
        <v>406389.87399999989</v>
      </c>
      <c r="T35" s="7">
        <v>383401.95300000004</v>
      </c>
      <c r="U35" s="7">
        <v>368471.29700000002</v>
      </c>
      <c r="V35" s="7">
        <v>397398.28599999996</v>
      </c>
      <c r="W35" s="7">
        <v>363029.78399999993</v>
      </c>
      <c r="X35" s="16">
        <f>SUM(Q35:W35)</f>
        <v>2517489.551</v>
      </c>
      <c r="Y35" s="28">
        <v>248650.27500000002</v>
      </c>
      <c r="Z35" s="28">
        <v>136221.62299999996</v>
      </c>
      <c r="AA35" s="7">
        <v>51222.317000000003</v>
      </c>
      <c r="AB35" s="16">
        <f t="shared" si="1"/>
        <v>436094.21499999997</v>
      </c>
      <c r="AC35" s="7">
        <v>2953583.7659999998</v>
      </c>
      <c r="AD35" s="8">
        <v>5.4514184060835123E-4</v>
      </c>
      <c r="AE35" s="8">
        <v>1.1179591908375345E-4</v>
      </c>
      <c r="AF35" s="8">
        <v>1.3533801779716591E-4</v>
      </c>
      <c r="AG35" s="8">
        <v>1.4866903925239003E-4</v>
      </c>
      <c r="AH35" s="8">
        <v>1.3298186425630867E-4</v>
      </c>
      <c r="AI35" s="8">
        <v>1.2078562412320019E-4</v>
      </c>
      <c r="AJ35" s="8">
        <v>2.5066813801701742E-4</v>
      </c>
      <c r="AK35" s="8">
        <v>3.4988901580744279E-4</v>
      </c>
      <c r="AL35" s="8">
        <v>1.2920122086638188E-3</v>
      </c>
      <c r="AM35" s="8">
        <v>5.0759125168039548E-3</v>
      </c>
      <c r="AN35" s="8">
        <v>3.3010744818672602E-4</v>
      </c>
    </row>
    <row r="36" spans="1:40" x14ac:dyDescent="0.2">
      <c r="A36" t="s">
        <v>48</v>
      </c>
      <c r="B36">
        <v>2015</v>
      </c>
      <c r="C36" t="s">
        <v>55</v>
      </c>
      <c r="D36" s="7">
        <v>81</v>
      </c>
      <c r="E36" s="7">
        <v>62</v>
      </c>
      <c r="F36" s="7">
        <v>60</v>
      </c>
      <c r="G36" s="7">
        <v>33</v>
      </c>
      <c r="H36" s="7">
        <v>52</v>
      </c>
      <c r="I36" s="7">
        <v>56</v>
      </c>
      <c r="J36" s="7">
        <v>63</v>
      </c>
      <c r="K36" s="16">
        <f>SUM(D36:J36)</f>
        <v>407</v>
      </c>
      <c r="L36" s="28">
        <v>105</v>
      </c>
      <c r="M36" s="28">
        <v>185</v>
      </c>
      <c r="N36" s="7">
        <v>268</v>
      </c>
      <c r="O36" s="16">
        <f t="shared" si="0"/>
        <v>558</v>
      </c>
      <c r="P36" s="7">
        <v>965</v>
      </c>
      <c r="Q36" s="7">
        <v>199687.81900000005</v>
      </c>
      <c r="R36" s="7">
        <v>413785.06599999999</v>
      </c>
      <c r="S36" s="7">
        <v>420881.75799999997</v>
      </c>
      <c r="T36" s="7">
        <v>402621.25099999993</v>
      </c>
      <c r="U36" s="7">
        <v>382225.924</v>
      </c>
      <c r="V36" s="7">
        <v>409132.609</v>
      </c>
      <c r="W36" s="7">
        <v>389166.625</v>
      </c>
      <c r="X36" s="16">
        <f>SUM(Q36:W36)</f>
        <v>2617501.0520000001</v>
      </c>
      <c r="Y36" s="28">
        <v>276435.07699999993</v>
      </c>
      <c r="Z36" s="28">
        <v>148365.69300000003</v>
      </c>
      <c r="AA36" s="7">
        <v>57187.350000000013</v>
      </c>
      <c r="AB36" s="16">
        <f t="shared" si="1"/>
        <v>481988.12</v>
      </c>
      <c r="AC36" s="7">
        <v>3099489.1720000003</v>
      </c>
      <c r="AD36" s="8">
        <v>4.0563315481952349E-4</v>
      </c>
      <c r="AE36" s="8">
        <v>1.4983624372755879E-4</v>
      </c>
      <c r="AF36" s="8">
        <v>1.4255785350525933E-4</v>
      </c>
      <c r="AG36" s="8">
        <v>8.1962886752840589E-5</v>
      </c>
      <c r="AH36" s="8">
        <v>1.3604519404602185E-4</v>
      </c>
      <c r="AI36" s="8">
        <v>1.3687493680074764E-4</v>
      </c>
      <c r="AJ36" s="8">
        <v>1.6188438564072652E-4</v>
      </c>
      <c r="AK36" s="8">
        <v>3.7983602203999612E-4</v>
      </c>
      <c r="AL36" s="8">
        <v>1.2469189895537372E-3</v>
      </c>
      <c r="AM36" s="8">
        <v>4.6863510898826387E-3</v>
      </c>
      <c r="AN36" s="8">
        <v>3.1134162645818077E-4</v>
      </c>
    </row>
    <row r="37" spans="1:40" x14ac:dyDescent="0.2">
      <c r="A37" t="s">
        <v>48</v>
      </c>
      <c r="B37">
        <v>2016</v>
      </c>
      <c r="C37" t="s">
        <v>56</v>
      </c>
      <c r="D37" s="7">
        <v>99</v>
      </c>
      <c r="E37" s="7">
        <v>44</v>
      </c>
      <c r="F37" s="7">
        <v>51</v>
      </c>
      <c r="G37" s="7">
        <v>35</v>
      </c>
      <c r="H37" s="7">
        <v>53</v>
      </c>
      <c r="I37" s="7">
        <v>55</v>
      </c>
      <c r="J37" s="7">
        <v>48</v>
      </c>
      <c r="K37" s="16">
        <f>SUM(D37:J37)</f>
        <v>385</v>
      </c>
      <c r="L37" s="28">
        <v>119</v>
      </c>
      <c r="M37" s="28">
        <v>164</v>
      </c>
      <c r="N37" s="7">
        <v>239</v>
      </c>
      <c r="O37" s="16">
        <f t="shared" si="0"/>
        <v>522</v>
      </c>
      <c r="P37" s="7">
        <v>907</v>
      </c>
      <c r="Q37" s="7">
        <v>196996.36499999996</v>
      </c>
      <c r="R37" s="7">
        <v>411274.76800000016</v>
      </c>
      <c r="S37" s="7">
        <v>426124.03300000005</v>
      </c>
      <c r="T37" s="7">
        <v>400669.15099999984</v>
      </c>
      <c r="U37" s="7">
        <v>380202.05699999991</v>
      </c>
      <c r="V37" s="7">
        <v>401270.43999999983</v>
      </c>
      <c r="W37" s="7">
        <v>385220.55199999991</v>
      </c>
      <c r="X37" s="16">
        <f>SUM(Q37:W37)</f>
        <v>2601757.3659999995</v>
      </c>
      <c r="Y37" s="28">
        <v>277137.89199999999</v>
      </c>
      <c r="Z37" s="28">
        <v>145816.55200000003</v>
      </c>
      <c r="AA37" s="7">
        <v>57302.288999999982</v>
      </c>
      <c r="AB37" s="16">
        <f t="shared" si="1"/>
        <v>480256.73300000001</v>
      </c>
      <c r="AC37" s="7">
        <v>3082014.0989999995</v>
      </c>
      <c r="AD37" s="8">
        <v>5.0254734395733657E-4</v>
      </c>
      <c r="AE37" s="8">
        <v>1.0698443819923322E-4</v>
      </c>
      <c r="AF37" s="8">
        <v>1.196834631479234E-4</v>
      </c>
      <c r="AG37" s="8">
        <v>8.7353867680219817E-5</v>
      </c>
      <c r="AH37" s="8">
        <v>1.3939956142846436E-4</v>
      </c>
      <c r="AI37" s="8">
        <v>1.3706466890509061E-4</v>
      </c>
      <c r="AJ37" s="8">
        <v>1.2460394376881536E-4</v>
      </c>
      <c r="AK37" s="8">
        <v>4.2938913600454174E-4</v>
      </c>
      <c r="AL37" s="8">
        <v>1.1247008501476567E-3</v>
      </c>
      <c r="AM37" s="8">
        <v>4.1708630522595712E-3</v>
      </c>
      <c r="AN37" s="8">
        <v>2.9428807619481307E-4</v>
      </c>
    </row>
    <row r="38" spans="1:40" x14ac:dyDescent="0.2">
      <c r="A38" t="s">
        <v>48</v>
      </c>
      <c r="B38">
        <v>2017</v>
      </c>
      <c r="C38" t="s">
        <v>57</v>
      </c>
      <c r="D38" s="7">
        <v>101</v>
      </c>
      <c r="E38" s="7">
        <v>55</v>
      </c>
      <c r="F38" s="7">
        <v>53</v>
      </c>
      <c r="G38" s="7">
        <v>54</v>
      </c>
      <c r="H38" s="7">
        <v>42</v>
      </c>
      <c r="I38" s="7">
        <v>48</v>
      </c>
      <c r="J38" s="7">
        <v>70</v>
      </c>
      <c r="K38" s="16">
        <f>SUM(D38:J38)</f>
        <v>423</v>
      </c>
      <c r="L38" s="28">
        <v>117</v>
      </c>
      <c r="M38" s="28">
        <v>220</v>
      </c>
      <c r="N38" s="7">
        <v>240</v>
      </c>
      <c r="O38" s="16">
        <f t="shared" si="0"/>
        <v>577</v>
      </c>
      <c r="P38" s="7">
        <v>1000</v>
      </c>
      <c r="Q38" s="7">
        <v>201718</v>
      </c>
      <c r="R38" s="7">
        <v>420355</v>
      </c>
      <c r="S38" s="7">
        <v>430904</v>
      </c>
      <c r="T38" s="7">
        <v>411178</v>
      </c>
      <c r="U38" s="7">
        <v>389361</v>
      </c>
      <c r="V38" s="7">
        <v>401397</v>
      </c>
      <c r="W38" s="7">
        <v>393915</v>
      </c>
      <c r="X38" s="16">
        <f>SUM(Q38:W38)</f>
        <v>2648828</v>
      </c>
      <c r="Y38" s="28">
        <v>289374</v>
      </c>
      <c r="Z38" s="28">
        <v>148419</v>
      </c>
      <c r="AA38" s="7">
        <v>57541</v>
      </c>
      <c r="AB38" s="16">
        <f t="shared" si="1"/>
        <v>495334</v>
      </c>
      <c r="AC38" s="7">
        <v>3144162</v>
      </c>
      <c r="AD38" s="8">
        <v>5.0069899562755929E-4</v>
      </c>
      <c r="AE38" s="8">
        <v>1.3084178848830156E-4</v>
      </c>
      <c r="AF38" s="8">
        <v>1.2299723372259251E-4</v>
      </c>
      <c r="AG38" s="8">
        <v>1.3132998360807242E-4</v>
      </c>
      <c r="AH38" s="8">
        <v>1.0786904697696996E-4</v>
      </c>
      <c r="AI38" s="8">
        <v>1.1958235861254569E-4</v>
      </c>
      <c r="AJ38" s="8">
        <v>1.7770331162814313E-4</v>
      </c>
      <c r="AK38" s="8">
        <v>4.0432105164942255E-4</v>
      </c>
      <c r="AL38" s="8">
        <v>1.4822900033014642E-3</v>
      </c>
      <c r="AM38" s="8">
        <v>4.1709389826384662E-3</v>
      </c>
      <c r="AN38" s="8">
        <v>3.1804976970016178E-4</v>
      </c>
    </row>
    <row r="39" spans="1:40" x14ac:dyDescent="0.2">
      <c r="A39" t="s">
        <v>58</v>
      </c>
      <c r="B39">
        <v>2009</v>
      </c>
      <c r="C39" t="s">
        <v>59</v>
      </c>
      <c r="D39" s="7">
        <v>82</v>
      </c>
      <c r="E39" s="7">
        <v>56</v>
      </c>
      <c r="F39" s="7">
        <v>58</v>
      </c>
      <c r="G39" s="7">
        <v>117</v>
      </c>
      <c r="H39" s="7">
        <v>186</v>
      </c>
      <c r="I39" s="7">
        <v>346</v>
      </c>
      <c r="J39" s="7">
        <v>436</v>
      </c>
      <c r="K39" s="16">
        <f>SUM(D39:J39)</f>
        <v>1281</v>
      </c>
      <c r="L39" s="28">
        <v>708</v>
      </c>
      <c r="M39" s="28">
        <v>1633</v>
      </c>
      <c r="N39" s="7">
        <v>2856</v>
      </c>
      <c r="O39" s="16">
        <f t="shared" si="0"/>
        <v>5197</v>
      </c>
      <c r="P39" s="7">
        <v>6478</v>
      </c>
      <c r="Q39" s="7">
        <v>2706816.1960000009</v>
      </c>
      <c r="R39" s="7">
        <v>5123024.9670000002</v>
      </c>
      <c r="S39" s="7">
        <v>5282080.5820000004</v>
      </c>
      <c r="T39" s="7">
        <v>5291269.3649999993</v>
      </c>
      <c r="U39" s="7">
        <v>5353470.8099999996</v>
      </c>
      <c r="V39" s="7">
        <v>5067792.0830000006</v>
      </c>
      <c r="W39" s="7">
        <v>3565300.6289999997</v>
      </c>
      <c r="X39" s="16">
        <f>SUM(Q39:W39)</f>
        <v>32389754.631999999</v>
      </c>
      <c r="Y39" s="28">
        <v>2054746.4149999998</v>
      </c>
      <c r="Z39" s="28">
        <v>1376966.0410000004</v>
      </c>
      <c r="AA39" s="7">
        <v>543958.95400000003</v>
      </c>
      <c r="AB39" s="16">
        <f t="shared" si="1"/>
        <v>3975671.41</v>
      </c>
      <c r="AC39" s="7">
        <v>36365426.042000003</v>
      </c>
      <c r="AD39" s="8">
        <v>3.0293892921571677E-5</v>
      </c>
      <c r="AE39" s="8">
        <v>1.0931041788928294E-5</v>
      </c>
      <c r="AF39" s="8">
        <v>1.0980521614465593E-5</v>
      </c>
      <c r="AG39" s="8">
        <v>2.2111896395582577E-5</v>
      </c>
      <c r="AH39" s="8">
        <v>3.474381510637209E-5</v>
      </c>
      <c r="AI39" s="8">
        <v>6.8274308482517109E-5</v>
      </c>
      <c r="AJ39" s="8">
        <v>1.2228982780683207E-4</v>
      </c>
      <c r="AK39" s="8">
        <v>3.4456806680935374E-4</v>
      </c>
      <c r="AL39" s="8">
        <v>1.1859406487715984E-3</v>
      </c>
      <c r="AM39" s="8">
        <v>5.2503961539715734E-3</v>
      </c>
      <c r="AN39" s="8">
        <v>1.7813623281955442E-4</v>
      </c>
    </row>
    <row r="40" spans="1:40" x14ac:dyDescent="0.2">
      <c r="A40" t="s">
        <v>58</v>
      </c>
      <c r="B40">
        <v>2010</v>
      </c>
      <c r="C40" t="s">
        <v>60</v>
      </c>
      <c r="D40" s="7">
        <v>139</v>
      </c>
      <c r="E40" s="7">
        <v>61</v>
      </c>
      <c r="F40" s="7">
        <v>66</v>
      </c>
      <c r="G40" s="7">
        <v>65</v>
      </c>
      <c r="H40" s="7">
        <v>71</v>
      </c>
      <c r="I40" s="7">
        <v>143</v>
      </c>
      <c r="J40" s="7">
        <v>351</v>
      </c>
      <c r="K40" s="16">
        <f>SUM(D40:J40)</f>
        <v>896</v>
      </c>
      <c r="L40" s="28">
        <v>695</v>
      </c>
      <c r="M40" s="28">
        <v>1579</v>
      </c>
      <c r="N40" s="7">
        <v>2955</v>
      </c>
      <c r="O40" s="16">
        <f t="shared" si="0"/>
        <v>5229</v>
      </c>
      <c r="P40" s="7">
        <v>6125</v>
      </c>
      <c r="Q40" s="7">
        <v>2535634.203999999</v>
      </c>
      <c r="R40" s="7">
        <v>5069381.2720000017</v>
      </c>
      <c r="S40" s="7">
        <v>5478728.7649999997</v>
      </c>
      <c r="T40" s="7">
        <v>5214198.7339999992</v>
      </c>
      <c r="U40" s="7">
        <v>5246795.1690000007</v>
      </c>
      <c r="V40" s="7">
        <v>5104320.8229999999</v>
      </c>
      <c r="W40" s="7">
        <v>3730652.4450000003</v>
      </c>
      <c r="X40" s="16">
        <f>SUM(Q40:W40)</f>
        <v>32379711.412</v>
      </c>
      <c r="Y40" s="28">
        <v>2113248.1669999994</v>
      </c>
      <c r="Z40" s="28">
        <v>1351939.3490000002</v>
      </c>
      <c r="AA40" s="7">
        <v>555556.43999999971</v>
      </c>
      <c r="AB40" s="16">
        <f t="shared" si="1"/>
        <v>4020743.9559999993</v>
      </c>
      <c r="AC40" s="7">
        <v>36400455.367999993</v>
      </c>
      <c r="AD40" s="8">
        <v>5.4818632664256354E-5</v>
      </c>
      <c r="AE40" s="8">
        <v>1.203302666085203E-5</v>
      </c>
      <c r="AF40" s="8">
        <v>1.2046590154568458E-5</v>
      </c>
      <c r="AG40" s="8">
        <v>1.2465961371237602E-5</v>
      </c>
      <c r="AH40" s="8">
        <v>1.3532070094806477E-5</v>
      </c>
      <c r="AI40" s="8">
        <v>2.8015480405472156E-5</v>
      </c>
      <c r="AJ40" s="8">
        <v>9.4085419420516389E-5</v>
      </c>
      <c r="AK40" s="8">
        <v>3.2887760692424165E-4</v>
      </c>
      <c r="AL40" s="8">
        <v>1.1679518028437825E-3</v>
      </c>
      <c r="AM40" s="8">
        <v>5.3189915321654839E-3</v>
      </c>
      <c r="AN40" s="8">
        <v>1.6826712572899703E-4</v>
      </c>
    </row>
    <row r="41" spans="1:40" x14ac:dyDescent="0.2">
      <c r="A41" t="s">
        <v>58</v>
      </c>
      <c r="B41">
        <v>2011</v>
      </c>
      <c r="C41" t="s">
        <v>61</v>
      </c>
      <c r="D41" s="7">
        <v>77</v>
      </c>
      <c r="E41" s="7">
        <v>57</v>
      </c>
      <c r="F41" s="7">
        <v>61</v>
      </c>
      <c r="G41" s="7">
        <v>74</v>
      </c>
      <c r="H41" s="7">
        <v>88</v>
      </c>
      <c r="I41" s="7">
        <v>215</v>
      </c>
      <c r="J41" s="7">
        <v>444</v>
      </c>
      <c r="K41" s="16">
        <f>SUM(D41:J41)</f>
        <v>1016</v>
      </c>
      <c r="L41" s="28">
        <v>671</v>
      </c>
      <c r="M41" s="28">
        <v>1617</v>
      </c>
      <c r="N41" s="7">
        <v>3050</v>
      </c>
      <c r="O41" s="16">
        <f t="shared" si="0"/>
        <v>5338</v>
      </c>
      <c r="P41" s="7">
        <v>6354</v>
      </c>
      <c r="Q41" s="7">
        <v>2550935.4789999994</v>
      </c>
      <c r="R41" s="7">
        <v>5082233.2949999999</v>
      </c>
      <c r="S41" s="7">
        <v>5558879.1849999987</v>
      </c>
      <c r="T41" s="7">
        <v>5287964.2290000003</v>
      </c>
      <c r="U41" s="7">
        <v>5241877.3740000008</v>
      </c>
      <c r="V41" s="7">
        <v>5203081.4630000005</v>
      </c>
      <c r="W41" s="7">
        <v>3913560.1799999997</v>
      </c>
      <c r="X41" s="16">
        <f>SUM(Q41:W41)</f>
        <v>32838531.205000002</v>
      </c>
      <c r="Y41" s="28">
        <v>2221492.0700000008</v>
      </c>
      <c r="Z41" s="28">
        <v>1381366.4650000003</v>
      </c>
      <c r="AA41" s="7">
        <v>582306.38</v>
      </c>
      <c r="AB41" s="16">
        <f t="shared" si="1"/>
        <v>4185164.915000001</v>
      </c>
      <c r="AC41" s="7">
        <v>37023696.120000012</v>
      </c>
      <c r="AD41" s="8">
        <v>3.018500492618693E-5</v>
      </c>
      <c r="AE41" s="8">
        <v>1.1215541808377374E-5</v>
      </c>
      <c r="AF41" s="8">
        <v>1.0973435106235362E-5</v>
      </c>
      <c r="AG41" s="8">
        <v>1.3994043226346492E-5</v>
      </c>
      <c r="AH41" s="8">
        <v>1.678787841098398E-5</v>
      </c>
      <c r="AI41" s="8">
        <v>4.1321667079191757E-5</v>
      </c>
      <c r="AJ41" s="8">
        <v>1.1345168582536018E-4</v>
      </c>
      <c r="AK41" s="8">
        <v>3.0204924386698339E-4</v>
      </c>
      <c r="AL41" s="8">
        <v>1.1705800314183823E-3</v>
      </c>
      <c r="AM41" s="8">
        <v>5.2377925174029519E-3</v>
      </c>
      <c r="AN41" s="8">
        <v>1.7161981827545309E-4</v>
      </c>
    </row>
    <row r="42" spans="1:40" x14ac:dyDescent="0.2">
      <c r="A42" t="s">
        <v>58</v>
      </c>
      <c r="B42">
        <v>2012</v>
      </c>
      <c r="C42" t="s">
        <v>62</v>
      </c>
      <c r="D42" s="7">
        <v>115</v>
      </c>
      <c r="E42" s="7">
        <v>57</v>
      </c>
      <c r="F42" s="7">
        <v>47</v>
      </c>
      <c r="G42" s="7">
        <v>63</v>
      </c>
      <c r="H42" s="7">
        <v>70</v>
      </c>
      <c r="I42" s="7">
        <v>161</v>
      </c>
      <c r="J42" s="7">
        <v>412</v>
      </c>
      <c r="K42" s="16">
        <f>SUM(D42:J42)</f>
        <v>925</v>
      </c>
      <c r="L42" s="28">
        <v>738</v>
      </c>
      <c r="M42" s="28">
        <v>1443</v>
      </c>
      <c r="N42" s="7">
        <v>2938</v>
      </c>
      <c r="O42" s="16">
        <f t="shared" si="0"/>
        <v>5119</v>
      </c>
      <c r="P42" s="7">
        <v>6044</v>
      </c>
      <c r="Q42" s="7">
        <v>2540633.5990000004</v>
      </c>
      <c r="R42" s="7">
        <v>5085616.5679999981</v>
      </c>
      <c r="S42" s="7">
        <v>5593680.0479999967</v>
      </c>
      <c r="T42" s="7">
        <v>5343851.8800000008</v>
      </c>
      <c r="U42" s="7">
        <v>5201616.7860000022</v>
      </c>
      <c r="V42" s="7">
        <v>5222276.1769999973</v>
      </c>
      <c r="W42" s="7">
        <v>4050261.6359999999</v>
      </c>
      <c r="X42" s="16">
        <f>SUM(Q42:W42)</f>
        <v>33037936.693999998</v>
      </c>
      <c r="Y42" s="28">
        <v>2307167.7280000006</v>
      </c>
      <c r="Z42" s="28">
        <v>1393418.5709999995</v>
      </c>
      <c r="AA42" s="7">
        <v>614601.32299999997</v>
      </c>
      <c r="AB42" s="16">
        <f t="shared" si="1"/>
        <v>4315187.6220000004</v>
      </c>
      <c r="AC42" s="7">
        <v>37353124.316</v>
      </c>
      <c r="AD42" s="8">
        <v>4.526429944296741E-5</v>
      </c>
      <c r="AE42" s="8">
        <v>1.1208080522361555E-5</v>
      </c>
      <c r="AF42" s="8">
        <v>8.4023397113684955E-6</v>
      </c>
      <c r="AG42" s="8">
        <v>1.1789248919077448E-5</v>
      </c>
      <c r="AH42" s="8">
        <v>1.3457354295764911E-5</v>
      </c>
      <c r="AI42" s="8">
        <v>3.0829468711187253E-5</v>
      </c>
      <c r="AJ42" s="8">
        <v>1.017218236812196E-4</v>
      </c>
      <c r="AK42" s="8">
        <v>3.1987271278267453E-4</v>
      </c>
      <c r="AL42" s="8">
        <v>1.0355825808783486E-3</v>
      </c>
      <c r="AM42" s="8">
        <v>4.7803346495562298E-3</v>
      </c>
      <c r="AN42" s="8">
        <v>1.6180708068404032E-4</v>
      </c>
    </row>
    <row r="43" spans="1:40" x14ac:dyDescent="0.2">
      <c r="A43" t="s">
        <v>58</v>
      </c>
      <c r="B43">
        <v>2013</v>
      </c>
      <c r="C43" t="s">
        <v>63</v>
      </c>
      <c r="D43" s="7">
        <v>101</v>
      </c>
      <c r="E43" s="7">
        <v>48</v>
      </c>
      <c r="F43" s="7">
        <v>44</v>
      </c>
      <c r="G43" s="7">
        <v>54</v>
      </c>
      <c r="H43" s="7">
        <v>65</v>
      </c>
      <c r="I43" s="7">
        <v>179</v>
      </c>
      <c r="J43" s="7">
        <v>501</v>
      </c>
      <c r="K43" s="16">
        <f>SUM(D43:J43)</f>
        <v>992</v>
      </c>
      <c r="L43" s="28">
        <v>828</v>
      </c>
      <c r="M43" s="28">
        <v>1602</v>
      </c>
      <c r="N43" s="7">
        <v>3264</v>
      </c>
      <c r="O43" s="16">
        <f t="shared" si="0"/>
        <v>5694</v>
      </c>
      <c r="P43" s="7">
        <v>6686</v>
      </c>
      <c r="Q43" s="7">
        <v>2522088.5890000002</v>
      </c>
      <c r="R43" s="7">
        <v>5077940.6240000008</v>
      </c>
      <c r="S43" s="7">
        <v>5597481.0320000006</v>
      </c>
      <c r="T43" s="7">
        <v>5417259.5190000013</v>
      </c>
      <c r="U43" s="7">
        <v>5167787.5770000005</v>
      </c>
      <c r="V43" s="7">
        <v>5231351.8089999994</v>
      </c>
      <c r="W43" s="7">
        <v>4177180.9870000002</v>
      </c>
      <c r="X43" s="16">
        <f>SUM(Q43:W43)</f>
        <v>33191090.137000002</v>
      </c>
      <c r="Y43" s="28">
        <v>2422926.571</v>
      </c>
      <c r="Z43" s="28">
        <v>1392902.209</v>
      </c>
      <c r="AA43" s="7">
        <v>627498.29699999979</v>
      </c>
      <c r="AB43" s="16">
        <f t="shared" si="1"/>
        <v>4443327.0769999996</v>
      </c>
      <c r="AC43" s="7">
        <v>37634417.214000002</v>
      </c>
      <c r="AD43" s="8">
        <v>4.0046174603266479E-5</v>
      </c>
      <c r="AE43" s="8">
        <v>9.4526508981094372E-6</v>
      </c>
      <c r="AF43" s="8">
        <v>7.8606787139533434E-6</v>
      </c>
      <c r="AG43" s="8">
        <v>9.9681397597078996E-6</v>
      </c>
      <c r="AH43" s="8">
        <v>1.2577916377463359E-5</v>
      </c>
      <c r="AI43" s="8">
        <v>3.4216777333164443E-5</v>
      </c>
      <c r="AJ43" s="8">
        <v>1.1993734567862524E-4</v>
      </c>
      <c r="AK43" s="8">
        <v>3.4173549042316396E-4</v>
      </c>
      <c r="AL43" s="8">
        <v>1.1501166339237243E-3</v>
      </c>
      <c r="AM43" s="8">
        <v>5.2016077423712934E-3</v>
      </c>
      <c r="AN43" s="8">
        <v>1.7765653077557976E-4</v>
      </c>
    </row>
    <row r="44" spans="1:40" x14ac:dyDescent="0.2">
      <c r="A44" t="s">
        <v>58</v>
      </c>
      <c r="B44">
        <v>2014</v>
      </c>
      <c r="C44" t="s">
        <v>64</v>
      </c>
      <c r="D44" s="7">
        <v>111</v>
      </c>
      <c r="E44" s="7">
        <v>44</v>
      </c>
      <c r="F44" s="7">
        <v>57</v>
      </c>
      <c r="G44" s="7">
        <v>82</v>
      </c>
      <c r="H44" s="7">
        <v>130</v>
      </c>
      <c r="I44" s="7">
        <v>260</v>
      </c>
      <c r="J44" s="7">
        <v>589</v>
      </c>
      <c r="K44" s="16">
        <f>SUM(D44:J44)</f>
        <v>1273</v>
      </c>
      <c r="L44" s="28">
        <v>800</v>
      </c>
      <c r="M44" s="28">
        <v>1450</v>
      </c>
      <c r="N44" s="7">
        <v>2638</v>
      </c>
      <c r="O44" s="16">
        <f t="shared" si="0"/>
        <v>4888</v>
      </c>
      <c r="P44" s="7">
        <v>6161</v>
      </c>
      <c r="Q44" s="7">
        <v>2530763.7670000009</v>
      </c>
      <c r="R44" s="7">
        <v>5083982.9879999999</v>
      </c>
      <c r="S44" s="7">
        <v>5604585.1109999977</v>
      </c>
      <c r="T44" s="7">
        <v>5521305.3030000003</v>
      </c>
      <c r="U44" s="7">
        <v>5176197.3810000001</v>
      </c>
      <c r="V44" s="7">
        <v>5248356.5350000029</v>
      </c>
      <c r="W44" s="7">
        <v>4314749.2699999996</v>
      </c>
      <c r="X44" s="16">
        <f>SUM(Q44:W44)</f>
        <v>33479940.355000004</v>
      </c>
      <c r="Y44" s="28">
        <v>2551854.8160000006</v>
      </c>
      <c r="Z44" s="28">
        <v>1417003.8309999993</v>
      </c>
      <c r="AA44" s="7">
        <v>652687.04499999981</v>
      </c>
      <c r="AB44" s="16">
        <f t="shared" si="1"/>
        <v>4621545.6919999998</v>
      </c>
      <c r="AC44" s="7">
        <v>38101486.047000006</v>
      </c>
      <c r="AD44" s="8">
        <v>4.3860277062359238E-5</v>
      </c>
      <c r="AE44" s="8">
        <v>8.6546316350498383E-6</v>
      </c>
      <c r="AF44" s="8">
        <v>1.0170244339429753E-5</v>
      </c>
      <c r="AG44" s="8">
        <v>1.4851560545917523E-5</v>
      </c>
      <c r="AH44" s="8">
        <v>2.5114961897933853E-5</v>
      </c>
      <c r="AI44" s="8">
        <v>4.953931735889583E-5</v>
      </c>
      <c r="AJ44" s="8">
        <v>1.3650851142040985E-4</v>
      </c>
      <c r="AK44" s="8">
        <v>3.1349745878332907E-4</v>
      </c>
      <c r="AL44" s="8">
        <v>1.0232858714127222E-3</v>
      </c>
      <c r="AM44" s="8">
        <v>4.0417532724278307E-3</v>
      </c>
      <c r="AN44" s="8">
        <v>1.616997298320625E-4</v>
      </c>
    </row>
    <row r="45" spans="1:40" x14ac:dyDescent="0.2">
      <c r="A45" t="s">
        <v>58</v>
      </c>
      <c r="B45">
        <v>2015</v>
      </c>
      <c r="C45" t="s">
        <v>65</v>
      </c>
      <c r="D45" s="7">
        <v>125</v>
      </c>
      <c r="E45" s="7">
        <v>56</v>
      </c>
      <c r="F45" s="7">
        <v>56</v>
      </c>
      <c r="G45" s="7">
        <v>71</v>
      </c>
      <c r="H45" s="7">
        <v>66</v>
      </c>
      <c r="I45" s="7">
        <v>174</v>
      </c>
      <c r="J45" s="7">
        <v>441</v>
      </c>
      <c r="K45" s="16">
        <f>SUM(D45:J45)</f>
        <v>989</v>
      </c>
      <c r="L45" s="28">
        <v>869</v>
      </c>
      <c r="M45" s="28">
        <v>1537</v>
      </c>
      <c r="N45" s="7">
        <v>3017</v>
      </c>
      <c r="O45" s="16">
        <f t="shared" si="0"/>
        <v>5423</v>
      </c>
      <c r="P45" s="7">
        <v>6412</v>
      </c>
      <c r="Q45" s="7">
        <v>2531065.9679999999</v>
      </c>
      <c r="R45" s="7">
        <v>5105229.4950000001</v>
      </c>
      <c r="S45" s="7">
        <v>5609051.987999999</v>
      </c>
      <c r="T45" s="7">
        <v>5651299.5779999997</v>
      </c>
      <c r="U45" s="7">
        <v>5209107.8180000009</v>
      </c>
      <c r="V45" s="7">
        <v>5282260.0699999975</v>
      </c>
      <c r="W45" s="7">
        <v>4452941.932</v>
      </c>
      <c r="X45" s="16">
        <f>SUM(Q45:W45)</f>
        <v>33840956.848999992</v>
      </c>
      <c r="Y45" s="28">
        <v>2704567.6330000008</v>
      </c>
      <c r="Z45" s="28">
        <v>1454993.4750000003</v>
      </c>
      <c r="AA45" s="7">
        <v>665943.7420000002</v>
      </c>
      <c r="AB45" s="16">
        <f t="shared" si="1"/>
        <v>4825504.8500000015</v>
      </c>
      <c r="AC45" s="7">
        <v>38666461.698999994</v>
      </c>
      <c r="AD45" s="8">
        <v>4.9386306631420048E-5</v>
      </c>
      <c r="AE45" s="8">
        <v>1.0969144492886309E-5</v>
      </c>
      <c r="AF45" s="8">
        <v>9.9838618218918907E-6</v>
      </c>
      <c r="AG45" s="8">
        <v>1.256348190713453E-5</v>
      </c>
      <c r="AH45" s="8">
        <v>1.267011594038002E-5</v>
      </c>
      <c r="AI45" s="8">
        <v>3.2940445508961861E-5</v>
      </c>
      <c r="AJ45" s="8">
        <v>9.9035650303647387E-5</v>
      </c>
      <c r="AK45" s="8">
        <v>3.2130828950137027E-4</v>
      </c>
      <c r="AL45" s="8">
        <v>1.0563621256102194E-3</v>
      </c>
      <c r="AM45" s="8">
        <v>4.5304127206589155E-3</v>
      </c>
      <c r="AN45" s="8">
        <v>1.6582846524500661E-4</v>
      </c>
    </row>
    <row r="46" spans="1:40" x14ac:dyDescent="0.2">
      <c r="A46" t="s">
        <v>58</v>
      </c>
      <c r="B46">
        <v>2016</v>
      </c>
      <c r="C46" t="s">
        <v>66</v>
      </c>
      <c r="D46" s="7">
        <v>116</v>
      </c>
      <c r="E46" s="7">
        <v>41</v>
      </c>
      <c r="F46" s="7">
        <v>64</v>
      </c>
      <c r="G46" s="7">
        <v>54</v>
      </c>
      <c r="H46" s="7">
        <v>77</v>
      </c>
      <c r="I46" s="7">
        <v>181</v>
      </c>
      <c r="J46" s="7">
        <v>511</v>
      </c>
      <c r="K46" s="16">
        <f>SUM(D46:J46)</f>
        <v>1044</v>
      </c>
      <c r="L46" s="28">
        <v>921</v>
      </c>
      <c r="M46" s="28">
        <v>1439</v>
      </c>
      <c r="N46" s="7">
        <v>2725</v>
      </c>
      <c r="O46" s="16">
        <f t="shared" si="0"/>
        <v>5085</v>
      </c>
      <c r="P46" s="7">
        <v>6129</v>
      </c>
      <c r="Q46" s="7">
        <v>2508555.6439999999</v>
      </c>
      <c r="R46" s="7">
        <v>5098479.6119999988</v>
      </c>
      <c r="S46" s="7">
        <v>5551533.1660000002</v>
      </c>
      <c r="T46" s="7">
        <v>5732935.8769999994</v>
      </c>
      <c r="U46" s="7">
        <v>5183447.8929999992</v>
      </c>
      <c r="V46" s="7">
        <v>5233504.2580000004</v>
      </c>
      <c r="W46" s="7">
        <v>4530278.8569999989</v>
      </c>
      <c r="X46" s="16">
        <f>SUM(Q46:W46)</f>
        <v>33838735.306999996</v>
      </c>
      <c r="Y46" s="28">
        <v>2837645.6860000012</v>
      </c>
      <c r="Z46" s="28">
        <v>1489475.1889999998</v>
      </c>
      <c r="AA46" s="7">
        <v>679341.22999999986</v>
      </c>
      <c r="AB46" s="16">
        <f t="shared" si="1"/>
        <v>5006462.1050000004</v>
      </c>
      <c r="AC46" s="7">
        <v>38845197.412</v>
      </c>
      <c r="AD46" s="8">
        <v>4.6241748823650975E-5</v>
      </c>
      <c r="AE46" s="8">
        <v>8.0416130141033916E-6</v>
      </c>
      <c r="AF46" s="8">
        <v>1.1528346870367953E-5</v>
      </c>
      <c r="AG46" s="8">
        <v>9.4192576296977139E-6</v>
      </c>
      <c r="AH46" s="8">
        <v>1.485497714831567E-5</v>
      </c>
      <c r="AI46" s="8">
        <v>3.4584857693259947E-5</v>
      </c>
      <c r="AJ46" s="8">
        <v>1.1279658849486141E-4</v>
      </c>
      <c r="AK46" s="8">
        <v>3.2456483363793701E-4</v>
      </c>
      <c r="AL46" s="8">
        <v>9.6611209815862205E-4</v>
      </c>
      <c r="AM46" s="8">
        <v>4.0112389468838815E-3</v>
      </c>
      <c r="AN46" s="8">
        <v>1.5778012234033952E-4</v>
      </c>
    </row>
    <row r="47" spans="1:40" x14ac:dyDescent="0.2">
      <c r="A47" t="s">
        <v>58</v>
      </c>
      <c r="B47">
        <v>2017</v>
      </c>
      <c r="C47" t="s">
        <v>67</v>
      </c>
      <c r="D47" s="7">
        <v>101</v>
      </c>
      <c r="E47" s="7">
        <v>59</v>
      </c>
      <c r="F47" s="7">
        <v>66</v>
      </c>
      <c r="G47" s="7">
        <v>57</v>
      </c>
      <c r="H47" s="7">
        <v>74</v>
      </c>
      <c r="I47" s="7">
        <v>168</v>
      </c>
      <c r="J47" s="7">
        <v>503</v>
      </c>
      <c r="K47" s="16">
        <f>SUM(D47:J47)</f>
        <v>1028</v>
      </c>
      <c r="L47" s="28">
        <v>930</v>
      </c>
      <c r="M47" s="28">
        <v>1595</v>
      </c>
      <c r="N47" s="7">
        <v>2985</v>
      </c>
      <c r="O47" s="16">
        <f t="shared" si="0"/>
        <v>5510</v>
      </c>
      <c r="P47" s="7">
        <v>6538</v>
      </c>
      <c r="Q47" s="7">
        <v>2481106</v>
      </c>
      <c r="R47" s="7">
        <v>5049210</v>
      </c>
      <c r="S47" s="7">
        <v>5411205</v>
      </c>
      <c r="T47" s="7">
        <v>5792865</v>
      </c>
      <c r="U47" s="7">
        <v>5157522</v>
      </c>
      <c r="V47" s="7">
        <v>5179282</v>
      </c>
      <c r="W47" s="7">
        <v>4573860</v>
      </c>
      <c r="X47" s="16">
        <f>SUM(Q47:W47)</f>
        <v>33645050</v>
      </c>
      <c r="Y47" s="28">
        <v>2930983</v>
      </c>
      <c r="Z47" s="28">
        <v>1498514</v>
      </c>
      <c r="AA47" s="7">
        <v>685572</v>
      </c>
      <c r="AB47" s="16">
        <f t="shared" si="1"/>
        <v>5115069</v>
      </c>
      <c r="AC47" s="7">
        <v>38760119</v>
      </c>
      <c r="AD47" s="8">
        <v>4.0707652151903221E-5</v>
      </c>
      <c r="AE47" s="8">
        <v>1.1684996266742718E-5</v>
      </c>
      <c r="AF47" s="8">
        <v>1.2196913626447344E-5</v>
      </c>
      <c r="AG47" s="8">
        <v>9.8396907229842227E-6</v>
      </c>
      <c r="AH47" s="8">
        <v>1.4347975636361803E-5</v>
      </c>
      <c r="AI47" s="8">
        <v>3.2436928516346471E-5</v>
      </c>
      <c r="AJ47" s="8">
        <v>1.0997275823921151E-4</v>
      </c>
      <c r="AK47" s="8">
        <v>3.1729969092280643E-4</v>
      </c>
      <c r="AL47" s="8">
        <v>1.064387786834157E-3</v>
      </c>
      <c r="AM47" s="8">
        <v>4.3540284609056377E-3</v>
      </c>
      <c r="AN47" s="8">
        <v>1.6867853269490735E-4</v>
      </c>
    </row>
    <row r="48" spans="1:40" x14ac:dyDescent="0.2">
      <c r="A48" t="s">
        <v>68</v>
      </c>
      <c r="B48">
        <v>2009</v>
      </c>
      <c r="C48" t="s">
        <v>69</v>
      </c>
      <c r="D48" s="7">
        <v>83</v>
      </c>
      <c r="E48" s="7">
        <v>45</v>
      </c>
      <c r="F48" s="7">
        <v>64</v>
      </c>
      <c r="G48" s="7">
        <v>45</v>
      </c>
      <c r="H48" s="7">
        <v>69</v>
      </c>
      <c r="I48" s="7">
        <v>54</v>
      </c>
      <c r="J48" s="7">
        <v>79</v>
      </c>
      <c r="K48" s="16">
        <f>SUM(D48:J48)</f>
        <v>439</v>
      </c>
      <c r="L48" s="28">
        <v>54</v>
      </c>
      <c r="M48" s="28">
        <v>152</v>
      </c>
      <c r="N48" s="7">
        <v>266</v>
      </c>
      <c r="O48" s="16">
        <f t="shared" si="0"/>
        <v>472</v>
      </c>
      <c r="P48" s="7">
        <v>911</v>
      </c>
      <c r="Q48" s="7">
        <v>353745.75300000014</v>
      </c>
      <c r="R48" s="7">
        <v>648427.84299999999</v>
      </c>
      <c r="S48" s="7">
        <v>691208.64600000018</v>
      </c>
      <c r="T48" s="7">
        <v>702724.66000000027</v>
      </c>
      <c r="U48" s="7">
        <v>714311.37500000012</v>
      </c>
      <c r="V48" s="7">
        <v>731145.60599999991</v>
      </c>
      <c r="W48" s="7">
        <v>522396.69200000016</v>
      </c>
      <c r="X48" s="16">
        <f>SUM(Q48:W48)</f>
        <v>4363960.5750000002</v>
      </c>
      <c r="Y48" s="28">
        <v>271109.02100000007</v>
      </c>
      <c r="Z48" s="28">
        <v>165377.90499999997</v>
      </c>
      <c r="AA48" s="7">
        <v>63453.125000000015</v>
      </c>
      <c r="AB48" s="16">
        <f t="shared" si="1"/>
        <v>499940.05100000004</v>
      </c>
      <c r="AC48" s="7">
        <v>4863900.6260000002</v>
      </c>
      <c r="AD48" s="8">
        <v>2.3463179217306381E-4</v>
      </c>
      <c r="AE48" s="8">
        <v>6.9398623895920524E-5</v>
      </c>
      <c r="AF48" s="8">
        <v>9.2591434395917534E-5</v>
      </c>
      <c r="AG48" s="8">
        <v>6.403646059610315E-5</v>
      </c>
      <c r="AH48" s="8">
        <v>9.6596529769668002E-5</v>
      </c>
      <c r="AI48" s="8">
        <v>7.3856697704068543E-5</v>
      </c>
      <c r="AJ48" s="8">
        <v>1.5122607246525208E-4</v>
      </c>
      <c r="AK48" s="8">
        <v>1.9918186344673492E-4</v>
      </c>
      <c r="AL48" s="8">
        <v>9.1910705967644245E-4</v>
      </c>
      <c r="AM48" s="8">
        <v>4.1920709184929813E-3</v>
      </c>
      <c r="AN48" s="8">
        <v>1.8729823449316498E-4</v>
      </c>
    </row>
    <row r="49" spans="1:40" x14ac:dyDescent="0.2">
      <c r="A49" t="s">
        <v>68</v>
      </c>
      <c r="B49">
        <v>2010</v>
      </c>
      <c r="C49" t="s">
        <v>70</v>
      </c>
      <c r="D49" s="7">
        <v>91</v>
      </c>
      <c r="E49" s="7">
        <v>52</v>
      </c>
      <c r="F49" s="7">
        <v>56</v>
      </c>
      <c r="G49" s="7">
        <v>57</v>
      </c>
      <c r="H49" s="7">
        <v>43</v>
      </c>
      <c r="I49" s="7">
        <v>61</v>
      </c>
      <c r="J49" s="7">
        <v>46</v>
      </c>
      <c r="K49" s="16">
        <f>SUM(D49:J49)</f>
        <v>406</v>
      </c>
      <c r="L49" s="28">
        <v>48</v>
      </c>
      <c r="M49" s="28">
        <v>133</v>
      </c>
      <c r="N49" s="7">
        <v>260</v>
      </c>
      <c r="O49" s="16">
        <f t="shared" si="0"/>
        <v>441</v>
      </c>
      <c r="P49" s="7">
        <v>847</v>
      </c>
      <c r="Q49" s="7">
        <v>341491.96199999994</v>
      </c>
      <c r="R49" s="7">
        <v>663264.41800000006</v>
      </c>
      <c r="S49" s="7">
        <v>689283.54800000007</v>
      </c>
      <c r="T49" s="7">
        <v>703637.26499999966</v>
      </c>
      <c r="U49" s="7">
        <v>706238.1109999998</v>
      </c>
      <c r="V49" s="7">
        <v>734199.15600000008</v>
      </c>
      <c r="W49" s="7">
        <v>553285.91599999997</v>
      </c>
      <c r="X49" s="16">
        <f>SUM(Q49:W49)</f>
        <v>4391400.3759999992</v>
      </c>
      <c r="Y49" s="28">
        <v>285350.03700000013</v>
      </c>
      <c r="Z49" s="28">
        <v>168567.77599999995</v>
      </c>
      <c r="AA49" s="7">
        <v>67422.401999999987</v>
      </c>
      <c r="AB49" s="16">
        <f t="shared" si="1"/>
        <v>521340.21500000008</v>
      </c>
      <c r="AC49" s="7">
        <v>4912740.5909999991</v>
      </c>
      <c r="AD49" s="8">
        <v>2.6647772166303585E-4</v>
      </c>
      <c r="AE49" s="8">
        <v>7.8400104978946714E-5</v>
      </c>
      <c r="AF49" s="8">
        <v>8.1243778648841321E-5</v>
      </c>
      <c r="AG49" s="8">
        <v>8.1007648166559263E-5</v>
      </c>
      <c r="AH49" s="8">
        <v>6.0885980705733979E-5</v>
      </c>
      <c r="AI49" s="8">
        <v>8.30837239480564E-5</v>
      </c>
      <c r="AJ49" s="8">
        <v>8.3139654688047405E-5</v>
      </c>
      <c r="AK49" s="8">
        <v>1.6821445164207207E-4</v>
      </c>
      <c r="AL49" s="8">
        <v>7.890001467421629E-4</v>
      </c>
      <c r="AM49" s="8">
        <v>3.8562850371305379E-3</v>
      </c>
      <c r="AN49" s="8">
        <v>1.7240885902904783E-4</v>
      </c>
    </row>
    <row r="50" spans="1:40" x14ac:dyDescent="0.2">
      <c r="A50" t="s">
        <v>68</v>
      </c>
      <c r="B50">
        <v>2011</v>
      </c>
      <c r="C50" t="s">
        <v>71</v>
      </c>
      <c r="D50" s="7">
        <v>111</v>
      </c>
      <c r="E50" s="7">
        <v>39</v>
      </c>
      <c r="F50" s="7">
        <v>36</v>
      </c>
      <c r="G50" s="7">
        <v>57</v>
      </c>
      <c r="H50" s="7">
        <v>53</v>
      </c>
      <c r="I50" s="7">
        <v>68</v>
      </c>
      <c r="J50" s="7">
        <v>70</v>
      </c>
      <c r="K50" s="16">
        <f>SUM(D50:J50)</f>
        <v>434</v>
      </c>
      <c r="L50" s="28">
        <v>66</v>
      </c>
      <c r="M50" s="28">
        <v>128</v>
      </c>
      <c r="N50" s="7">
        <v>272</v>
      </c>
      <c r="O50" s="16">
        <f t="shared" si="0"/>
        <v>466</v>
      </c>
      <c r="P50" s="7">
        <v>900</v>
      </c>
      <c r="Q50" s="7">
        <v>348340.60199999978</v>
      </c>
      <c r="R50" s="7">
        <v>681797.92400000012</v>
      </c>
      <c r="S50" s="7">
        <v>703290.31799999997</v>
      </c>
      <c r="T50" s="7">
        <v>724099.77400000009</v>
      </c>
      <c r="U50" s="7">
        <v>713064.10999999975</v>
      </c>
      <c r="V50" s="7">
        <v>747187.55800000019</v>
      </c>
      <c r="W50" s="7">
        <v>583857.90599999973</v>
      </c>
      <c r="X50" s="16">
        <f>SUM(Q50:W50)</f>
        <v>4501638.1919999998</v>
      </c>
      <c r="Y50" s="28">
        <v>305320.66499999998</v>
      </c>
      <c r="Z50" s="28">
        <v>173396.42299999986</v>
      </c>
      <c r="AA50" s="7">
        <v>70467.198999999993</v>
      </c>
      <c r="AB50" s="16">
        <f t="shared" si="1"/>
        <v>549184.28699999989</v>
      </c>
      <c r="AC50" s="7">
        <v>5050822.4789999994</v>
      </c>
      <c r="AD50" s="8">
        <v>3.1865363774045519E-4</v>
      </c>
      <c r="AE50" s="8">
        <v>5.7201699546389338E-5</v>
      </c>
      <c r="AF50" s="8">
        <v>5.118796474033075E-5</v>
      </c>
      <c r="AG50" s="8">
        <v>7.8718433628457388E-5</v>
      </c>
      <c r="AH50" s="8">
        <v>7.4327117655662145E-5</v>
      </c>
      <c r="AI50" s="8">
        <v>9.1007939401474853E-5</v>
      </c>
      <c r="AJ50" s="8">
        <v>1.198921848632123E-4</v>
      </c>
      <c r="AK50" s="8">
        <v>2.1616617401249276E-4</v>
      </c>
      <c r="AL50" s="8">
        <v>7.3819285187907307E-4</v>
      </c>
      <c r="AM50" s="8">
        <v>3.8599519189062704E-3</v>
      </c>
      <c r="AN50" s="8">
        <v>1.7818880068384209E-4</v>
      </c>
    </row>
    <row r="51" spans="1:40" x14ac:dyDescent="0.2">
      <c r="A51" t="s">
        <v>68</v>
      </c>
      <c r="B51">
        <v>2012</v>
      </c>
      <c r="C51" t="s">
        <v>72</v>
      </c>
      <c r="D51" s="7">
        <v>77</v>
      </c>
      <c r="E51" s="7">
        <v>75</v>
      </c>
      <c r="F51" s="7">
        <v>33</v>
      </c>
      <c r="G51" s="7">
        <v>45</v>
      </c>
      <c r="H51" s="7">
        <v>55</v>
      </c>
      <c r="I51" s="7">
        <v>50</v>
      </c>
      <c r="J51" s="7">
        <v>32</v>
      </c>
      <c r="K51" s="16">
        <f>SUM(D51:J51)</f>
        <v>367</v>
      </c>
      <c r="L51" s="28">
        <v>44</v>
      </c>
      <c r="M51" s="28">
        <v>129</v>
      </c>
      <c r="N51" s="7">
        <v>254</v>
      </c>
      <c r="O51" s="16">
        <f t="shared" si="0"/>
        <v>427</v>
      </c>
      <c r="P51" s="7">
        <v>794</v>
      </c>
      <c r="Q51" s="7">
        <v>337654.55700000009</v>
      </c>
      <c r="R51" s="7">
        <v>675523.94399999978</v>
      </c>
      <c r="S51" s="7">
        <v>687480.08800000011</v>
      </c>
      <c r="T51" s="7">
        <v>723225.87899999984</v>
      </c>
      <c r="U51" s="7">
        <v>696489.09299999999</v>
      </c>
      <c r="V51" s="7">
        <v>729752.95900000015</v>
      </c>
      <c r="W51" s="7">
        <v>596912.92600000033</v>
      </c>
      <c r="X51" s="16">
        <f>SUM(Q51:W51)</f>
        <v>4447039.4460000005</v>
      </c>
      <c r="Y51" s="28">
        <v>316002.33599999995</v>
      </c>
      <c r="Z51" s="28">
        <v>171605.11999999997</v>
      </c>
      <c r="AA51" s="7">
        <v>71939.259000000005</v>
      </c>
      <c r="AB51" s="16">
        <f t="shared" si="1"/>
        <v>559546.71499999985</v>
      </c>
      <c r="AC51" s="7">
        <v>5006586.1610000003</v>
      </c>
      <c r="AD51" s="8">
        <v>2.2804371628841954E-4</v>
      </c>
      <c r="AE51" s="8">
        <v>1.1102493207849938E-4</v>
      </c>
      <c r="AF51" s="8">
        <v>4.8001390259902326E-5</v>
      </c>
      <c r="AG51" s="8">
        <v>6.2221224802161721E-5</v>
      </c>
      <c r="AH51" s="8">
        <v>7.8967496480235617E-5</v>
      </c>
      <c r="AI51" s="8">
        <v>6.8516337458249339E-5</v>
      </c>
      <c r="AJ51" s="8">
        <v>5.3609159068537213E-5</v>
      </c>
      <c r="AK51" s="8">
        <v>1.3923947701449904E-4</v>
      </c>
      <c r="AL51" s="8">
        <v>7.51725822632798E-4</v>
      </c>
      <c r="AM51" s="8">
        <v>3.5307564121559824E-3</v>
      </c>
      <c r="AN51" s="8">
        <v>1.5859109869816141E-4</v>
      </c>
    </row>
    <row r="52" spans="1:40" x14ac:dyDescent="0.2">
      <c r="A52" t="s">
        <v>68</v>
      </c>
      <c r="B52">
        <v>2013</v>
      </c>
      <c r="C52" t="s">
        <v>73</v>
      </c>
      <c r="D52" s="7">
        <v>96</v>
      </c>
      <c r="E52" s="7">
        <v>57</v>
      </c>
      <c r="F52" s="7">
        <v>55</v>
      </c>
      <c r="G52" s="7">
        <v>71</v>
      </c>
      <c r="H52" s="7">
        <v>74</v>
      </c>
      <c r="I52" s="7">
        <v>52</v>
      </c>
      <c r="J52" s="7">
        <v>76</v>
      </c>
      <c r="K52" s="16">
        <f>SUM(D52:J52)</f>
        <v>481</v>
      </c>
      <c r="L52" s="28">
        <v>70</v>
      </c>
      <c r="M52" s="28">
        <v>109</v>
      </c>
      <c r="N52" s="7">
        <v>280</v>
      </c>
      <c r="O52" s="16">
        <f t="shared" si="0"/>
        <v>459</v>
      </c>
      <c r="P52" s="7">
        <v>940</v>
      </c>
      <c r="Q52" s="7">
        <v>343737.00499999989</v>
      </c>
      <c r="R52" s="7">
        <v>697828.60900000005</v>
      </c>
      <c r="S52" s="7">
        <v>706991.24300000002</v>
      </c>
      <c r="T52" s="7">
        <v>751547.54700000025</v>
      </c>
      <c r="U52" s="7">
        <v>711874.05399999965</v>
      </c>
      <c r="V52" s="7">
        <v>740513.10599999968</v>
      </c>
      <c r="W52" s="7">
        <v>628671.11900000006</v>
      </c>
      <c r="X52" s="16">
        <f>SUM(Q52:W52)</f>
        <v>4581162.6829999993</v>
      </c>
      <c r="Y52" s="28">
        <v>343268.37999999983</v>
      </c>
      <c r="Z52" s="28">
        <v>177608.52800000002</v>
      </c>
      <c r="AA52" s="7">
        <v>73987.858999999997</v>
      </c>
      <c r="AB52" s="16">
        <f t="shared" si="1"/>
        <v>594864.76699999976</v>
      </c>
      <c r="AC52" s="7">
        <v>5176027.4499999993</v>
      </c>
      <c r="AD52" s="8">
        <v>2.7928328519648336E-4</v>
      </c>
      <c r="AE52" s="8">
        <v>8.1681947780389713E-5</v>
      </c>
      <c r="AF52" s="8">
        <v>7.7794457208008155E-5</v>
      </c>
      <c r="AG52" s="8">
        <v>9.4471734068476683E-5</v>
      </c>
      <c r="AH52" s="8">
        <v>1.0395097220385565E-4</v>
      </c>
      <c r="AI52" s="8">
        <v>7.022157957593262E-5</v>
      </c>
      <c r="AJ52" s="8">
        <v>1.2088991796042724E-4</v>
      </c>
      <c r="AK52" s="8">
        <v>2.0392207403431692E-4</v>
      </c>
      <c r="AL52" s="8">
        <v>6.1370926963597147E-4</v>
      </c>
      <c r="AM52" s="8">
        <v>3.7844046818546273E-3</v>
      </c>
      <c r="AN52" s="8">
        <v>1.816064557385607E-4</v>
      </c>
    </row>
    <row r="53" spans="1:40" x14ac:dyDescent="0.2">
      <c r="A53" t="s">
        <v>68</v>
      </c>
      <c r="B53">
        <v>2014</v>
      </c>
      <c r="C53" t="s">
        <v>74</v>
      </c>
      <c r="D53" s="7">
        <v>117</v>
      </c>
      <c r="E53" s="7">
        <v>56</v>
      </c>
      <c r="F53" s="7">
        <v>55</v>
      </c>
      <c r="G53" s="7">
        <v>63</v>
      </c>
      <c r="H53" s="7">
        <v>50</v>
      </c>
      <c r="I53" s="7">
        <v>64</v>
      </c>
      <c r="J53" s="7">
        <v>71</v>
      </c>
      <c r="K53" s="16">
        <f>SUM(D53:J53)</f>
        <v>476</v>
      </c>
      <c r="L53" s="28">
        <v>101</v>
      </c>
      <c r="M53" s="28">
        <v>130</v>
      </c>
      <c r="N53" s="7">
        <v>286</v>
      </c>
      <c r="O53" s="16">
        <f t="shared" si="0"/>
        <v>517</v>
      </c>
      <c r="P53" s="7">
        <v>993</v>
      </c>
      <c r="Q53" s="7">
        <v>342577.60900000011</v>
      </c>
      <c r="R53" s="7">
        <v>709835.89199999988</v>
      </c>
      <c r="S53" s="7">
        <v>717743.86400000018</v>
      </c>
      <c r="T53" s="7">
        <v>771004.4010000003</v>
      </c>
      <c r="U53" s="7">
        <v>719771.99300000002</v>
      </c>
      <c r="V53" s="7">
        <v>734714.60900000029</v>
      </c>
      <c r="W53" s="7">
        <v>648753.71799999976</v>
      </c>
      <c r="X53" s="16">
        <f>SUM(Q53:W53)</f>
        <v>4644402.0860000001</v>
      </c>
      <c r="Y53" s="28">
        <v>364386.022</v>
      </c>
      <c r="Z53" s="28">
        <v>182117.53</v>
      </c>
      <c r="AA53" s="7">
        <v>77792.742000000027</v>
      </c>
      <c r="AB53" s="16">
        <f t="shared" si="1"/>
        <v>624296.29399999999</v>
      </c>
      <c r="AC53" s="7">
        <v>5268698.38</v>
      </c>
      <c r="AD53" s="8">
        <v>3.4152845056490533E-4</v>
      </c>
      <c r="AE53" s="8">
        <v>7.889147425641871E-5</v>
      </c>
      <c r="AF53" s="8">
        <v>7.6629007587029666E-5</v>
      </c>
      <c r="AG53" s="8">
        <v>8.1711595833030759E-5</v>
      </c>
      <c r="AH53" s="8">
        <v>6.9466442826707759E-5</v>
      </c>
      <c r="AI53" s="8">
        <v>8.7108653096075803E-5</v>
      </c>
      <c r="AJ53" s="8">
        <v>1.0944060593422299E-4</v>
      </c>
      <c r="AK53" s="8">
        <v>2.7717857958887347E-4</v>
      </c>
      <c r="AL53" s="8">
        <v>7.1382474822714761E-4</v>
      </c>
      <c r="AM53" s="8">
        <v>3.6764355214526298E-3</v>
      </c>
      <c r="AN53" s="8">
        <v>1.8847159741947498E-4</v>
      </c>
    </row>
    <row r="54" spans="1:40" x14ac:dyDescent="0.2">
      <c r="A54" t="s">
        <v>68</v>
      </c>
      <c r="B54">
        <v>2015</v>
      </c>
      <c r="C54" t="s">
        <v>75</v>
      </c>
      <c r="D54" s="7">
        <v>85</v>
      </c>
      <c r="E54" s="7">
        <v>71</v>
      </c>
      <c r="F54" s="7">
        <v>55</v>
      </c>
      <c r="G54" s="7">
        <v>60</v>
      </c>
      <c r="H54" s="7">
        <v>50</v>
      </c>
      <c r="I54" s="7">
        <v>61</v>
      </c>
      <c r="J54" s="7">
        <v>63</v>
      </c>
      <c r="K54" s="16">
        <f>SUM(D54:J54)</f>
        <v>445</v>
      </c>
      <c r="L54" s="28">
        <v>52</v>
      </c>
      <c r="M54" s="28">
        <v>146</v>
      </c>
      <c r="N54" s="7">
        <v>302</v>
      </c>
      <c r="O54" s="16">
        <f t="shared" si="0"/>
        <v>500</v>
      </c>
      <c r="P54" s="7">
        <v>945</v>
      </c>
      <c r="Q54" s="7">
        <v>373965.07</v>
      </c>
      <c r="R54" s="7">
        <v>784948.97700000042</v>
      </c>
      <c r="S54" s="7">
        <v>803052.44899999944</v>
      </c>
      <c r="T54" s="7">
        <v>856737.36200000008</v>
      </c>
      <c r="U54" s="7">
        <v>793315.08099999966</v>
      </c>
      <c r="V54" s="7">
        <v>800432.56700000004</v>
      </c>
      <c r="W54" s="7">
        <v>725857.60699999996</v>
      </c>
      <c r="X54" s="16">
        <f>SUM(Q54:W54)</f>
        <v>5138309.1129999999</v>
      </c>
      <c r="Y54" s="28">
        <v>433053.18500000023</v>
      </c>
      <c r="Z54" s="28">
        <v>213526.79700000005</v>
      </c>
      <c r="AA54" s="7">
        <v>87907.391000000003</v>
      </c>
      <c r="AB54" s="16">
        <f t="shared" si="1"/>
        <v>734487.37300000037</v>
      </c>
      <c r="AC54" s="7">
        <v>5872796.4860000005</v>
      </c>
      <c r="AD54" s="8">
        <v>2.2729395555579562E-4</v>
      </c>
      <c r="AE54" s="8">
        <v>9.0451739005196466E-5</v>
      </c>
      <c r="AF54" s="8">
        <v>6.8488677256994503E-5</v>
      </c>
      <c r="AG54" s="8">
        <v>7.0033131110254989E-5</v>
      </c>
      <c r="AH54" s="8">
        <v>6.3026660147407458E-5</v>
      </c>
      <c r="AI54" s="8">
        <v>7.6208793238668909E-5</v>
      </c>
      <c r="AJ54" s="8">
        <v>8.6793882701569601E-5</v>
      </c>
      <c r="AK54" s="8">
        <v>1.2007762972578062E-4</v>
      </c>
      <c r="AL54" s="8">
        <v>6.8375492936373675E-4</v>
      </c>
      <c r="AM54" s="8">
        <v>3.4354335461963602E-3</v>
      </c>
      <c r="AN54" s="8">
        <v>1.6091141626527663E-4</v>
      </c>
    </row>
    <row r="55" spans="1:40" x14ac:dyDescent="0.2">
      <c r="A55" t="s">
        <v>68</v>
      </c>
      <c r="B55">
        <v>2016</v>
      </c>
      <c r="C55" t="s">
        <v>76</v>
      </c>
      <c r="D55" s="7">
        <v>123</v>
      </c>
      <c r="E55" s="7">
        <v>56</v>
      </c>
      <c r="F55" s="7">
        <v>45</v>
      </c>
      <c r="G55" s="7">
        <v>55</v>
      </c>
      <c r="H55" s="7">
        <v>61</v>
      </c>
      <c r="I55" s="7">
        <v>61</v>
      </c>
      <c r="J55" s="7">
        <v>60</v>
      </c>
      <c r="K55" s="16">
        <f>SUM(D55:J55)</f>
        <v>461</v>
      </c>
      <c r="L55" s="28">
        <v>57</v>
      </c>
      <c r="M55" s="28">
        <v>104</v>
      </c>
      <c r="N55" s="7">
        <v>236</v>
      </c>
      <c r="O55" s="16">
        <f t="shared" si="0"/>
        <v>397</v>
      </c>
      <c r="P55" s="7">
        <v>858</v>
      </c>
      <c r="Q55" s="7">
        <v>335327.97599999985</v>
      </c>
      <c r="R55" s="7">
        <v>706848.74999999977</v>
      </c>
      <c r="S55" s="7">
        <v>723225.33000000007</v>
      </c>
      <c r="T55" s="7">
        <v>796751.82700000028</v>
      </c>
      <c r="U55" s="7">
        <v>724848.37399999984</v>
      </c>
      <c r="V55" s="7">
        <v>718321.45999999973</v>
      </c>
      <c r="W55" s="7">
        <v>671568.46400000015</v>
      </c>
      <c r="X55" s="16">
        <f>SUM(Q55:W55)</f>
        <v>4676892.1809999999</v>
      </c>
      <c r="Y55" s="28">
        <v>410941.78600000002</v>
      </c>
      <c r="Z55" s="28">
        <v>193023.81999999995</v>
      </c>
      <c r="AA55" s="7">
        <v>78783.331999999995</v>
      </c>
      <c r="AB55" s="16">
        <f t="shared" si="1"/>
        <v>682748.93799999985</v>
      </c>
      <c r="AC55" s="7">
        <v>5359641.1190000009</v>
      </c>
      <c r="AD55" s="8">
        <v>3.668050649015937E-4</v>
      </c>
      <c r="AE55" s="8">
        <v>7.9224869535385073E-5</v>
      </c>
      <c r="AF55" s="8">
        <v>6.2221272034263509E-5</v>
      </c>
      <c r="AG55" s="8">
        <v>6.9030277855892491E-5</v>
      </c>
      <c r="AH55" s="8">
        <v>8.4155531264253086E-5</v>
      </c>
      <c r="AI55" s="8">
        <v>8.492019714961603E-5</v>
      </c>
      <c r="AJ55" s="8">
        <v>8.9343087438364263E-5</v>
      </c>
      <c r="AK55" s="8">
        <v>1.3870577765970969E-4</v>
      </c>
      <c r="AL55" s="8">
        <v>5.3879360588760515E-4</v>
      </c>
      <c r="AM55" s="8">
        <v>2.9955574867028983E-3</v>
      </c>
      <c r="AN55" s="8">
        <v>1.6008534544568261E-4</v>
      </c>
    </row>
    <row r="56" spans="1:40" x14ac:dyDescent="0.2">
      <c r="A56" t="s">
        <v>68</v>
      </c>
      <c r="B56">
        <v>2017</v>
      </c>
      <c r="C56" t="s">
        <v>77</v>
      </c>
      <c r="D56" s="7">
        <v>105</v>
      </c>
      <c r="E56" s="7">
        <v>61</v>
      </c>
      <c r="F56" s="7">
        <v>35</v>
      </c>
      <c r="G56" s="7">
        <v>69</v>
      </c>
      <c r="H56" s="7">
        <v>65</v>
      </c>
      <c r="I56" s="7">
        <v>55</v>
      </c>
      <c r="J56" s="7">
        <v>86</v>
      </c>
      <c r="K56" s="16">
        <f>SUM(D56:J56)</f>
        <v>476</v>
      </c>
      <c r="L56" s="28">
        <v>74</v>
      </c>
      <c r="M56" s="28">
        <v>99</v>
      </c>
      <c r="N56" s="7">
        <v>242</v>
      </c>
      <c r="O56" s="16">
        <f t="shared" si="0"/>
        <v>415</v>
      </c>
      <c r="P56" s="7">
        <v>891</v>
      </c>
      <c r="Q56" s="7">
        <v>368853</v>
      </c>
      <c r="R56" s="7">
        <v>776535</v>
      </c>
      <c r="S56" s="7">
        <v>813882</v>
      </c>
      <c r="T56" s="7">
        <v>882525</v>
      </c>
      <c r="U56" s="7">
        <v>790151</v>
      </c>
      <c r="V56" s="7">
        <v>769123</v>
      </c>
      <c r="W56" s="7">
        <v>731806</v>
      </c>
      <c r="X56" s="16">
        <f>SUM(Q56:W56)</f>
        <v>5132875</v>
      </c>
      <c r="Y56" s="28">
        <v>468222</v>
      </c>
      <c r="Z56" s="28">
        <v>220490</v>
      </c>
      <c r="AA56" s="7">
        <v>93783</v>
      </c>
      <c r="AB56" s="16">
        <f t="shared" si="1"/>
        <v>782495</v>
      </c>
      <c r="AC56" s="7">
        <v>5915370</v>
      </c>
      <c r="AD56" s="8">
        <v>2.8466624915616791E-4</v>
      </c>
      <c r="AE56" s="8">
        <v>7.8554089641806233E-5</v>
      </c>
      <c r="AF56" s="8">
        <v>4.3003776960296456E-5</v>
      </c>
      <c r="AG56" s="8">
        <v>7.8184753972975276E-5</v>
      </c>
      <c r="AH56" s="8">
        <v>8.226275737169225E-5</v>
      </c>
      <c r="AI56" s="8">
        <v>7.1510018553599356E-5</v>
      </c>
      <c r="AJ56" s="8">
        <v>1.1751748414197206E-4</v>
      </c>
      <c r="AK56" s="8">
        <v>1.5804468820345904E-4</v>
      </c>
      <c r="AL56" s="8">
        <v>4.4899995464646925E-4</v>
      </c>
      <c r="AM56" s="8">
        <v>2.580425023724982E-3</v>
      </c>
      <c r="AN56" s="8">
        <v>1.5062455941048489E-4</v>
      </c>
    </row>
    <row r="57" spans="1:40" x14ac:dyDescent="0.2">
      <c r="A57" t="s">
        <v>78</v>
      </c>
      <c r="B57">
        <v>2009</v>
      </c>
      <c r="C57" t="s">
        <v>79</v>
      </c>
      <c r="D57" s="7">
        <v>85</v>
      </c>
      <c r="E57" s="7">
        <v>45</v>
      </c>
      <c r="F57" s="7">
        <v>62</v>
      </c>
      <c r="G57" s="7">
        <v>46</v>
      </c>
      <c r="H57" s="7">
        <v>23</v>
      </c>
      <c r="I57" s="7">
        <v>42</v>
      </c>
      <c r="J57" s="7">
        <v>67</v>
      </c>
      <c r="K57" s="16">
        <f>SUM(D57:J57)</f>
        <v>370</v>
      </c>
      <c r="L57" s="28">
        <v>62</v>
      </c>
      <c r="M57" s="28">
        <v>175</v>
      </c>
      <c r="N57" s="7">
        <v>364</v>
      </c>
      <c r="O57" s="16">
        <f t="shared" si="0"/>
        <v>601</v>
      </c>
      <c r="P57" s="7">
        <v>971</v>
      </c>
      <c r="Q57" s="7">
        <v>212558.02899999998</v>
      </c>
      <c r="R57" s="7">
        <v>459486.46100000007</v>
      </c>
      <c r="S57" s="7">
        <v>478043.67699999997</v>
      </c>
      <c r="T57" s="7">
        <v>403268.70999999996</v>
      </c>
      <c r="U57" s="7">
        <v>519801.315</v>
      </c>
      <c r="V57" s="7">
        <v>548351.92500000005</v>
      </c>
      <c r="W57" s="7">
        <v>397044.58799999999</v>
      </c>
      <c r="X57" s="16">
        <f>SUM(Q57:W57)</f>
        <v>3018554.7049999996</v>
      </c>
      <c r="Y57" s="28">
        <v>233949.85399999999</v>
      </c>
      <c r="Z57" s="28">
        <v>164920.69399999999</v>
      </c>
      <c r="AA57" s="7">
        <v>77304.618000000002</v>
      </c>
      <c r="AB57" s="16">
        <f t="shared" si="1"/>
        <v>476175.16599999997</v>
      </c>
      <c r="AC57" s="7">
        <v>3494729.8709999993</v>
      </c>
      <c r="AD57" s="8">
        <v>3.9989079876159373E-4</v>
      </c>
      <c r="AE57" s="8">
        <v>9.7935420996006221E-5</v>
      </c>
      <c r="AF57" s="8">
        <v>1.2969526213396607E-4</v>
      </c>
      <c r="AG57" s="8">
        <v>1.1406786308811315E-4</v>
      </c>
      <c r="AH57" s="8">
        <v>4.4247675672001712E-5</v>
      </c>
      <c r="AI57" s="8">
        <v>7.6593147730811732E-5</v>
      </c>
      <c r="AJ57" s="8">
        <v>1.6874679072568041E-4</v>
      </c>
      <c r="AK57" s="8">
        <v>2.6501405724322442E-4</v>
      </c>
      <c r="AL57" s="8">
        <v>1.0611160780101981E-3</v>
      </c>
      <c r="AM57" s="8">
        <v>4.7086449609000068E-3</v>
      </c>
      <c r="AN57" s="8">
        <v>2.7784693977567806E-4</v>
      </c>
    </row>
    <row r="58" spans="1:40" x14ac:dyDescent="0.2">
      <c r="A58" t="s">
        <v>78</v>
      </c>
      <c r="B58">
        <v>2010</v>
      </c>
      <c r="C58" t="s">
        <v>80</v>
      </c>
      <c r="D58" s="7">
        <v>105</v>
      </c>
      <c r="E58" s="7">
        <v>70</v>
      </c>
      <c r="F58" s="7">
        <v>48</v>
      </c>
      <c r="G58" s="7">
        <v>62</v>
      </c>
      <c r="H58" s="7">
        <v>40</v>
      </c>
      <c r="I58" s="7">
        <v>39</v>
      </c>
      <c r="J58" s="7">
        <v>50</v>
      </c>
      <c r="K58" s="16">
        <f>SUM(D58:J58)</f>
        <v>414</v>
      </c>
      <c r="L58" s="28">
        <v>68</v>
      </c>
      <c r="M58" s="28">
        <v>125</v>
      </c>
      <c r="N58" s="7">
        <v>339</v>
      </c>
      <c r="O58" s="16">
        <f t="shared" si="0"/>
        <v>532</v>
      </c>
      <c r="P58" s="7">
        <v>946</v>
      </c>
      <c r="Q58" s="7">
        <v>205283.99900000001</v>
      </c>
      <c r="R58" s="7">
        <v>468081.70400000009</v>
      </c>
      <c r="S58" s="7">
        <v>474259.14500000002</v>
      </c>
      <c r="T58" s="7">
        <v>410857.38199999998</v>
      </c>
      <c r="U58" s="7">
        <v>512567.81</v>
      </c>
      <c r="V58" s="7">
        <v>564174.88900000008</v>
      </c>
      <c r="W58" s="7">
        <v>419799.91</v>
      </c>
      <c r="X58" s="16">
        <f>SUM(Q58:W58)</f>
        <v>3055024.8390000006</v>
      </c>
      <c r="Y58" s="28">
        <v>239997.74699999997</v>
      </c>
      <c r="Z58" s="28">
        <v>171018.71299999999</v>
      </c>
      <c r="AA58" s="7">
        <v>80632.789000000004</v>
      </c>
      <c r="AB58" s="16">
        <f t="shared" si="1"/>
        <v>491649.24899999995</v>
      </c>
      <c r="AC58" s="7">
        <v>3546674.0880000005</v>
      </c>
      <c r="AD58" s="8">
        <v>5.1148652847511991E-4</v>
      </c>
      <c r="AE58" s="8">
        <v>1.495465415584797E-4</v>
      </c>
      <c r="AF58" s="8">
        <v>1.0121048904602567E-4</v>
      </c>
      <c r="AG58" s="8">
        <v>1.5090394554478275E-4</v>
      </c>
      <c r="AH58" s="8">
        <v>7.8038455048513479E-5</v>
      </c>
      <c r="AI58" s="8">
        <v>6.912750063925655E-5</v>
      </c>
      <c r="AJ58" s="8">
        <v>1.1910436093233085E-4</v>
      </c>
      <c r="AK58" s="8">
        <v>2.8333599314996907E-4</v>
      </c>
      <c r="AL58" s="8">
        <v>7.3091416610064196E-4</v>
      </c>
      <c r="AM58" s="8">
        <v>4.2042450001326384E-3</v>
      </c>
      <c r="AN58" s="8">
        <v>2.6672876518334321E-4</v>
      </c>
    </row>
    <row r="59" spans="1:40" x14ac:dyDescent="0.2">
      <c r="A59" t="s">
        <v>78</v>
      </c>
      <c r="B59">
        <v>2011</v>
      </c>
      <c r="C59" t="s">
        <v>81</v>
      </c>
      <c r="D59" s="7">
        <v>110</v>
      </c>
      <c r="E59" s="7">
        <v>49</v>
      </c>
      <c r="F59" s="7">
        <v>56</v>
      </c>
      <c r="G59" s="7">
        <v>43</v>
      </c>
      <c r="H59" s="7">
        <v>60</v>
      </c>
      <c r="I59" s="7">
        <v>49</v>
      </c>
      <c r="J59" s="7">
        <v>50</v>
      </c>
      <c r="K59" s="16">
        <f>SUM(D59:J59)</f>
        <v>417</v>
      </c>
      <c r="L59" s="28">
        <v>41</v>
      </c>
      <c r="M59" s="28">
        <v>140</v>
      </c>
      <c r="N59" s="7">
        <v>415</v>
      </c>
      <c r="O59" s="16">
        <f t="shared" si="0"/>
        <v>596</v>
      </c>
      <c r="P59" s="7">
        <v>1013</v>
      </c>
      <c r="Q59" s="7">
        <v>203157.07199999999</v>
      </c>
      <c r="R59" s="7">
        <v>463028.13099999999</v>
      </c>
      <c r="S59" s="7">
        <v>477078.43899999995</v>
      </c>
      <c r="T59" s="7">
        <v>414807.14800000004</v>
      </c>
      <c r="U59" s="7">
        <v>497351.57299999997</v>
      </c>
      <c r="V59" s="7">
        <v>568458.89300000004</v>
      </c>
      <c r="W59" s="7">
        <v>431497.94</v>
      </c>
      <c r="X59" s="16">
        <f>SUM(Q59:W59)</f>
        <v>3055379.196</v>
      </c>
      <c r="Y59" s="28">
        <v>248604.04199999999</v>
      </c>
      <c r="Z59" s="28">
        <v>166614.00900000002</v>
      </c>
      <c r="AA59" s="7">
        <v>84415.731</v>
      </c>
      <c r="AB59" s="16">
        <f t="shared" si="1"/>
        <v>499633.78200000001</v>
      </c>
      <c r="AC59" s="7">
        <v>3555012.9780000001</v>
      </c>
      <c r="AD59" s="8">
        <v>5.4145296994632811E-4</v>
      </c>
      <c r="AE59" s="8">
        <v>1.0582510374515453E-4</v>
      </c>
      <c r="AF59" s="8">
        <v>1.1738111686074332E-4</v>
      </c>
      <c r="AG59" s="8">
        <v>1.0366263023027751E-4</v>
      </c>
      <c r="AH59" s="8">
        <v>1.2063900720788512E-4</v>
      </c>
      <c r="AI59" s="8">
        <v>8.619796541735164E-5</v>
      </c>
      <c r="AJ59" s="8">
        <v>1.158754083507328E-4</v>
      </c>
      <c r="AK59" s="8">
        <v>1.6492089054609982E-4</v>
      </c>
      <c r="AL59" s="8">
        <v>8.4026547851687541E-4</v>
      </c>
      <c r="AM59" s="8">
        <v>4.9161453094565986E-3</v>
      </c>
      <c r="AN59" s="8">
        <v>2.8494973331149399E-4</v>
      </c>
    </row>
    <row r="60" spans="1:40" x14ac:dyDescent="0.2">
      <c r="A60" t="s">
        <v>78</v>
      </c>
      <c r="B60">
        <v>2012</v>
      </c>
      <c r="C60" t="s">
        <v>82</v>
      </c>
      <c r="D60" s="7">
        <v>126</v>
      </c>
      <c r="E60" s="7">
        <v>56</v>
      </c>
      <c r="F60" s="7">
        <v>54</v>
      </c>
      <c r="G60" s="7">
        <v>54</v>
      </c>
      <c r="H60" s="7">
        <v>48</v>
      </c>
      <c r="I60" s="7">
        <v>49</v>
      </c>
      <c r="J60" s="7">
        <v>67</v>
      </c>
      <c r="K60" s="16">
        <f>SUM(D60:J60)</f>
        <v>454</v>
      </c>
      <c r="L60" s="28">
        <v>38</v>
      </c>
      <c r="M60" s="28">
        <v>136</v>
      </c>
      <c r="N60" s="7">
        <v>317</v>
      </c>
      <c r="O60" s="16">
        <f t="shared" si="0"/>
        <v>491</v>
      </c>
      <c r="P60" s="7">
        <v>945</v>
      </c>
      <c r="Q60" s="7">
        <v>199318.37699999998</v>
      </c>
      <c r="R60" s="7">
        <v>458918.10799999995</v>
      </c>
      <c r="S60" s="7">
        <v>479176.98499999993</v>
      </c>
      <c r="T60" s="7">
        <v>420884.95999999996</v>
      </c>
      <c r="U60" s="7">
        <v>485113.86600000004</v>
      </c>
      <c r="V60" s="7">
        <v>569386.64899999998</v>
      </c>
      <c r="W60" s="7">
        <v>444154.76499999996</v>
      </c>
      <c r="X60" s="16">
        <f>SUM(Q60:W60)</f>
        <v>3056953.7099999995</v>
      </c>
      <c r="Y60" s="28">
        <v>258418.13399999999</v>
      </c>
      <c r="Z60" s="28">
        <v>167108.36599999998</v>
      </c>
      <c r="AA60" s="7">
        <v>84749.743999999992</v>
      </c>
      <c r="AB60" s="16">
        <f t="shared" si="1"/>
        <v>510276.24400000001</v>
      </c>
      <c r="AC60" s="7">
        <v>3567229.9539999994</v>
      </c>
      <c r="AD60" s="8">
        <v>6.3215445508067736E-4</v>
      </c>
      <c r="AE60" s="8">
        <v>1.2202612846124609E-4</v>
      </c>
      <c r="AF60" s="8">
        <v>1.1269322544779567E-4</v>
      </c>
      <c r="AG60" s="8">
        <v>1.283010920608805E-4</v>
      </c>
      <c r="AH60" s="8">
        <v>9.8945842129361019E-5</v>
      </c>
      <c r="AI60" s="8">
        <v>8.6057514846998116E-5</v>
      </c>
      <c r="AJ60" s="8">
        <v>1.5084831972927276E-4</v>
      </c>
      <c r="AK60" s="8">
        <v>1.4704850395676954E-4</v>
      </c>
      <c r="AL60" s="8">
        <v>8.1384315612301552E-4</v>
      </c>
      <c r="AM60" s="8">
        <v>3.740424277859766E-3</v>
      </c>
      <c r="AN60" s="8">
        <v>2.649114332930386E-4</v>
      </c>
    </row>
    <row r="61" spans="1:40" x14ac:dyDescent="0.2">
      <c r="A61" t="s">
        <v>78</v>
      </c>
      <c r="B61">
        <v>2013</v>
      </c>
      <c r="C61" t="s">
        <v>83</v>
      </c>
      <c r="D61" s="7">
        <v>106</v>
      </c>
      <c r="E61" s="7">
        <v>47</v>
      </c>
      <c r="F61" s="7">
        <v>56</v>
      </c>
      <c r="G61" s="7">
        <v>44</v>
      </c>
      <c r="H61" s="7">
        <v>57</v>
      </c>
      <c r="I61" s="7">
        <v>44</v>
      </c>
      <c r="J61" s="7">
        <v>54</v>
      </c>
      <c r="K61" s="16">
        <f>SUM(D61:J61)</f>
        <v>408</v>
      </c>
      <c r="L61" s="28">
        <v>75</v>
      </c>
      <c r="M61" s="28">
        <v>113</v>
      </c>
      <c r="N61" s="7">
        <v>377</v>
      </c>
      <c r="O61" s="16">
        <f t="shared" si="0"/>
        <v>565</v>
      </c>
      <c r="P61" s="7">
        <v>973</v>
      </c>
      <c r="Q61" s="7">
        <v>197304.91999999998</v>
      </c>
      <c r="R61" s="7">
        <v>456704.39100000006</v>
      </c>
      <c r="S61" s="7">
        <v>485144.57699999999</v>
      </c>
      <c r="T61" s="7">
        <v>427408.02799999999</v>
      </c>
      <c r="U61" s="7">
        <v>469068.08099999995</v>
      </c>
      <c r="V61" s="7">
        <v>568017.80499999993</v>
      </c>
      <c r="W61" s="7">
        <v>457295.72200000007</v>
      </c>
      <c r="X61" s="16">
        <f>SUM(Q61:W61)</f>
        <v>3060943.5240000002</v>
      </c>
      <c r="Y61" s="28">
        <v>269149.79800000001</v>
      </c>
      <c r="Z61" s="28">
        <v>163767.89499999999</v>
      </c>
      <c r="AA61" s="7">
        <v>86889.545999999988</v>
      </c>
      <c r="AB61" s="16">
        <f t="shared" si="1"/>
        <v>519807.23899999994</v>
      </c>
      <c r="AC61" s="7">
        <v>3580750.7630000003</v>
      </c>
      <c r="AD61" s="8">
        <v>5.3723951739267331E-4</v>
      </c>
      <c r="AE61" s="8">
        <v>1.0291120673722621E-4</v>
      </c>
      <c r="AF61" s="8">
        <v>1.1542950834633364E-4</v>
      </c>
      <c r="AG61" s="8">
        <v>1.0294612435309709E-4</v>
      </c>
      <c r="AH61" s="8">
        <v>1.2151754150161415E-4</v>
      </c>
      <c r="AI61" s="8">
        <v>7.7462360532870985E-5</v>
      </c>
      <c r="AJ61" s="8">
        <v>1.1808551316384279E-4</v>
      </c>
      <c r="AK61" s="8">
        <v>2.7865523421273384E-4</v>
      </c>
      <c r="AL61" s="8">
        <v>6.9000093089063646E-4</v>
      </c>
      <c r="AM61" s="8">
        <v>4.3388418671217368E-3</v>
      </c>
      <c r="AN61" s="8">
        <v>2.7173072475583524E-4</v>
      </c>
    </row>
    <row r="62" spans="1:40" x14ac:dyDescent="0.2">
      <c r="A62" t="s">
        <v>78</v>
      </c>
      <c r="B62">
        <v>2014</v>
      </c>
      <c r="C62" t="s">
        <v>84</v>
      </c>
      <c r="D62" s="7">
        <v>107</v>
      </c>
      <c r="E62" s="7">
        <v>57</v>
      </c>
      <c r="F62" s="7">
        <v>55</v>
      </c>
      <c r="G62" s="7">
        <v>54</v>
      </c>
      <c r="H62" s="7">
        <v>74</v>
      </c>
      <c r="I62" s="7">
        <v>28</v>
      </c>
      <c r="J62" s="7">
        <v>41</v>
      </c>
      <c r="K62" s="16">
        <f>SUM(D62:J62)</f>
        <v>416</v>
      </c>
      <c r="L62" s="28">
        <v>86</v>
      </c>
      <c r="M62" s="28">
        <v>122</v>
      </c>
      <c r="N62" s="7">
        <v>364</v>
      </c>
      <c r="O62" s="16">
        <f t="shared" si="0"/>
        <v>572</v>
      </c>
      <c r="P62" s="7">
        <v>988</v>
      </c>
      <c r="Q62" s="7">
        <v>194081.70499999999</v>
      </c>
      <c r="R62" s="7">
        <v>453491.70200000011</v>
      </c>
      <c r="S62" s="7">
        <v>489989.38800000004</v>
      </c>
      <c r="T62" s="7">
        <v>433442.86000000004</v>
      </c>
      <c r="U62" s="7">
        <v>459871.28799999994</v>
      </c>
      <c r="V62" s="7">
        <v>564044.85899999994</v>
      </c>
      <c r="W62" s="7">
        <v>469398.27200000006</v>
      </c>
      <c r="X62" s="16">
        <f>SUM(Q62:W62)</f>
        <v>3064320.074</v>
      </c>
      <c r="Y62" s="28">
        <v>281209.196</v>
      </c>
      <c r="Z62" s="28">
        <v>163445.33199999999</v>
      </c>
      <c r="AA62" s="7">
        <v>86810.755999999994</v>
      </c>
      <c r="AB62" s="16">
        <f t="shared" si="1"/>
        <v>531465.28399999999</v>
      </c>
      <c r="AC62" s="7">
        <v>3595785.358</v>
      </c>
      <c r="AD62" s="8">
        <v>5.5131420037761935E-4</v>
      </c>
      <c r="AE62" s="8">
        <v>1.2569138475658368E-4</v>
      </c>
      <c r="AF62" s="8">
        <v>1.1224732891562133E-4</v>
      </c>
      <c r="AG62" s="8">
        <v>1.2458389555661383E-4</v>
      </c>
      <c r="AH62" s="8">
        <v>1.6091459051907587E-4</v>
      </c>
      <c r="AI62" s="8">
        <v>4.9641441727953065E-5</v>
      </c>
      <c r="AJ62" s="8">
        <v>8.7345869053390962E-5</v>
      </c>
      <c r="AK62" s="8">
        <v>3.0582214672666681E-4</v>
      </c>
      <c r="AL62" s="8">
        <v>7.4642694598338235E-4</v>
      </c>
      <c r="AM62" s="8">
        <v>4.1930287993344976E-3</v>
      </c>
      <c r="AN62" s="8">
        <v>2.7476612245552171E-4</v>
      </c>
    </row>
    <row r="63" spans="1:40" x14ac:dyDescent="0.2">
      <c r="A63" t="s">
        <v>78</v>
      </c>
      <c r="B63">
        <v>2015</v>
      </c>
      <c r="C63" t="s">
        <v>85</v>
      </c>
      <c r="D63" s="7">
        <v>114</v>
      </c>
      <c r="E63" s="7">
        <v>54</v>
      </c>
      <c r="F63" s="7">
        <v>42</v>
      </c>
      <c r="G63" s="7">
        <v>53</v>
      </c>
      <c r="H63" s="7">
        <v>61</v>
      </c>
      <c r="I63" s="7">
        <v>49</v>
      </c>
      <c r="J63" s="7">
        <v>57</v>
      </c>
      <c r="K63" s="16">
        <f>SUM(D63:J63)</f>
        <v>430</v>
      </c>
      <c r="L63" s="28">
        <v>63</v>
      </c>
      <c r="M63" s="28">
        <v>150</v>
      </c>
      <c r="N63" s="7">
        <v>397</v>
      </c>
      <c r="O63" s="16">
        <f t="shared" si="0"/>
        <v>610</v>
      </c>
      <c r="P63" s="7">
        <v>1040</v>
      </c>
      <c r="Q63" s="7">
        <v>191428.15599999999</v>
      </c>
      <c r="R63" s="7">
        <v>447137.47500000009</v>
      </c>
      <c r="S63" s="7">
        <v>494068.23699999996</v>
      </c>
      <c r="T63" s="7">
        <v>437346.90099999995</v>
      </c>
      <c r="U63" s="7">
        <v>449396.44099999993</v>
      </c>
      <c r="V63" s="7">
        <v>555610.25200000009</v>
      </c>
      <c r="W63" s="7">
        <v>478011.77999999997</v>
      </c>
      <c r="X63" s="16">
        <f>SUM(Q63:W63)</f>
        <v>3052999.2419999996</v>
      </c>
      <c r="Y63" s="28">
        <v>292294.24699999997</v>
      </c>
      <c r="Z63" s="28">
        <v>162165.48300000004</v>
      </c>
      <c r="AA63" s="7">
        <v>87955.889999999985</v>
      </c>
      <c r="AB63" s="16">
        <f t="shared" si="1"/>
        <v>542415.62</v>
      </c>
      <c r="AC63" s="7">
        <v>3595414.8619999997</v>
      </c>
      <c r="AD63" s="8">
        <v>5.9552368043497218E-4</v>
      </c>
      <c r="AE63" s="8">
        <v>1.2076822681883237E-4</v>
      </c>
      <c r="AF63" s="8">
        <v>8.5008500556573929E-5</v>
      </c>
      <c r="AG63" s="8">
        <v>1.2118526478366427E-4</v>
      </c>
      <c r="AH63" s="8">
        <v>1.3573761257268169E-4</v>
      </c>
      <c r="AI63" s="8">
        <v>8.8191317247328244E-5</v>
      </c>
      <c r="AJ63" s="8">
        <v>1.1924392323553198E-4</v>
      </c>
      <c r="AK63" s="8">
        <v>2.1553622983212531E-4</v>
      </c>
      <c r="AL63" s="8">
        <v>9.2498105777540811E-4</v>
      </c>
      <c r="AM63" s="8">
        <v>4.5136260914419727E-3</v>
      </c>
      <c r="AN63" s="8">
        <v>2.8925730128997838E-4</v>
      </c>
    </row>
    <row r="64" spans="1:40" x14ac:dyDescent="0.2">
      <c r="A64" t="s">
        <v>78</v>
      </c>
      <c r="B64">
        <v>2016</v>
      </c>
      <c r="C64" t="s">
        <v>86</v>
      </c>
      <c r="D64" s="7">
        <v>93</v>
      </c>
      <c r="E64" s="7">
        <v>67</v>
      </c>
      <c r="F64" s="7">
        <v>49</v>
      </c>
      <c r="G64" s="7">
        <v>52</v>
      </c>
      <c r="H64" s="7">
        <v>51</v>
      </c>
      <c r="I64" s="7">
        <v>51</v>
      </c>
      <c r="J64" s="7">
        <v>56</v>
      </c>
      <c r="K64" s="16">
        <f>SUM(D64:J64)</f>
        <v>419</v>
      </c>
      <c r="L64" s="28">
        <v>65</v>
      </c>
      <c r="M64" s="28">
        <v>113</v>
      </c>
      <c r="N64" s="7">
        <v>307</v>
      </c>
      <c r="O64" s="16">
        <f t="shared" si="0"/>
        <v>485</v>
      </c>
      <c r="P64" s="7">
        <v>904</v>
      </c>
      <c r="Q64" s="7">
        <v>188741.39800000002</v>
      </c>
      <c r="R64" s="7">
        <v>439800.21500000003</v>
      </c>
      <c r="S64" s="7">
        <v>494764.12300000002</v>
      </c>
      <c r="T64" s="7">
        <v>438606.065</v>
      </c>
      <c r="U64" s="7">
        <v>439966.12500000006</v>
      </c>
      <c r="V64" s="7">
        <v>546335.86200000008</v>
      </c>
      <c r="W64" s="7">
        <v>488884.00199999998</v>
      </c>
      <c r="X64" s="16">
        <f>SUM(Q64:W64)</f>
        <v>3037097.79</v>
      </c>
      <c r="Y64" s="28">
        <v>303525.87199999997</v>
      </c>
      <c r="Z64" s="28">
        <v>162787.73599999998</v>
      </c>
      <c r="AA64" s="7">
        <v>87324.955000000002</v>
      </c>
      <c r="AB64" s="16">
        <f t="shared" si="1"/>
        <v>553638.56299999997</v>
      </c>
      <c r="AC64" s="7">
        <v>3590736.3530000001</v>
      </c>
      <c r="AD64" s="8">
        <v>4.927376875739788E-4</v>
      </c>
      <c r="AE64" s="8">
        <v>1.5234189915073142E-4</v>
      </c>
      <c r="AF64" s="8">
        <v>9.903709206497982E-5</v>
      </c>
      <c r="AG64" s="8">
        <v>1.1855741210509709E-4</v>
      </c>
      <c r="AH64" s="8">
        <v>1.159180152790172E-4</v>
      </c>
      <c r="AI64" s="8">
        <v>9.3349171356428345E-5</v>
      </c>
      <c r="AJ64" s="8">
        <v>1.1454659954285026E-4</v>
      </c>
      <c r="AK64" s="8">
        <v>2.1414978423980939E-4</v>
      </c>
      <c r="AL64" s="8">
        <v>6.9415548601277929E-4</v>
      </c>
      <c r="AM64" s="8">
        <v>3.5156044454875469E-3</v>
      </c>
      <c r="AN64" s="8">
        <v>2.5175894611274456E-4</v>
      </c>
    </row>
    <row r="65" spans="1:40" x14ac:dyDescent="0.2">
      <c r="A65" t="s">
        <v>78</v>
      </c>
      <c r="B65">
        <v>2017</v>
      </c>
      <c r="C65" t="s">
        <v>87</v>
      </c>
      <c r="D65" s="7">
        <v>86</v>
      </c>
      <c r="E65" s="7">
        <v>64</v>
      </c>
      <c r="F65" s="7">
        <v>56</v>
      </c>
      <c r="G65" s="7">
        <v>84</v>
      </c>
      <c r="H65" s="7">
        <v>68</v>
      </c>
      <c r="I65" s="7">
        <v>61</v>
      </c>
      <c r="J65" s="7">
        <v>47</v>
      </c>
      <c r="K65" s="16">
        <f>SUM(D65:J65)</f>
        <v>466</v>
      </c>
      <c r="L65" s="28">
        <v>72</v>
      </c>
      <c r="M65" s="28">
        <v>122</v>
      </c>
      <c r="N65" s="7">
        <v>389</v>
      </c>
      <c r="O65" s="16">
        <f t="shared" si="0"/>
        <v>583</v>
      </c>
      <c r="P65" s="7">
        <v>1049</v>
      </c>
      <c r="Q65" s="7">
        <v>186188</v>
      </c>
      <c r="R65" s="7">
        <v>432367</v>
      </c>
      <c r="S65" s="7">
        <v>495626</v>
      </c>
      <c r="T65" s="7">
        <v>439239</v>
      </c>
      <c r="U65" s="7">
        <v>433401</v>
      </c>
      <c r="V65" s="7">
        <v>535611</v>
      </c>
      <c r="W65" s="7">
        <v>496289</v>
      </c>
      <c r="X65" s="16">
        <f>SUM(Q65:W65)</f>
        <v>3018721</v>
      </c>
      <c r="Y65" s="28">
        <v>318515</v>
      </c>
      <c r="Z65" s="28">
        <v>167133</v>
      </c>
      <c r="AA65" s="7">
        <v>90109</v>
      </c>
      <c r="AB65" s="16">
        <f t="shared" si="1"/>
        <v>575757</v>
      </c>
      <c r="AC65" s="7">
        <v>3594478</v>
      </c>
      <c r="AD65" s="8">
        <v>4.6189872601886268E-4</v>
      </c>
      <c r="AE65" s="8">
        <v>1.4802239763904275E-4</v>
      </c>
      <c r="AF65" s="8">
        <v>1.129884227219718E-4</v>
      </c>
      <c r="AG65" s="8">
        <v>1.9123984892051936E-4</v>
      </c>
      <c r="AH65" s="8">
        <v>1.568985766068837E-4</v>
      </c>
      <c r="AI65" s="8">
        <v>1.1388862439344972E-4</v>
      </c>
      <c r="AJ65" s="8">
        <v>9.4702884811067746E-5</v>
      </c>
      <c r="AK65" s="8">
        <v>2.2604900868090984E-4</v>
      </c>
      <c r="AL65" s="8">
        <v>7.2995757869481195E-4</v>
      </c>
      <c r="AM65" s="8">
        <v>4.3169938629881591E-3</v>
      </c>
      <c r="AN65" s="8">
        <v>2.918365337053113E-4</v>
      </c>
    </row>
    <row r="66" spans="1:40" x14ac:dyDescent="0.2">
      <c r="A66" t="s">
        <v>88</v>
      </c>
      <c r="B66">
        <v>2009</v>
      </c>
      <c r="C66" t="s">
        <v>89</v>
      </c>
      <c r="D66" s="7">
        <v>105</v>
      </c>
      <c r="E66" s="7">
        <v>68</v>
      </c>
      <c r="F66" s="7">
        <v>46</v>
      </c>
      <c r="G66" s="7">
        <v>41</v>
      </c>
      <c r="H66" s="7">
        <v>50</v>
      </c>
      <c r="I66" s="7">
        <v>51</v>
      </c>
      <c r="J66" s="7">
        <v>40</v>
      </c>
      <c r="K66" s="16">
        <f>SUM(D66:J66)</f>
        <v>401</v>
      </c>
      <c r="L66" s="28">
        <v>48</v>
      </c>
      <c r="M66" s="28">
        <v>53</v>
      </c>
      <c r="N66" s="7">
        <v>57</v>
      </c>
      <c r="O66" s="16">
        <f t="shared" si="0"/>
        <v>158</v>
      </c>
      <c r="P66" s="7">
        <v>559</v>
      </c>
      <c r="Q66" s="7">
        <v>58270.941999999995</v>
      </c>
      <c r="R66" s="7">
        <v>111165.51800000001</v>
      </c>
      <c r="S66" s="7">
        <v>117963.568</v>
      </c>
      <c r="T66" s="7">
        <v>112326.01799999998</v>
      </c>
      <c r="U66" s="7">
        <v>121305.82999999999</v>
      </c>
      <c r="V66" s="7">
        <v>125074.128</v>
      </c>
      <c r="W66" s="7">
        <v>99139.957999999984</v>
      </c>
      <c r="X66" s="16">
        <f>SUM(Q66:W66)</f>
        <v>745245.96200000006</v>
      </c>
      <c r="Y66" s="28">
        <v>63093.334000000003</v>
      </c>
      <c r="Z66" s="28">
        <v>40563.036000000007</v>
      </c>
      <c r="AA66" s="7">
        <v>15490.835999999999</v>
      </c>
      <c r="AB66" s="16">
        <f t="shared" si="1"/>
        <v>119147.20600000001</v>
      </c>
      <c r="AC66" s="7">
        <v>864393.16800000006</v>
      </c>
      <c r="AD66" s="8">
        <v>1.801927279637937E-3</v>
      </c>
      <c r="AE66" s="8">
        <v>6.117004735227339E-4</v>
      </c>
      <c r="AF66" s="8">
        <v>3.8995090416390251E-4</v>
      </c>
      <c r="AG66" s="8">
        <v>3.6500893319302042E-4</v>
      </c>
      <c r="AH66" s="8">
        <v>4.121813436336902E-4</v>
      </c>
      <c r="AI66" s="8">
        <v>4.077581896073663E-4</v>
      </c>
      <c r="AJ66" s="8">
        <v>4.0347001155679335E-4</v>
      </c>
      <c r="AK66" s="8">
        <v>7.6077767581595856E-4</v>
      </c>
      <c r="AL66" s="8">
        <v>1.3066083120602705E-3</v>
      </c>
      <c r="AM66" s="8">
        <v>3.6795948262572792E-3</v>
      </c>
      <c r="AN66" s="8">
        <v>6.4669645792480386E-4</v>
      </c>
    </row>
    <row r="67" spans="1:40" x14ac:dyDescent="0.2">
      <c r="A67" t="s">
        <v>88</v>
      </c>
      <c r="B67">
        <v>2010</v>
      </c>
      <c r="C67" t="s">
        <v>90</v>
      </c>
      <c r="D67" s="7">
        <v>114</v>
      </c>
      <c r="E67" s="7">
        <v>57</v>
      </c>
      <c r="F67" s="7">
        <v>54</v>
      </c>
      <c r="G67" s="7">
        <v>69</v>
      </c>
      <c r="H67" s="7">
        <v>55</v>
      </c>
      <c r="I67" s="7">
        <v>35</v>
      </c>
      <c r="J67" s="7">
        <v>52</v>
      </c>
      <c r="K67" s="16">
        <f>SUM(D67:J67)</f>
        <v>436</v>
      </c>
      <c r="L67" s="28">
        <v>49</v>
      </c>
      <c r="M67" s="28">
        <v>38</v>
      </c>
      <c r="N67" s="7">
        <v>49</v>
      </c>
      <c r="O67" s="16">
        <f t="shared" si="0"/>
        <v>136</v>
      </c>
      <c r="P67" s="7">
        <v>572</v>
      </c>
      <c r="Q67" s="7">
        <v>55855.555999999997</v>
      </c>
      <c r="R67" s="7">
        <v>112543.174</v>
      </c>
      <c r="S67" s="7">
        <v>125219.46</v>
      </c>
      <c r="T67" s="7">
        <v>109915.41399999999</v>
      </c>
      <c r="U67" s="7">
        <v>120411.88</v>
      </c>
      <c r="V67" s="7">
        <v>130201.804</v>
      </c>
      <c r="W67" s="7">
        <v>104765.266</v>
      </c>
      <c r="X67" s="16">
        <f>SUM(Q67:W67)</f>
        <v>758912.554</v>
      </c>
      <c r="Y67" s="28">
        <v>67709.213999999993</v>
      </c>
      <c r="Z67" s="28">
        <v>39449.731999999996</v>
      </c>
      <c r="AA67" s="7">
        <v>15622.119999999999</v>
      </c>
      <c r="AB67" s="16">
        <f t="shared" si="1"/>
        <v>122781.06599999999</v>
      </c>
      <c r="AC67" s="7">
        <v>881693.62</v>
      </c>
      <c r="AD67" s="8">
        <v>2.040978698699195E-3</v>
      </c>
      <c r="AE67" s="8">
        <v>5.0647229835547379E-4</v>
      </c>
      <c r="AF67" s="8">
        <v>4.3124287550832754E-4</v>
      </c>
      <c r="AG67" s="8">
        <v>6.2775544838506456E-4</v>
      </c>
      <c r="AH67" s="8">
        <v>4.5676556167049297E-4</v>
      </c>
      <c r="AI67" s="8">
        <v>2.6881347972720871E-4</v>
      </c>
      <c r="AJ67" s="8">
        <v>4.9634771127293276E-4</v>
      </c>
      <c r="AK67" s="8">
        <v>7.2368289491589737E-4</v>
      </c>
      <c r="AL67" s="8">
        <v>9.6325115719417319E-4</v>
      </c>
      <c r="AM67" s="8">
        <v>3.1365781340816743E-3</v>
      </c>
      <c r="AN67" s="8">
        <v>6.4875143363292117E-4</v>
      </c>
    </row>
    <row r="68" spans="1:40" x14ac:dyDescent="0.2">
      <c r="A68" t="s">
        <v>88</v>
      </c>
      <c r="B68">
        <v>2011</v>
      </c>
      <c r="C68" t="s">
        <v>91</v>
      </c>
      <c r="D68" s="7">
        <v>81</v>
      </c>
      <c r="E68" s="7">
        <v>50</v>
      </c>
      <c r="F68" s="7">
        <v>59</v>
      </c>
      <c r="G68" s="7">
        <v>67</v>
      </c>
      <c r="H68" s="7">
        <v>35</v>
      </c>
      <c r="I68" s="7">
        <v>49</v>
      </c>
      <c r="J68" s="7">
        <v>72</v>
      </c>
      <c r="K68" s="16">
        <f>SUM(D68:J68)</f>
        <v>413</v>
      </c>
      <c r="L68" s="28">
        <v>50</v>
      </c>
      <c r="M68" s="28">
        <v>71</v>
      </c>
      <c r="N68" s="7">
        <v>66</v>
      </c>
      <c r="O68" s="16">
        <f t="shared" ref="O68:O131" si="2">SUM(L68:N68)</f>
        <v>187</v>
      </c>
      <c r="P68" s="7">
        <v>600</v>
      </c>
      <c r="Q68" s="7">
        <v>55769.298000000003</v>
      </c>
      <c r="R68" s="7">
        <v>112323.41400000002</v>
      </c>
      <c r="S68" s="7">
        <v>126170.592</v>
      </c>
      <c r="T68" s="7">
        <v>110709.19200000001</v>
      </c>
      <c r="U68" s="7">
        <v>117917.394</v>
      </c>
      <c r="V68" s="7">
        <v>131753.24400000001</v>
      </c>
      <c r="W68" s="7">
        <v>108786.44399999999</v>
      </c>
      <c r="X68" s="16">
        <f>SUM(Q68:W68)</f>
        <v>763429.5780000001</v>
      </c>
      <c r="Y68" s="28">
        <v>70359.245999999999</v>
      </c>
      <c r="Z68" s="28">
        <v>40071.9</v>
      </c>
      <c r="AA68" s="7">
        <v>16151.268</v>
      </c>
      <c r="AB68" s="16">
        <f t="shared" ref="AB68:AB131" si="3">SUM(Y68:AA68)</f>
        <v>126582.414</v>
      </c>
      <c r="AC68" s="7">
        <v>890011.9920000002</v>
      </c>
      <c r="AD68" s="8">
        <v>1.4524120421956898E-3</v>
      </c>
      <c r="AE68" s="8">
        <v>4.4514316489703554E-4</v>
      </c>
      <c r="AF68" s="8">
        <v>4.6762085415276482E-4</v>
      </c>
      <c r="AG68" s="8">
        <v>6.0518913370806644E-4</v>
      </c>
      <c r="AH68" s="8">
        <v>2.968179571539717E-4</v>
      </c>
      <c r="AI68" s="8">
        <v>3.7190735129072041E-4</v>
      </c>
      <c r="AJ68" s="8">
        <v>6.6184716911971131E-4</v>
      </c>
      <c r="AK68" s="8">
        <v>7.1063865579230336E-4</v>
      </c>
      <c r="AL68" s="8">
        <v>1.7718151622458629E-3</v>
      </c>
      <c r="AM68" s="8">
        <v>4.086366469802866E-3</v>
      </c>
      <c r="AN68" s="8">
        <v>6.7414821979162713E-4</v>
      </c>
    </row>
    <row r="69" spans="1:40" x14ac:dyDescent="0.2">
      <c r="A69" t="s">
        <v>88</v>
      </c>
      <c r="B69">
        <v>2012</v>
      </c>
      <c r="C69" t="s">
        <v>92</v>
      </c>
      <c r="D69" s="7">
        <v>90</v>
      </c>
      <c r="E69" s="7">
        <v>45</v>
      </c>
      <c r="F69" s="7">
        <v>65</v>
      </c>
      <c r="G69" s="7">
        <v>59</v>
      </c>
      <c r="H69" s="7">
        <v>52</v>
      </c>
      <c r="I69" s="7">
        <v>56</v>
      </c>
      <c r="J69" s="7">
        <v>48</v>
      </c>
      <c r="K69" s="16">
        <f>SUM(D69:J69)</f>
        <v>415</v>
      </c>
      <c r="L69" s="28">
        <v>56</v>
      </c>
      <c r="M69" s="28">
        <v>64</v>
      </c>
      <c r="N69" s="7">
        <v>74</v>
      </c>
      <c r="O69" s="16">
        <f t="shared" si="2"/>
        <v>194</v>
      </c>
      <c r="P69" s="7">
        <v>609</v>
      </c>
      <c r="Q69" s="7">
        <v>56156.893000000004</v>
      </c>
      <c r="R69" s="7">
        <v>113484.041</v>
      </c>
      <c r="S69" s="7">
        <v>127042.61800000002</v>
      </c>
      <c r="T69" s="7">
        <v>111979.94399999999</v>
      </c>
      <c r="U69" s="7">
        <v>115866.42300000001</v>
      </c>
      <c r="V69" s="7">
        <v>132333.603</v>
      </c>
      <c r="W69" s="7">
        <v>111943.48799999998</v>
      </c>
      <c r="X69" s="16">
        <f>SUM(Q69:W69)</f>
        <v>768807.01</v>
      </c>
      <c r="Y69" s="28">
        <v>73350.815000000002</v>
      </c>
      <c r="Z69" s="28">
        <v>41219.457000000002</v>
      </c>
      <c r="AA69" s="7">
        <v>16162.742999999999</v>
      </c>
      <c r="AB69" s="16">
        <f t="shared" si="3"/>
        <v>130733.015</v>
      </c>
      <c r="AC69" s="7">
        <v>899540.02500000002</v>
      </c>
      <c r="AD69" s="8">
        <v>1.6026527678445457E-3</v>
      </c>
      <c r="AE69" s="8">
        <v>3.9653152640202509E-4</v>
      </c>
      <c r="AF69" s="8">
        <v>5.1163933035447992E-4</v>
      </c>
      <c r="AG69" s="8">
        <v>5.2688006345136241E-4</v>
      </c>
      <c r="AH69" s="8">
        <v>4.4879265842184493E-4</v>
      </c>
      <c r="AI69" s="8">
        <v>4.2317294119166392E-4</v>
      </c>
      <c r="AJ69" s="8">
        <v>4.2878778263546699E-4</v>
      </c>
      <c r="AK69" s="8">
        <v>7.634543665261251E-4</v>
      </c>
      <c r="AL69" s="8">
        <v>1.5526648009943458E-3</v>
      </c>
      <c r="AM69" s="8">
        <v>4.5784307774985973E-3</v>
      </c>
      <c r="AN69" s="8">
        <v>6.7701267656211292E-4</v>
      </c>
    </row>
    <row r="70" spans="1:40" x14ac:dyDescent="0.2">
      <c r="A70" t="s">
        <v>88</v>
      </c>
      <c r="B70">
        <v>2013</v>
      </c>
      <c r="C70" t="s">
        <v>93</v>
      </c>
      <c r="D70" s="7">
        <v>97</v>
      </c>
      <c r="E70" s="7">
        <v>69</v>
      </c>
      <c r="F70" s="7">
        <v>39</v>
      </c>
      <c r="G70" s="7">
        <v>62</v>
      </c>
      <c r="H70" s="7">
        <v>51</v>
      </c>
      <c r="I70" s="7">
        <v>41</v>
      </c>
      <c r="J70" s="7">
        <v>53</v>
      </c>
      <c r="K70" s="16">
        <f>SUM(D70:J70)</f>
        <v>412</v>
      </c>
      <c r="L70" s="28">
        <v>57</v>
      </c>
      <c r="M70" s="28">
        <v>55</v>
      </c>
      <c r="N70" s="7">
        <v>64</v>
      </c>
      <c r="O70" s="16">
        <f t="shared" si="2"/>
        <v>176</v>
      </c>
      <c r="P70" s="7">
        <v>588</v>
      </c>
      <c r="Q70" s="7">
        <v>56145.642</v>
      </c>
      <c r="R70" s="7">
        <v>113812.83</v>
      </c>
      <c r="S70" s="7">
        <v>127261.97</v>
      </c>
      <c r="T70" s="7">
        <v>114392.564</v>
      </c>
      <c r="U70" s="7">
        <v>113779.46400000001</v>
      </c>
      <c r="V70" s="7">
        <v>132610.28</v>
      </c>
      <c r="W70" s="7">
        <v>115009.85800000001</v>
      </c>
      <c r="X70" s="16">
        <f>SUM(Q70:W70)</f>
        <v>773012.60800000012</v>
      </c>
      <c r="Y70" s="28">
        <v>77609.5</v>
      </c>
      <c r="Z70" s="28">
        <v>41069.712</v>
      </c>
      <c r="AA70" s="7">
        <v>16718.577999999998</v>
      </c>
      <c r="AB70" s="16">
        <f t="shared" si="3"/>
        <v>135397.79</v>
      </c>
      <c r="AC70" s="7">
        <v>908410.39800000004</v>
      </c>
      <c r="AD70" s="8">
        <v>1.7276496722577329E-3</v>
      </c>
      <c r="AE70" s="8">
        <v>6.0625853869023373E-4</v>
      </c>
      <c r="AF70" s="8">
        <v>3.0645447339845515E-4</v>
      </c>
      <c r="AG70" s="8">
        <v>5.4199327152069086E-4</v>
      </c>
      <c r="AH70" s="8">
        <v>4.4823554450915674E-4</v>
      </c>
      <c r="AI70" s="8">
        <v>3.0917663396834693E-4</v>
      </c>
      <c r="AJ70" s="8">
        <v>4.6083006206302764E-4</v>
      </c>
      <c r="AK70" s="8">
        <v>7.3444616960552508E-4</v>
      </c>
      <c r="AL70" s="8">
        <v>1.3391864057873111E-3</v>
      </c>
      <c r="AM70" s="8">
        <v>3.828076765858915E-3</v>
      </c>
      <c r="AN70" s="8">
        <v>6.4728453273384915E-4</v>
      </c>
    </row>
    <row r="71" spans="1:40" x14ac:dyDescent="0.2">
      <c r="A71" t="s">
        <v>88</v>
      </c>
      <c r="B71">
        <v>2014</v>
      </c>
      <c r="C71" t="s">
        <v>94</v>
      </c>
      <c r="D71" s="7">
        <v>137</v>
      </c>
      <c r="E71" s="7">
        <v>45</v>
      </c>
      <c r="F71" s="7">
        <v>44</v>
      </c>
      <c r="G71" s="7">
        <v>43</v>
      </c>
      <c r="H71" s="7">
        <v>57</v>
      </c>
      <c r="I71" s="7">
        <v>50</v>
      </c>
      <c r="J71" s="7">
        <v>55</v>
      </c>
      <c r="K71" s="16">
        <f>SUM(D71:J71)</f>
        <v>431</v>
      </c>
      <c r="L71" s="28">
        <v>63</v>
      </c>
      <c r="M71" s="28">
        <v>46</v>
      </c>
      <c r="N71" s="7">
        <v>63</v>
      </c>
      <c r="O71" s="16">
        <f t="shared" si="2"/>
        <v>172</v>
      </c>
      <c r="P71" s="7">
        <v>603</v>
      </c>
      <c r="Q71" s="7">
        <v>55963.097000000002</v>
      </c>
      <c r="R71" s="7">
        <v>114168.27499999999</v>
      </c>
      <c r="S71" s="7">
        <v>126039.97400000002</v>
      </c>
      <c r="T71" s="7">
        <v>117064.497</v>
      </c>
      <c r="U71" s="7">
        <v>112274.973</v>
      </c>
      <c r="V71" s="7">
        <v>132012.74</v>
      </c>
      <c r="W71" s="7">
        <v>118516.83900000001</v>
      </c>
      <c r="X71" s="16">
        <f>SUM(Q71:W71)</f>
        <v>776040.39500000002</v>
      </c>
      <c r="Y71" s="28">
        <v>81244.688999999998</v>
      </c>
      <c r="Z71" s="28">
        <v>42241.995999999999</v>
      </c>
      <c r="AA71" s="7">
        <v>17598.285</v>
      </c>
      <c r="AB71" s="16">
        <f t="shared" si="3"/>
        <v>141084.97</v>
      </c>
      <c r="AC71" s="7">
        <v>917125.36500000011</v>
      </c>
      <c r="AD71" s="8">
        <v>2.4480417872513381E-3</v>
      </c>
      <c r="AE71" s="8">
        <v>3.9415503124664013E-4</v>
      </c>
      <c r="AF71" s="8">
        <v>3.4909559724282389E-4</v>
      </c>
      <c r="AG71" s="8">
        <v>3.673188806338099E-4</v>
      </c>
      <c r="AH71" s="8">
        <v>5.0768215281601534E-4</v>
      </c>
      <c r="AI71" s="8">
        <v>3.7875132354650017E-4</v>
      </c>
      <c r="AJ71" s="8">
        <v>4.6406907629387579E-4</v>
      </c>
      <c r="AK71" s="8">
        <v>7.7543530260790335E-4</v>
      </c>
      <c r="AL71" s="8">
        <v>1.0889636938557544E-3</v>
      </c>
      <c r="AM71" s="8">
        <v>3.5798942908357263E-3</v>
      </c>
      <c r="AN71" s="8">
        <v>6.5748917543023136E-4</v>
      </c>
    </row>
    <row r="72" spans="1:40" x14ac:dyDescent="0.2">
      <c r="A72" t="s">
        <v>88</v>
      </c>
      <c r="B72">
        <v>2015</v>
      </c>
      <c r="C72" t="s">
        <v>95</v>
      </c>
      <c r="D72" s="7">
        <v>90</v>
      </c>
      <c r="E72" s="7">
        <v>49</v>
      </c>
      <c r="F72" s="7">
        <v>63</v>
      </c>
      <c r="G72" s="7">
        <v>61</v>
      </c>
      <c r="H72" s="7">
        <v>57</v>
      </c>
      <c r="I72" s="7">
        <v>42</v>
      </c>
      <c r="J72" s="7">
        <v>52</v>
      </c>
      <c r="K72" s="16">
        <f>SUM(D72:J72)</f>
        <v>414</v>
      </c>
      <c r="L72" s="28">
        <v>69</v>
      </c>
      <c r="M72" s="28">
        <v>63</v>
      </c>
      <c r="N72" s="7">
        <v>66</v>
      </c>
      <c r="O72" s="16">
        <f t="shared" si="2"/>
        <v>198</v>
      </c>
      <c r="P72" s="7">
        <v>612</v>
      </c>
      <c r="Q72" s="7">
        <v>55605.577000000005</v>
      </c>
      <c r="R72" s="7">
        <v>113673.158</v>
      </c>
      <c r="S72" s="7">
        <v>125757.539</v>
      </c>
      <c r="T72" s="7">
        <v>120033.74799999999</v>
      </c>
      <c r="U72" s="7">
        <v>111328.33799999999</v>
      </c>
      <c r="V72" s="7">
        <v>131079.57</v>
      </c>
      <c r="W72" s="7">
        <v>121253.851</v>
      </c>
      <c r="X72" s="16">
        <f>SUM(Q72:W72)</f>
        <v>778731.78099999996</v>
      </c>
      <c r="Y72" s="28">
        <v>85953.712</v>
      </c>
      <c r="Z72" s="28">
        <v>43807.407000000007</v>
      </c>
      <c r="AA72" s="7">
        <v>17788.268</v>
      </c>
      <c r="AB72" s="16">
        <f t="shared" si="3"/>
        <v>147549.38700000002</v>
      </c>
      <c r="AC72" s="7">
        <v>926281.16800000006</v>
      </c>
      <c r="AD72" s="8">
        <v>1.6185426868243807E-3</v>
      </c>
      <c r="AE72" s="8">
        <v>4.3106042677199132E-4</v>
      </c>
      <c r="AF72" s="8">
        <v>5.0096400184803237E-4</v>
      </c>
      <c r="AG72" s="8">
        <v>5.0819041324944719E-4</v>
      </c>
      <c r="AH72" s="8">
        <v>5.1199902041113737E-4</v>
      </c>
      <c r="AI72" s="8">
        <v>3.2041606483756394E-4</v>
      </c>
      <c r="AJ72" s="8">
        <v>4.2885235867683906E-4</v>
      </c>
      <c r="AK72" s="8">
        <v>8.0275765169978927E-4</v>
      </c>
      <c r="AL72" s="8">
        <v>1.4381129656909387E-3</v>
      </c>
      <c r="AM72" s="8">
        <v>3.7103106384500165E-3</v>
      </c>
      <c r="AN72" s="8">
        <v>6.6070651238803982E-4</v>
      </c>
    </row>
    <row r="73" spans="1:40" x14ac:dyDescent="0.2">
      <c r="A73" t="s">
        <v>88</v>
      </c>
      <c r="B73">
        <v>2016</v>
      </c>
      <c r="C73" t="s">
        <v>96</v>
      </c>
      <c r="D73" s="7">
        <v>121</v>
      </c>
      <c r="E73" s="7">
        <v>58</v>
      </c>
      <c r="F73" s="7">
        <v>46</v>
      </c>
      <c r="G73" s="7">
        <v>50</v>
      </c>
      <c r="H73" s="7">
        <v>55</v>
      </c>
      <c r="I73" s="7">
        <v>71</v>
      </c>
      <c r="J73" s="7">
        <v>43</v>
      </c>
      <c r="K73" s="16">
        <f>SUM(D73:J73)</f>
        <v>444</v>
      </c>
      <c r="L73" s="28">
        <v>60</v>
      </c>
      <c r="M73" s="28">
        <v>59</v>
      </c>
      <c r="N73" s="7">
        <v>71</v>
      </c>
      <c r="O73" s="16">
        <f t="shared" si="2"/>
        <v>190</v>
      </c>
      <c r="P73" s="7">
        <v>634</v>
      </c>
      <c r="Q73" s="7">
        <v>55711.476000000002</v>
      </c>
      <c r="R73" s="7">
        <v>114488.31</v>
      </c>
      <c r="S73" s="7">
        <v>124332.12899999999</v>
      </c>
      <c r="T73" s="7">
        <v>122261.96699999999</v>
      </c>
      <c r="U73" s="7">
        <v>110395.70699999999</v>
      </c>
      <c r="V73" s="7">
        <v>129752.73000000001</v>
      </c>
      <c r="W73" s="7">
        <v>124605.88800000001</v>
      </c>
      <c r="X73" s="16">
        <f>SUM(Q73:W73)</f>
        <v>781548.20699999994</v>
      </c>
      <c r="Y73" s="28">
        <v>90855.747000000003</v>
      </c>
      <c r="Z73" s="28">
        <v>44843.163</v>
      </c>
      <c r="AA73" s="7">
        <v>17960.129999999997</v>
      </c>
      <c r="AB73" s="16">
        <f t="shared" si="3"/>
        <v>153659.04</v>
      </c>
      <c r="AC73" s="7">
        <v>935207.24699999986</v>
      </c>
      <c r="AD73" s="8">
        <v>2.1719044026045908E-3</v>
      </c>
      <c r="AE73" s="8">
        <v>5.0660194040771499E-4</v>
      </c>
      <c r="AF73" s="8">
        <v>3.6997677406457025E-4</v>
      </c>
      <c r="AG73" s="8">
        <v>4.0895792229483766E-4</v>
      </c>
      <c r="AH73" s="8">
        <v>4.9820777903981364E-4</v>
      </c>
      <c r="AI73" s="8">
        <v>5.4719465247474945E-4</v>
      </c>
      <c r="AJ73" s="8">
        <v>3.4508802665890074E-4</v>
      </c>
      <c r="AK73" s="8">
        <v>6.6038750416085403E-4</v>
      </c>
      <c r="AL73" s="8">
        <v>1.3156966648405243E-3</v>
      </c>
      <c r="AM73" s="8">
        <v>3.9532007841814069E-3</v>
      </c>
      <c r="AN73" s="8">
        <v>6.7792460124082004E-4</v>
      </c>
    </row>
    <row r="74" spans="1:40" x14ac:dyDescent="0.2">
      <c r="A74" t="s">
        <v>88</v>
      </c>
      <c r="B74">
        <v>2017</v>
      </c>
      <c r="C74" t="s">
        <v>97</v>
      </c>
      <c r="D74" s="7">
        <v>117</v>
      </c>
      <c r="E74" s="7">
        <v>50</v>
      </c>
      <c r="F74" s="7">
        <v>52</v>
      </c>
      <c r="G74" s="7">
        <v>54</v>
      </c>
      <c r="H74" s="7">
        <v>62</v>
      </c>
      <c r="I74" s="7">
        <v>55</v>
      </c>
      <c r="J74" s="7">
        <v>50</v>
      </c>
      <c r="K74" s="16">
        <f>SUM(D74:J74)</f>
        <v>440</v>
      </c>
      <c r="L74" s="28">
        <v>58</v>
      </c>
      <c r="M74" s="28">
        <v>60</v>
      </c>
      <c r="N74" s="7">
        <v>65</v>
      </c>
      <c r="O74" s="16">
        <f t="shared" si="2"/>
        <v>183</v>
      </c>
      <c r="P74" s="7">
        <v>623</v>
      </c>
      <c r="Q74" s="7">
        <v>55282</v>
      </c>
      <c r="R74" s="7">
        <v>114024</v>
      </c>
      <c r="S74" s="7">
        <v>122886</v>
      </c>
      <c r="T74" s="7">
        <v>125241</v>
      </c>
      <c r="U74" s="7">
        <v>110313</v>
      </c>
      <c r="V74" s="7">
        <v>128392</v>
      </c>
      <c r="W74" s="7">
        <v>127029</v>
      </c>
      <c r="X74" s="16">
        <f>SUM(Q74:W74)</f>
        <v>783167</v>
      </c>
      <c r="Y74" s="28">
        <v>95605</v>
      </c>
      <c r="Z74" s="28">
        <v>46641</v>
      </c>
      <c r="AA74" s="7">
        <v>18319</v>
      </c>
      <c r="AB74" s="16">
        <f t="shared" si="3"/>
        <v>160565</v>
      </c>
      <c r="AC74" s="7">
        <v>943732</v>
      </c>
      <c r="AD74" s="8">
        <v>2.1164212582757496E-3</v>
      </c>
      <c r="AE74" s="8">
        <v>4.3850417455974181E-4</v>
      </c>
      <c r="AF74" s="8">
        <v>4.2315642139869475E-4</v>
      </c>
      <c r="AG74" s="8">
        <v>4.3116870673341799E-4</v>
      </c>
      <c r="AH74" s="8">
        <v>5.6203711257965972E-4</v>
      </c>
      <c r="AI74" s="8">
        <v>4.2837559972583962E-4</v>
      </c>
      <c r="AJ74" s="8">
        <v>3.9361090774547543E-4</v>
      </c>
      <c r="AK74" s="8">
        <v>6.0666283144187021E-4</v>
      </c>
      <c r="AL74" s="8">
        <v>1.2864218177140285E-3</v>
      </c>
      <c r="AM74" s="8">
        <v>3.5482286150990776E-3</v>
      </c>
      <c r="AN74" s="8">
        <v>6.6014504117694434E-4</v>
      </c>
    </row>
    <row r="75" spans="1:40" x14ac:dyDescent="0.2">
      <c r="A75" t="s">
        <v>98</v>
      </c>
      <c r="B75">
        <v>2009</v>
      </c>
      <c r="C75" t="s">
        <v>99</v>
      </c>
      <c r="D75" s="7">
        <v>106</v>
      </c>
      <c r="E75" s="7">
        <v>60</v>
      </c>
      <c r="F75" s="7">
        <v>45</v>
      </c>
      <c r="G75" s="7">
        <v>50</v>
      </c>
      <c r="H75" s="7">
        <v>49</v>
      </c>
      <c r="I75" s="7">
        <v>62</v>
      </c>
      <c r="J75" s="7">
        <v>40</v>
      </c>
      <c r="K75" s="16">
        <f>SUM(D75:J75)</f>
        <v>412</v>
      </c>
      <c r="L75" s="28">
        <v>45</v>
      </c>
      <c r="M75" s="28">
        <v>66</v>
      </c>
      <c r="N75" s="7">
        <v>76</v>
      </c>
      <c r="O75" s="16">
        <f t="shared" si="2"/>
        <v>187</v>
      </c>
      <c r="P75" s="7">
        <v>599</v>
      </c>
      <c r="Q75" s="7">
        <v>35894.413</v>
      </c>
      <c r="R75" s="7">
        <v>59431.733</v>
      </c>
      <c r="S75" s="7">
        <v>89441.815999999992</v>
      </c>
      <c r="T75" s="7">
        <v>105917.94</v>
      </c>
      <c r="U75" s="7">
        <v>86499.650999999998</v>
      </c>
      <c r="V75" s="7">
        <v>78261.589000000007</v>
      </c>
      <c r="W75" s="7">
        <v>64139.197</v>
      </c>
      <c r="X75" s="16">
        <f>SUM(Q75:W75)</f>
        <v>519586.33899999998</v>
      </c>
      <c r="Y75" s="28">
        <v>36482.845999999998</v>
      </c>
      <c r="Z75" s="28">
        <v>23537.32</v>
      </c>
      <c r="AA75" s="7">
        <v>10003.361000000001</v>
      </c>
      <c r="AB75" s="16">
        <f t="shared" si="3"/>
        <v>70023.527000000002</v>
      </c>
      <c r="AC75" s="7">
        <v>589609.86599999992</v>
      </c>
      <c r="AD75" s="8">
        <v>2.9531058217890345E-3</v>
      </c>
      <c r="AE75" s="8">
        <v>1.0095616764195653E-3</v>
      </c>
      <c r="AF75" s="8">
        <v>5.0312037492619786E-4</v>
      </c>
      <c r="AG75" s="8">
        <v>4.7206356165914855E-4</v>
      </c>
      <c r="AH75" s="8">
        <v>5.6647627399097835E-4</v>
      </c>
      <c r="AI75" s="8">
        <v>7.9221493956633051E-4</v>
      </c>
      <c r="AJ75" s="8">
        <v>6.2364360439373754E-4</v>
      </c>
      <c r="AK75" s="8">
        <v>1.2334564030448722E-3</v>
      </c>
      <c r="AL75" s="8">
        <v>2.8040575562553426E-3</v>
      </c>
      <c r="AM75" s="8">
        <v>7.5974464982319434E-3</v>
      </c>
      <c r="AN75" s="8">
        <v>1.0159260123371139E-3</v>
      </c>
    </row>
    <row r="76" spans="1:40" x14ac:dyDescent="0.2">
      <c r="A76" t="s">
        <v>98</v>
      </c>
      <c r="B76">
        <v>2010</v>
      </c>
      <c r="C76" t="s">
        <v>100</v>
      </c>
      <c r="D76" s="7">
        <v>85</v>
      </c>
      <c r="E76" s="7">
        <v>51</v>
      </c>
      <c r="F76" s="7">
        <v>57</v>
      </c>
      <c r="G76" s="7">
        <v>60</v>
      </c>
      <c r="H76" s="7">
        <v>66</v>
      </c>
      <c r="I76" s="7">
        <v>63</v>
      </c>
      <c r="J76" s="7">
        <v>57</v>
      </c>
      <c r="K76" s="16">
        <f>SUM(D76:J76)</f>
        <v>439</v>
      </c>
      <c r="L76" s="28">
        <v>60</v>
      </c>
      <c r="M76" s="28">
        <v>48</v>
      </c>
      <c r="N76" s="7">
        <v>42</v>
      </c>
      <c r="O76" s="16">
        <f t="shared" si="2"/>
        <v>150</v>
      </c>
      <c r="P76" s="7">
        <v>589</v>
      </c>
      <c r="Q76" s="7">
        <v>32142</v>
      </c>
      <c r="R76" s="7">
        <v>53180.4</v>
      </c>
      <c r="S76" s="7">
        <v>99932.4</v>
      </c>
      <c r="T76" s="7">
        <v>113958</v>
      </c>
      <c r="U76" s="7">
        <v>81816</v>
      </c>
      <c r="V76" s="7">
        <v>75387.600000000006</v>
      </c>
      <c r="W76" s="7">
        <v>61946.399999999994</v>
      </c>
      <c r="X76" s="16">
        <f>SUM(Q76:W76)</f>
        <v>518362.80000000005</v>
      </c>
      <c r="Y76" s="28">
        <v>35648.400000000001</v>
      </c>
      <c r="Z76" s="28">
        <v>22207.200000000001</v>
      </c>
      <c r="AA76" s="7">
        <v>9350.4</v>
      </c>
      <c r="AB76" s="16">
        <f t="shared" si="3"/>
        <v>67206</v>
      </c>
      <c r="AC76" s="7">
        <v>585568.80000000005</v>
      </c>
      <c r="AD76" s="8">
        <v>2.6445149648435069E-3</v>
      </c>
      <c r="AE76" s="8">
        <v>9.589999323058871E-4</v>
      </c>
      <c r="AF76" s="8">
        <v>5.7038558065252115E-4</v>
      </c>
      <c r="AG76" s="8">
        <v>5.2650976675617329E-4</v>
      </c>
      <c r="AH76" s="8">
        <v>8.0668817835142267E-4</v>
      </c>
      <c r="AI76" s="8">
        <v>8.3568119956067041E-4</v>
      </c>
      <c r="AJ76" s="8">
        <v>9.2015032350548228E-4</v>
      </c>
      <c r="AK76" s="8">
        <v>1.6831049920894064E-3</v>
      </c>
      <c r="AL76" s="8">
        <v>2.1614611477358695E-3</v>
      </c>
      <c r="AM76" s="8">
        <v>4.4917864476386035E-3</v>
      </c>
      <c r="AN76" s="8">
        <v>1.005859601809386E-3</v>
      </c>
    </row>
    <row r="77" spans="1:40" x14ac:dyDescent="0.2">
      <c r="A77" t="s">
        <v>98</v>
      </c>
      <c r="B77">
        <v>2011</v>
      </c>
      <c r="C77" t="s">
        <v>101</v>
      </c>
      <c r="D77" s="7">
        <v>95</v>
      </c>
      <c r="E77" s="7">
        <v>62</v>
      </c>
      <c r="F77" s="7">
        <v>54</v>
      </c>
      <c r="G77" s="7">
        <v>32</v>
      </c>
      <c r="H77" s="7">
        <v>47</v>
      </c>
      <c r="I77" s="7">
        <v>40</v>
      </c>
      <c r="J77" s="7">
        <v>45</v>
      </c>
      <c r="K77" s="16">
        <f>SUM(D77:J77)</f>
        <v>375</v>
      </c>
      <c r="L77" s="28">
        <v>55</v>
      </c>
      <c r="M77" s="28">
        <v>40</v>
      </c>
      <c r="N77" s="7">
        <v>67</v>
      </c>
      <c r="O77" s="16">
        <f t="shared" si="2"/>
        <v>162</v>
      </c>
      <c r="P77" s="7">
        <v>537</v>
      </c>
      <c r="Q77" s="7">
        <v>33261.480000000003</v>
      </c>
      <c r="R77" s="7">
        <v>52268.04</v>
      </c>
      <c r="S77" s="7">
        <v>100972.35</v>
      </c>
      <c r="T77" s="7">
        <v>119384.955</v>
      </c>
      <c r="U77" s="7">
        <v>81965.790000000008</v>
      </c>
      <c r="V77" s="7">
        <v>75432.285000000003</v>
      </c>
      <c r="W77" s="7">
        <v>63553.184999999998</v>
      </c>
      <c r="X77" s="16">
        <f>SUM(Q77:W77)</f>
        <v>526838.08499999996</v>
      </c>
      <c r="Y77" s="28">
        <v>35637.300000000003</v>
      </c>
      <c r="Z77" s="28">
        <v>21382.38</v>
      </c>
      <c r="AA77" s="7">
        <v>10097.235000000001</v>
      </c>
      <c r="AB77" s="16">
        <f t="shared" si="3"/>
        <v>67116.915000000008</v>
      </c>
      <c r="AC77" s="7">
        <v>593955</v>
      </c>
      <c r="AD77" s="8">
        <v>2.8561567314503138E-3</v>
      </c>
      <c r="AE77" s="8">
        <v>1.1861933219611831E-3</v>
      </c>
      <c r="AF77" s="8">
        <v>5.3479987343069656E-4</v>
      </c>
      <c r="AG77" s="8">
        <v>2.6804047461424264E-4</v>
      </c>
      <c r="AH77" s="8">
        <v>5.734099555436481E-4</v>
      </c>
      <c r="AI77" s="8">
        <v>5.3027692320337366E-4</v>
      </c>
      <c r="AJ77" s="8">
        <v>7.0806836824936466E-4</v>
      </c>
      <c r="AK77" s="8">
        <v>1.5433267952398189E-3</v>
      </c>
      <c r="AL77" s="8">
        <v>1.8706991457452351E-3</v>
      </c>
      <c r="AM77" s="8">
        <v>6.6354799110845686E-3</v>
      </c>
      <c r="AN77" s="8">
        <v>9.0410889713867209E-4</v>
      </c>
    </row>
    <row r="78" spans="1:40" x14ac:dyDescent="0.2">
      <c r="A78" t="s">
        <v>98</v>
      </c>
      <c r="B78">
        <v>2012</v>
      </c>
      <c r="C78" t="s">
        <v>102</v>
      </c>
      <c r="D78" s="7">
        <v>117</v>
      </c>
      <c r="E78" s="7">
        <v>66</v>
      </c>
      <c r="F78" s="7">
        <v>57</v>
      </c>
      <c r="G78" s="7">
        <v>60</v>
      </c>
      <c r="H78" s="7">
        <v>65</v>
      </c>
      <c r="I78" s="7">
        <v>52</v>
      </c>
      <c r="J78" s="7">
        <v>48</v>
      </c>
      <c r="K78" s="16">
        <f>SUM(D78:J78)</f>
        <v>465</v>
      </c>
      <c r="L78" s="28">
        <v>60</v>
      </c>
      <c r="M78" s="28">
        <v>58</v>
      </c>
      <c r="N78" s="7">
        <v>59</v>
      </c>
      <c r="O78" s="16">
        <f t="shared" si="2"/>
        <v>177</v>
      </c>
      <c r="P78" s="7">
        <v>642</v>
      </c>
      <c r="Q78" s="7">
        <v>34528.262999999999</v>
      </c>
      <c r="R78" s="7">
        <v>52095.274000000005</v>
      </c>
      <c r="S78" s="7">
        <v>101161.753</v>
      </c>
      <c r="T78" s="7">
        <v>125392.113</v>
      </c>
      <c r="U78" s="7">
        <v>82383.224000000002</v>
      </c>
      <c r="V78" s="7">
        <v>75114.116000000009</v>
      </c>
      <c r="W78" s="7">
        <v>64816.213000000003</v>
      </c>
      <c r="X78" s="16">
        <f>SUM(Q78:W78)</f>
        <v>535490.95600000001</v>
      </c>
      <c r="Y78" s="28">
        <v>37557.058000000005</v>
      </c>
      <c r="Z78" s="28">
        <v>21807.324000000001</v>
      </c>
      <c r="AA78" s="7">
        <v>10297.903</v>
      </c>
      <c r="AB78" s="16">
        <f t="shared" si="3"/>
        <v>69662.285000000003</v>
      </c>
      <c r="AC78" s="7">
        <v>605153.24100000004</v>
      </c>
      <c r="AD78" s="8">
        <v>3.3885284064246153E-3</v>
      </c>
      <c r="AE78" s="8">
        <v>1.2669095473036573E-3</v>
      </c>
      <c r="AF78" s="8">
        <v>5.6345405560538284E-4</v>
      </c>
      <c r="AG78" s="8">
        <v>4.7849899458987503E-4</v>
      </c>
      <c r="AH78" s="8">
        <v>7.8899558482926088E-4</v>
      </c>
      <c r="AI78" s="8">
        <v>6.9227999701148039E-4</v>
      </c>
      <c r="AJ78" s="8">
        <v>7.4055545330918972E-4</v>
      </c>
      <c r="AK78" s="8">
        <v>1.5975692238726471E-3</v>
      </c>
      <c r="AL78" s="8">
        <v>2.6596569115953888E-3</v>
      </c>
      <c r="AM78" s="8">
        <v>5.7293217852217096E-3</v>
      </c>
      <c r="AN78" s="8">
        <v>1.0608883114285427E-3</v>
      </c>
    </row>
    <row r="79" spans="1:40" x14ac:dyDescent="0.2">
      <c r="A79" t="s">
        <v>98</v>
      </c>
      <c r="B79">
        <v>2013</v>
      </c>
      <c r="C79" t="s">
        <v>103</v>
      </c>
      <c r="D79" s="7">
        <v>118</v>
      </c>
      <c r="E79" s="7">
        <v>52</v>
      </c>
      <c r="F79" s="7">
        <v>48</v>
      </c>
      <c r="G79" s="7">
        <v>66</v>
      </c>
      <c r="H79" s="7">
        <v>50</v>
      </c>
      <c r="I79" s="7">
        <v>69</v>
      </c>
      <c r="J79" s="7">
        <v>51</v>
      </c>
      <c r="K79" s="16">
        <f>SUM(D79:J79)</f>
        <v>454</v>
      </c>
      <c r="L79" s="28">
        <v>31</v>
      </c>
      <c r="M79" s="28">
        <v>67</v>
      </c>
      <c r="N79" s="7">
        <v>64</v>
      </c>
      <c r="O79" s="16">
        <f t="shared" si="2"/>
        <v>162</v>
      </c>
      <c r="P79" s="7">
        <v>616</v>
      </c>
      <c r="Q79" s="7">
        <v>36542.889000000003</v>
      </c>
      <c r="R79" s="7">
        <v>52027.164000000004</v>
      </c>
      <c r="S79" s="7">
        <v>99718.731</v>
      </c>
      <c r="T79" s="7">
        <v>133164.76500000001</v>
      </c>
      <c r="U79" s="7">
        <v>84234.456000000006</v>
      </c>
      <c r="V79" s="7">
        <v>76182.633000000002</v>
      </c>
      <c r="W79" s="7">
        <v>65653.326000000001</v>
      </c>
      <c r="X79" s="16">
        <f>SUM(Q79:W79)</f>
        <v>547523.96400000004</v>
      </c>
      <c r="Y79" s="28">
        <v>38401.002</v>
      </c>
      <c r="Z79" s="28">
        <v>21677.985000000001</v>
      </c>
      <c r="AA79" s="7">
        <v>9909.9359999999997</v>
      </c>
      <c r="AB79" s="16">
        <f t="shared" si="3"/>
        <v>69988.922999999995</v>
      </c>
      <c r="AC79" s="7">
        <v>617512.88699999999</v>
      </c>
      <c r="AD79" s="8">
        <v>3.2290824077975881E-3</v>
      </c>
      <c r="AE79" s="8">
        <v>9.9947788812782489E-4</v>
      </c>
      <c r="AF79" s="8">
        <v>4.8135389929901938E-4</v>
      </c>
      <c r="AG79" s="8">
        <v>4.9562660212707161E-4</v>
      </c>
      <c r="AH79" s="8">
        <v>5.9358132496279195E-4</v>
      </c>
      <c r="AI79" s="8">
        <v>9.0571823633346985E-4</v>
      </c>
      <c r="AJ79" s="8">
        <v>7.7680756036640098E-4</v>
      </c>
      <c r="AK79" s="8">
        <v>8.0727060194939703E-4</v>
      </c>
      <c r="AL79" s="8">
        <v>3.09069316174912E-3</v>
      </c>
      <c r="AM79" s="8">
        <v>6.4581648155951762E-3</v>
      </c>
      <c r="AN79" s="8">
        <v>9.9755003169674748E-4</v>
      </c>
    </row>
    <row r="80" spans="1:40" x14ac:dyDescent="0.2">
      <c r="A80" t="s">
        <v>98</v>
      </c>
      <c r="B80">
        <v>2014</v>
      </c>
      <c r="C80" t="s">
        <v>104</v>
      </c>
      <c r="D80" s="7">
        <v>119</v>
      </c>
      <c r="E80" s="7">
        <v>68</v>
      </c>
      <c r="F80" s="7">
        <v>47</v>
      </c>
      <c r="G80" s="7">
        <v>48</v>
      </c>
      <c r="H80" s="7">
        <v>46</v>
      </c>
      <c r="I80" s="7">
        <v>44</v>
      </c>
      <c r="J80" s="7">
        <v>71</v>
      </c>
      <c r="K80" s="16">
        <f>SUM(D80:J80)</f>
        <v>443</v>
      </c>
      <c r="L80" s="28">
        <v>53</v>
      </c>
      <c r="M80" s="28">
        <v>51</v>
      </c>
      <c r="N80" s="7">
        <v>44</v>
      </c>
      <c r="O80" s="16">
        <f t="shared" si="2"/>
        <v>148</v>
      </c>
      <c r="P80" s="7">
        <v>591</v>
      </c>
      <c r="Q80" s="7">
        <v>38657.896000000001</v>
      </c>
      <c r="R80" s="7">
        <v>53233.824000000001</v>
      </c>
      <c r="S80" s="7">
        <v>98862.815999999992</v>
      </c>
      <c r="T80" s="7">
        <v>140055.65600000002</v>
      </c>
      <c r="U80" s="7">
        <v>87455.567999999999</v>
      </c>
      <c r="V80" s="7">
        <v>76048.320000000007</v>
      </c>
      <c r="W80" s="7">
        <v>67809.752000000008</v>
      </c>
      <c r="X80" s="16">
        <f>SUM(Q80:W80)</f>
        <v>562123.83200000005</v>
      </c>
      <c r="Y80" s="28">
        <v>39925.368000000002</v>
      </c>
      <c r="Z80" s="28">
        <v>21547.023999999998</v>
      </c>
      <c r="AA80" s="7">
        <v>10139.776</v>
      </c>
      <c r="AB80" s="16">
        <f t="shared" si="3"/>
        <v>71612.168000000005</v>
      </c>
      <c r="AC80" s="7">
        <v>633736</v>
      </c>
      <c r="AD80" s="8">
        <v>3.0782844467272612E-3</v>
      </c>
      <c r="AE80" s="8">
        <v>1.2773833418392036E-3</v>
      </c>
      <c r="AF80" s="8">
        <v>4.7540624373879867E-4</v>
      </c>
      <c r="AG80" s="8">
        <v>3.4272089661270083E-4</v>
      </c>
      <c r="AH80" s="8">
        <v>5.2598137605143675E-4</v>
      </c>
      <c r="AI80" s="8">
        <v>5.7857951365658034E-4</v>
      </c>
      <c r="AJ80" s="8">
        <v>1.0470470383080002E-3</v>
      </c>
      <c r="AK80" s="8">
        <v>1.3274768062250546E-3</v>
      </c>
      <c r="AL80" s="8">
        <v>2.3669161922314657E-3</v>
      </c>
      <c r="AM80" s="8">
        <v>4.3393463524243536E-3</v>
      </c>
      <c r="AN80" s="8">
        <v>9.3256497973919742E-4</v>
      </c>
    </row>
    <row r="81" spans="1:40" x14ac:dyDescent="0.2">
      <c r="A81" t="s">
        <v>98</v>
      </c>
      <c r="B81">
        <v>2015</v>
      </c>
      <c r="C81" t="s">
        <v>105</v>
      </c>
      <c r="D81" s="7">
        <v>99</v>
      </c>
      <c r="E81" s="7">
        <v>45</v>
      </c>
      <c r="F81" s="7">
        <v>42</v>
      </c>
      <c r="G81" s="7">
        <v>46</v>
      </c>
      <c r="H81" s="7">
        <v>51</v>
      </c>
      <c r="I81" s="7">
        <v>42</v>
      </c>
      <c r="J81" s="7">
        <v>54</v>
      </c>
      <c r="K81" s="16">
        <f>SUM(D81:J81)</f>
        <v>379</v>
      </c>
      <c r="L81" s="28">
        <v>50</v>
      </c>
      <c r="M81" s="28">
        <v>56</v>
      </c>
      <c r="N81" s="7">
        <v>67</v>
      </c>
      <c r="O81" s="16">
        <f t="shared" si="2"/>
        <v>173</v>
      </c>
      <c r="P81" s="7">
        <v>552</v>
      </c>
      <c r="Q81" s="7">
        <v>40144.008000000002</v>
      </c>
      <c r="R81" s="7">
        <v>55036.14</v>
      </c>
      <c r="S81" s="7">
        <v>97770.084000000003</v>
      </c>
      <c r="T81" s="7">
        <v>145036.41600000003</v>
      </c>
      <c r="U81" s="7">
        <v>90000.276000000013</v>
      </c>
      <c r="V81" s="7">
        <v>77050.59599999999</v>
      </c>
      <c r="W81" s="7">
        <v>68633.304000000004</v>
      </c>
      <c r="X81" s="16">
        <f>SUM(Q81:W81)</f>
        <v>573670.82400000002</v>
      </c>
      <c r="Y81" s="28">
        <v>41438.975999999995</v>
      </c>
      <c r="Z81" s="28">
        <v>22014.455999999998</v>
      </c>
      <c r="AA81" s="7">
        <v>10359.744000000001</v>
      </c>
      <c r="AB81" s="16">
        <f t="shared" si="3"/>
        <v>73813.175999999992</v>
      </c>
      <c r="AC81" s="7">
        <v>647484</v>
      </c>
      <c r="AD81" s="8">
        <v>2.466121469485558E-3</v>
      </c>
      <c r="AE81" s="8">
        <v>8.1764455138023853E-4</v>
      </c>
      <c r="AF81" s="8">
        <v>4.2957925657504802E-4</v>
      </c>
      <c r="AG81" s="8">
        <v>3.1716172578340597E-4</v>
      </c>
      <c r="AH81" s="8">
        <v>5.6666492889421798E-4</v>
      </c>
      <c r="AI81" s="8">
        <v>5.4509636758682579E-4</v>
      </c>
      <c r="AJ81" s="8">
        <v>7.867900400073993E-4</v>
      </c>
      <c r="AK81" s="8">
        <v>1.2065935220020882E-3</v>
      </c>
      <c r="AL81" s="8">
        <v>2.5437830487385201E-3</v>
      </c>
      <c r="AM81" s="8">
        <v>6.4673412779311917E-3</v>
      </c>
      <c r="AN81" s="8">
        <v>8.5253071890579535E-4</v>
      </c>
    </row>
    <row r="82" spans="1:40" x14ac:dyDescent="0.2">
      <c r="A82" t="s">
        <v>98</v>
      </c>
      <c r="B82">
        <v>2016</v>
      </c>
      <c r="C82" t="s">
        <v>106</v>
      </c>
      <c r="D82" s="7">
        <v>119</v>
      </c>
      <c r="E82" s="7">
        <v>55</v>
      </c>
      <c r="F82" s="7">
        <v>45</v>
      </c>
      <c r="G82" s="7">
        <v>46</v>
      </c>
      <c r="H82" s="7">
        <v>45</v>
      </c>
      <c r="I82" s="7">
        <v>52</v>
      </c>
      <c r="J82" s="7">
        <v>53</v>
      </c>
      <c r="K82" s="16">
        <f>SUM(D82:J82)</f>
        <v>415</v>
      </c>
      <c r="L82" s="28">
        <v>57</v>
      </c>
      <c r="M82" s="28">
        <v>52</v>
      </c>
      <c r="N82" s="7">
        <v>44</v>
      </c>
      <c r="O82" s="16">
        <f t="shared" si="2"/>
        <v>153</v>
      </c>
      <c r="P82" s="7">
        <v>568</v>
      </c>
      <c r="Q82" s="7">
        <v>42176.576000000001</v>
      </c>
      <c r="R82" s="7">
        <v>57333.782999999996</v>
      </c>
      <c r="S82" s="7">
        <v>96874.323000000004</v>
      </c>
      <c r="T82" s="7">
        <v>149595.04300000001</v>
      </c>
      <c r="U82" s="7">
        <v>92920.269</v>
      </c>
      <c r="V82" s="7">
        <v>77104.053</v>
      </c>
      <c r="W82" s="7">
        <v>69195.945000000007</v>
      </c>
      <c r="X82" s="16">
        <f>SUM(Q82:W82)</f>
        <v>585199.99199999997</v>
      </c>
      <c r="Y82" s="28">
        <v>42835.584999999999</v>
      </c>
      <c r="Z82" s="28">
        <v>21747.296999999999</v>
      </c>
      <c r="AA82" s="7">
        <v>10544.144</v>
      </c>
      <c r="AB82" s="16">
        <f t="shared" si="3"/>
        <v>75127.025999999998</v>
      </c>
      <c r="AC82" s="7">
        <v>660327.01799999992</v>
      </c>
      <c r="AD82" s="8">
        <v>2.8214713304370652E-3</v>
      </c>
      <c r="AE82" s="8">
        <v>9.5929480180995564E-4</v>
      </c>
      <c r="AF82" s="8">
        <v>4.6451937527346642E-4</v>
      </c>
      <c r="AG82" s="8">
        <v>3.0749681993139306E-4</v>
      </c>
      <c r="AH82" s="8">
        <v>4.8428615719999689E-4</v>
      </c>
      <c r="AI82" s="8">
        <v>6.7441331521184752E-4</v>
      </c>
      <c r="AJ82" s="8">
        <v>7.6594083656202679E-4</v>
      </c>
      <c r="AK82" s="8">
        <v>1.3306693488602992E-3</v>
      </c>
      <c r="AL82" s="8">
        <v>2.391101753932914E-3</v>
      </c>
      <c r="AM82" s="8">
        <v>4.1729323878733062E-3</v>
      </c>
      <c r="AN82" s="8">
        <v>8.6017985712648825E-4</v>
      </c>
    </row>
    <row r="83" spans="1:40" x14ac:dyDescent="0.2">
      <c r="A83" t="s">
        <v>98</v>
      </c>
      <c r="B83">
        <v>2017</v>
      </c>
      <c r="C83" t="s">
        <v>107</v>
      </c>
      <c r="D83" s="7">
        <v>127</v>
      </c>
      <c r="E83" s="7">
        <v>48</v>
      </c>
      <c r="F83" s="7">
        <v>54</v>
      </c>
      <c r="G83" s="7">
        <v>67</v>
      </c>
      <c r="H83" s="7">
        <v>53</v>
      </c>
      <c r="I83" s="7">
        <v>57</v>
      </c>
      <c r="J83" s="7">
        <v>50</v>
      </c>
      <c r="K83" s="16">
        <f>SUM(D83:J83)</f>
        <v>456</v>
      </c>
      <c r="L83" s="28">
        <v>51</v>
      </c>
      <c r="M83" s="28">
        <v>56</v>
      </c>
      <c r="N83" s="7">
        <v>58</v>
      </c>
      <c r="O83" s="16">
        <f t="shared" si="2"/>
        <v>165</v>
      </c>
      <c r="P83" s="7">
        <v>621</v>
      </c>
      <c r="Q83" s="7">
        <v>43607</v>
      </c>
      <c r="R83" s="7">
        <v>58900</v>
      </c>
      <c r="S83" s="7">
        <v>92041</v>
      </c>
      <c r="T83" s="7">
        <v>156390</v>
      </c>
      <c r="U83" s="7">
        <v>95604</v>
      </c>
      <c r="V83" s="7">
        <v>76580</v>
      </c>
      <c r="W83" s="7">
        <v>69500</v>
      </c>
      <c r="X83" s="16">
        <f>SUM(Q83:W83)</f>
        <v>592622</v>
      </c>
      <c r="Y83" s="28">
        <v>45582</v>
      </c>
      <c r="Z83" s="28">
        <v>23058</v>
      </c>
      <c r="AA83" s="7">
        <v>11129</v>
      </c>
      <c r="AB83" s="16">
        <f t="shared" si="3"/>
        <v>79769</v>
      </c>
      <c r="AC83" s="7">
        <v>672391</v>
      </c>
      <c r="AD83" s="8">
        <v>2.9123764533217143E-3</v>
      </c>
      <c r="AE83" s="8">
        <v>8.1494057724957551E-4</v>
      </c>
      <c r="AF83" s="8">
        <v>5.8669505981030193E-4</v>
      </c>
      <c r="AG83" s="8">
        <v>4.2841613913933117E-4</v>
      </c>
      <c r="AH83" s="8">
        <v>5.5437011003723691E-4</v>
      </c>
      <c r="AI83" s="8">
        <v>7.4431966570906243E-4</v>
      </c>
      <c r="AJ83" s="8">
        <v>7.1942446043165469E-4</v>
      </c>
      <c r="AK83" s="8">
        <v>1.1188627089640647E-3</v>
      </c>
      <c r="AL83" s="8">
        <v>2.4286581663630845E-3</v>
      </c>
      <c r="AM83" s="8">
        <v>5.2116093090124899E-3</v>
      </c>
      <c r="AN83" s="8">
        <v>9.2356976818547547E-4</v>
      </c>
    </row>
    <row r="84" spans="1:40" x14ac:dyDescent="0.2">
      <c r="A84" t="s">
        <v>108</v>
      </c>
      <c r="B84">
        <v>2009</v>
      </c>
      <c r="C84" t="s">
        <v>109</v>
      </c>
      <c r="D84" s="7">
        <v>102</v>
      </c>
      <c r="E84" s="7">
        <v>32</v>
      </c>
      <c r="F84" s="7">
        <v>57</v>
      </c>
      <c r="G84" s="7">
        <v>78</v>
      </c>
      <c r="H84" s="7">
        <v>72</v>
      </c>
      <c r="I84" s="7">
        <v>168</v>
      </c>
      <c r="J84" s="7">
        <v>201</v>
      </c>
      <c r="K84" s="16">
        <f>SUM(D84:J84)</f>
        <v>710</v>
      </c>
      <c r="L84" s="28">
        <v>284</v>
      </c>
      <c r="M84" s="28">
        <v>604</v>
      </c>
      <c r="N84" s="7">
        <v>973</v>
      </c>
      <c r="O84" s="16">
        <f t="shared" si="2"/>
        <v>1861</v>
      </c>
      <c r="P84" s="7">
        <v>2571</v>
      </c>
      <c r="Q84" s="7">
        <v>1145650.9979999999</v>
      </c>
      <c r="R84" s="7">
        <v>2200526.0930000003</v>
      </c>
      <c r="S84" s="7">
        <v>2347623.716</v>
      </c>
      <c r="T84" s="7">
        <v>2290188.2549999999</v>
      </c>
      <c r="U84" s="7">
        <v>2518290.550999999</v>
      </c>
      <c r="V84" s="7">
        <v>2560323.9870000007</v>
      </c>
      <c r="W84" s="7">
        <v>2092147.9109999994</v>
      </c>
      <c r="X84" s="16">
        <f>SUM(Q84:W84)</f>
        <v>15154751.510999996</v>
      </c>
      <c r="Y84" s="28">
        <v>1478978.5720000002</v>
      </c>
      <c r="Z84" s="28">
        <v>1165060.9329999997</v>
      </c>
      <c r="AA84" s="7">
        <v>427425.42700000003</v>
      </c>
      <c r="AB84" s="16">
        <f t="shared" si="3"/>
        <v>3071464.932</v>
      </c>
      <c r="AC84" s="7">
        <v>18226216.442999996</v>
      </c>
      <c r="AD84" s="8">
        <v>8.9032349448535996E-5</v>
      </c>
      <c r="AE84" s="8">
        <v>1.4541977076206383E-5</v>
      </c>
      <c r="AF84" s="8">
        <v>2.4279870582121857E-5</v>
      </c>
      <c r="AG84" s="8">
        <v>3.4058335523164229E-5</v>
      </c>
      <c r="AH84" s="8">
        <v>2.8590823235789534E-5</v>
      </c>
      <c r="AI84" s="8">
        <v>6.5616695720157689E-5</v>
      </c>
      <c r="AJ84" s="8">
        <v>9.6073513226857158E-5</v>
      </c>
      <c r="AK84" s="8">
        <v>1.9202441832267463E-4</v>
      </c>
      <c r="AL84" s="8">
        <v>5.184278202898081E-4</v>
      </c>
      <c r="AM84" s="8">
        <v>2.2764204900706572E-3</v>
      </c>
      <c r="AN84" s="8">
        <v>1.4106054364274953E-4</v>
      </c>
    </row>
    <row r="85" spans="1:40" x14ac:dyDescent="0.2">
      <c r="A85" t="s">
        <v>108</v>
      </c>
      <c r="B85">
        <v>2010</v>
      </c>
      <c r="C85" t="s">
        <v>110</v>
      </c>
      <c r="D85" s="7">
        <v>155</v>
      </c>
      <c r="E85" s="7">
        <v>64</v>
      </c>
      <c r="F85" s="7">
        <v>56</v>
      </c>
      <c r="G85" s="7">
        <v>58</v>
      </c>
      <c r="H85" s="7">
        <v>67</v>
      </c>
      <c r="I85" s="7">
        <v>101</v>
      </c>
      <c r="J85" s="7">
        <v>157</v>
      </c>
      <c r="K85" s="16">
        <f>SUM(D85:J85)</f>
        <v>658</v>
      </c>
      <c r="L85" s="28">
        <v>294</v>
      </c>
      <c r="M85" s="28">
        <v>648</v>
      </c>
      <c r="N85" s="7">
        <v>962</v>
      </c>
      <c r="O85" s="16">
        <f t="shared" si="2"/>
        <v>1904</v>
      </c>
      <c r="P85" s="7">
        <v>2562</v>
      </c>
      <c r="Q85" s="7">
        <v>1083664.9839999999</v>
      </c>
      <c r="R85" s="7">
        <v>2207634.0710000009</v>
      </c>
      <c r="S85" s="7">
        <v>2447809.6439999989</v>
      </c>
      <c r="T85" s="7">
        <v>2252455.3450000007</v>
      </c>
      <c r="U85" s="7">
        <v>2511271.9369999995</v>
      </c>
      <c r="V85" s="7">
        <v>2671795.9079999998</v>
      </c>
      <c r="W85" s="7">
        <v>2228963.6939999997</v>
      </c>
      <c r="X85" s="16">
        <f>SUM(Q85:W85)</f>
        <v>15403595.582999999</v>
      </c>
      <c r="Y85" s="28">
        <v>1637561.4230000002</v>
      </c>
      <c r="Z85" s="28">
        <v>1089156.9950000001</v>
      </c>
      <c r="AA85" s="7">
        <v>413687.53900000005</v>
      </c>
      <c r="AB85" s="16">
        <f t="shared" si="3"/>
        <v>3140405.9570000004</v>
      </c>
      <c r="AC85" s="7">
        <v>18544001.539999999</v>
      </c>
      <c r="AD85" s="8">
        <v>1.4303313504499099E-4</v>
      </c>
      <c r="AE85" s="8">
        <v>2.899031177345875E-5</v>
      </c>
      <c r="AF85" s="8">
        <v>2.2877595950839395E-5</v>
      </c>
      <c r="AG85" s="8">
        <v>2.5749678069644477E-5</v>
      </c>
      <c r="AH85" s="8">
        <v>2.6679707208467091E-5</v>
      </c>
      <c r="AI85" s="8">
        <v>3.7802288602052909E-5</v>
      </c>
      <c r="AJ85" s="8">
        <v>7.0436319991491083E-5</v>
      </c>
      <c r="AK85" s="8">
        <v>1.7953525032446979E-4</v>
      </c>
      <c r="AL85" s="8">
        <v>5.9495555092128839E-4</v>
      </c>
      <c r="AM85" s="8">
        <v>2.3254265824042622E-3</v>
      </c>
      <c r="AN85" s="8">
        <v>1.3815788326341998E-4</v>
      </c>
    </row>
    <row r="86" spans="1:40" x14ac:dyDescent="0.2">
      <c r="A86" t="s">
        <v>108</v>
      </c>
      <c r="B86">
        <v>2011</v>
      </c>
      <c r="C86" t="s">
        <v>111</v>
      </c>
      <c r="D86" s="7">
        <v>111</v>
      </c>
      <c r="E86" s="7">
        <v>51</v>
      </c>
      <c r="F86" s="7">
        <v>75</v>
      </c>
      <c r="G86" s="7">
        <v>63</v>
      </c>
      <c r="H86" s="7">
        <v>68</v>
      </c>
      <c r="I86" s="7">
        <v>106</v>
      </c>
      <c r="J86" s="7">
        <v>193</v>
      </c>
      <c r="K86" s="16">
        <f>SUM(D86:J86)</f>
        <v>667</v>
      </c>
      <c r="L86" s="28">
        <v>327</v>
      </c>
      <c r="M86" s="28">
        <v>629</v>
      </c>
      <c r="N86" s="7">
        <v>1078</v>
      </c>
      <c r="O86" s="16">
        <f t="shared" si="2"/>
        <v>2034</v>
      </c>
      <c r="P86" s="7">
        <v>2701</v>
      </c>
      <c r="Q86" s="7">
        <v>1076278.574</v>
      </c>
      <c r="R86" s="7">
        <v>2198252.3189999997</v>
      </c>
      <c r="S86" s="7">
        <v>2450814.7779999999</v>
      </c>
      <c r="T86" s="7">
        <v>2269669.4440000001</v>
      </c>
      <c r="U86" s="7">
        <v>2465973.4669999997</v>
      </c>
      <c r="V86" s="7">
        <v>2693234.0309999995</v>
      </c>
      <c r="W86" s="7">
        <v>2282822.878000001</v>
      </c>
      <c r="X86" s="16">
        <f>SUM(Q86:W86)</f>
        <v>15437045.491</v>
      </c>
      <c r="Y86" s="28">
        <v>1677543.2919999999</v>
      </c>
      <c r="Z86" s="28">
        <v>1093333.7030000002</v>
      </c>
      <c r="AA86" s="7">
        <v>430240.88800000015</v>
      </c>
      <c r="AB86" s="16">
        <f t="shared" si="3"/>
        <v>3201117.8830000004</v>
      </c>
      <c r="AC86" s="7">
        <v>18638163.374000002</v>
      </c>
      <c r="AD86" s="8">
        <v>1.0313315035852418E-4</v>
      </c>
      <c r="AE86" s="8">
        <v>2.3200248469748121E-5</v>
      </c>
      <c r="AF86" s="8">
        <v>3.0602067799347994E-5</v>
      </c>
      <c r="AG86" s="8">
        <v>2.7757345972359135E-5</v>
      </c>
      <c r="AH86" s="8">
        <v>2.7575316973189479E-5</v>
      </c>
      <c r="AI86" s="8">
        <v>3.9357886756184401E-5</v>
      </c>
      <c r="AJ86" s="8">
        <v>8.4544447955195204E-5</v>
      </c>
      <c r="AK86" s="8">
        <v>1.9492790532406719E-4</v>
      </c>
      <c r="AL86" s="8">
        <v>5.753046835326541E-4</v>
      </c>
      <c r="AM86" s="8">
        <v>2.5055731104757289E-3</v>
      </c>
      <c r="AN86" s="8">
        <v>1.4491771242695835E-4</v>
      </c>
    </row>
    <row r="87" spans="1:40" x14ac:dyDescent="0.2">
      <c r="A87" t="s">
        <v>108</v>
      </c>
      <c r="B87">
        <v>2012</v>
      </c>
      <c r="C87" t="s">
        <v>112</v>
      </c>
      <c r="D87" s="7">
        <v>108</v>
      </c>
      <c r="E87" s="7">
        <v>61</v>
      </c>
      <c r="F87" s="7">
        <v>50</v>
      </c>
      <c r="G87" s="7">
        <v>39</v>
      </c>
      <c r="H87" s="7">
        <v>60</v>
      </c>
      <c r="I87" s="7">
        <v>81</v>
      </c>
      <c r="J87" s="7">
        <v>195</v>
      </c>
      <c r="K87" s="16">
        <f>SUM(D87:J87)</f>
        <v>594</v>
      </c>
      <c r="L87" s="28">
        <v>324</v>
      </c>
      <c r="M87" s="28">
        <v>606</v>
      </c>
      <c r="N87" s="7">
        <v>1055</v>
      </c>
      <c r="O87" s="16">
        <f t="shared" si="2"/>
        <v>1985</v>
      </c>
      <c r="P87" s="7">
        <v>2579</v>
      </c>
      <c r="Q87" s="7">
        <v>1062753.5740000003</v>
      </c>
      <c r="R87" s="7">
        <v>2185260.2759999996</v>
      </c>
      <c r="S87" s="7">
        <v>2447663.5260000005</v>
      </c>
      <c r="T87" s="7">
        <v>2286073.11</v>
      </c>
      <c r="U87" s="7">
        <v>2414774.2719999994</v>
      </c>
      <c r="V87" s="7">
        <v>2700344.2289999994</v>
      </c>
      <c r="W87" s="7">
        <v>2328421.781</v>
      </c>
      <c r="X87" s="16">
        <f>SUM(Q87:W87)</f>
        <v>15425290.767999999</v>
      </c>
      <c r="Y87" s="28">
        <v>1732394.8089999999</v>
      </c>
      <c r="Z87" s="28">
        <v>1095270.8570000001</v>
      </c>
      <c r="AA87" s="7">
        <v>445257.47200000007</v>
      </c>
      <c r="AB87" s="16">
        <f t="shared" si="3"/>
        <v>3272923.1380000003</v>
      </c>
      <c r="AC87" s="7">
        <v>18698213.905999999</v>
      </c>
      <c r="AD87" s="8">
        <v>1.0162280573991274E-4</v>
      </c>
      <c r="AE87" s="8">
        <v>2.7914295001809667E-5</v>
      </c>
      <c r="AF87" s="8">
        <v>2.0427644350982574E-5</v>
      </c>
      <c r="AG87" s="8">
        <v>1.7059821853203988E-5</v>
      </c>
      <c r="AH87" s="8">
        <v>2.4847042928905288E-5</v>
      </c>
      <c r="AI87" s="8">
        <v>2.9996175720899181E-5</v>
      </c>
      <c r="AJ87" s="8">
        <v>8.374771340450711E-5</v>
      </c>
      <c r="AK87" s="8">
        <v>1.8702434244017641E-4</v>
      </c>
      <c r="AL87" s="8">
        <v>5.5328779737631598E-4</v>
      </c>
      <c r="AM87" s="8">
        <v>2.3694155996106447E-3</v>
      </c>
      <c r="AN87" s="8">
        <v>1.3792761238935416E-4</v>
      </c>
    </row>
    <row r="88" spans="1:40" x14ac:dyDescent="0.2">
      <c r="A88" t="s">
        <v>108</v>
      </c>
      <c r="B88">
        <v>2013</v>
      </c>
      <c r="C88" t="s">
        <v>113</v>
      </c>
      <c r="D88" s="7">
        <v>104</v>
      </c>
      <c r="E88" s="7">
        <v>51</v>
      </c>
      <c r="F88" s="7">
        <v>57</v>
      </c>
      <c r="G88" s="7">
        <v>40</v>
      </c>
      <c r="H88" s="7">
        <v>67</v>
      </c>
      <c r="I88" s="7">
        <v>131</v>
      </c>
      <c r="J88" s="7">
        <v>278</v>
      </c>
      <c r="K88" s="16">
        <f>SUM(D88:J88)</f>
        <v>728</v>
      </c>
      <c r="L88" s="28">
        <v>374</v>
      </c>
      <c r="M88" s="28">
        <v>609</v>
      </c>
      <c r="N88" s="7">
        <v>1153</v>
      </c>
      <c r="O88" s="16">
        <f t="shared" si="2"/>
        <v>2136</v>
      </c>
      <c r="P88" s="7">
        <v>2864</v>
      </c>
      <c r="Q88" s="7">
        <v>1063059.5109999992</v>
      </c>
      <c r="R88" s="7">
        <v>2191710.176</v>
      </c>
      <c r="S88" s="7">
        <v>2451029.6340000001</v>
      </c>
      <c r="T88" s="7">
        <v>2322338.1360000004</v>
      </c>
      <c r="U88" s="7">
        <v>2390987.6549999993</v>
      </c>
      <c r="V88" s="7">
        <v>2703347.9390000002</v>
      </c>
      <c r="W88" s="7">
        <v>2370885.452</v>
      </c>
      <c r="X88" s="16">
        <f>SUM(Q88:W88)</f>
        <v>15493358.502999999</v>
      </c>
      <c r="Y88" s="28">
        <v>1780374.5109999997</v>
      </c>
      <c r="Z88" s="28">
        <v>1093985.9009999998</v>
      </c>
      <c r="AA88" s="7">
        <v>458530.58799999987</v>
      </c>
      <c r="AB88" s="16">
        <f t="shared" si="3"/>
        <v>3332890.9999999995</v>
      </c>
      <c r="AC88" s="7">
        <v>18826249.502999999</v>
      </c>
      <c r="AD88" s="8">
        <v>9.7830835361389359E-5</v>
      </c>
      <c r="AE88" s="8">
        <v>2.3269500027178775E-5</v>
      </c>
      <c r="AF88" s="8">
        <v>2.3255532780718716E-5</v>
      </c>
      <c r="AG88" s="8">
        <v>1.7224020645372544E-5</v>
      </c>
      <c r="AH88" s="8">
        <v>2.8021892902663281E-5</v>
      </c>
      <c r="AI88" s="8">
        <v>4.8458431158683337E-5</v>
      </c>
      <c r="AJ88" s="8">
        <v>1.1725577031378233E-4</v>
      </c>
      <c r="AK88" s="8">
        <v>2.1006816132743437E-4</v>
      </c>
      <c r="AL88" s="8">
        <v>5.5667993476270596E-4</v>
      </c>
      <c r="AM88" s="8">
        <v>2.5145541653591938E-3</v>
      </c>
      <c r="AN88" s="8">
        <v>1.5212801676423211E-4</v>
      </c>
    </row>
    <row r="89" spans="1:40" x14ac:dyDescent="0.2">
      <c r="A89" t="s">
        <v>108</v>
      </c>
      <c r="B89">
        <v>2014</v>
      </c>
      <c r="C89" t="s">
        <v>114</v>
      </c>
      <c r="D89" s="7">
        <v>123</v>
      </c>
      <c r="E89" s="7">
        <v>39</v>
      </c>
      <c r="F89" s="7">
        <v>66</v>
      </c>
      <c r="G89" s="7">
        <v>63</v>
      </c>
      <c r="H89" s="7">
        <v>87</v>
      </c>
      <c r="I89" s="7">
        <v>168</v>
      </c>
      <c r="J89" s="7">
        <v>277</v>
      </c>
      <c r="K89" s="16">
        <f>SUM(D89:J89)</f>
        <v>823</v>
      </c>
      <c r="L89" s="28">
        <v>388</v>
      </c>
      <c r="M89" s="28">
        <v>671</v>
      </c>
      <c r="N89" s="7">
        <v>1084</v>
      </c>
      <c r="O89" s="16">
        <f t="shared" si="2"/>
        <v>2143</v>
      </c>
      <c r="P89" s="7">
        <v>2966</v>
      </c>
      <c r="Q89" s="7">
        <v>1070704.605</v>
      </c>
      <c r="R89" s="7">
        <v>2221061.8509999989</v>
      </c>
      <c r="S89" s="7">
        <v>2474681.6660000016</v>
      </c>
      <c r="T89" s="7">
        <v>2392226.9990000003</v>
      </c>
      <c r="U89" s="7">
        <v>2399871.9749999996</v>
      </c>
      <c r="V89" s="7">
        <v>2725974.1489999997</v>
      </c>
      <c r="W89" s="7">
        <v>2446347.9810000001</v>
      </c>
      <c r="X89" s="16">
        <f>SUM(Q89:W89)</f>
        <v>15730869.226000002</v>
      </c>
      <c r="Y89" s="28">
        <v>1871177.4499999997</v>
      </c>
      <c r="Z89" s="28">
        <v>1124170.5029999998</v>
      </c>
      <c r="AA89" s="7">
        <v>476813.78299999994</v>
      </c>
      <c r="AB89" s="16">
        <f t="shared" si="3"/>
        <v>3472161.7359999996</v>
      </c>
      <c r="AC89" s="7">
        <v>19203030.962000001</v>
      </c>
      <c r="AD89" s="8">
        <v>1.1487762303964313E-4</v>
      </c>
      <c r="AE89" s="8">
        <v>1.7559168819382877E-5</v>
      </c>
      <c r="AF89" s="8">
        <v>2.6670096969150924E-5</v>
      </c>
      <c r="AG89" s="8">
        <v>2.633529344261029E-5</v>
      </c>
      <c r="AH89" s="8">
        <v>3.6251933814094399E-5</v>
      </c>
      <c r="AI89" s="8">
        <v>6.1629344526847171E-5</v>
      </c>
      <c r="AJ89" s="8">
        <v>1.1323000740343161E-4</v>
      </c>
      <c r="AK89" s="8">
        <v>2.0735606876835761E-4</v>
      </c>
      <c r="AL89" s="8">
        <v>5.9688454572446659E-4</v>
      </c>
      <c r="AM89" s="8">
        <v>2.2734242143331671E-3</v>
      </c>
      <c r="AN89" s="8">
        <v>1.5445478403223334E-4</v>
      </c>
    </row>
    <row r="90" spans="1:40" x14ac:dyDescent="0.2">
      <c r="A90" t="s">
        <v>108</v>
      </c>
      <c r="B90">
        <v>2015</v>
      </c>
      <c r="C90" t="s">
        <v>115</v>
      </c>
      <c r="D90" s="7">
        <v>104</v>
      </c>
      <c r="E90" s="7">
        <v>66</v>
      </c>
      <c r="F90" s="7">
        <v>68</v>
      </c>
      <c r="G90" s="7">
        <v>60</v>
      </c>
      <c r="H90" s="7">
        <v>66</v>
      </c>
      <c r="I90" s="7">
        <v>91</v>
      </c>
      <c r="J90" s="7">
        <v>224</v>
      </c>
      <c r="K90" s="16">
        <f>SUM(D90:J90)</f>
        <v>679</v>
      </c>
      <c r="L90" s="28">
        <v>441</v>
      </c>
      <c r="M90" s="28">
        <v>733</v>
      </c>
      <c r="N90" s="7">
        <v>1097</v>
      </c>
      <c r="O90" s="16">
        <f t="shared" si="2"/>
        <v>2271</v>
      </c>
      <c r="P90" s="7">
        <v>2950</v>
      </c>
      <c r="Q90" s="7">
        <v>1064943.575</v>
      </c>
      <c r="R90" s="7">
        <v>2210282.1259999997</v>
      </c>
      <c r="S90" s="7">
        <v>2448874.5329999998</v>
      </c>
      <c r="T90" s="7">
        <v>2426553.2090000007</v>
      </c>
      <c r="U90" s="7">
        <v>2388301.2420000001</v>
      </c>
      <c r="V90" s="7">
        <v>2709205.4820000008</v>
      </c>
      <c r="W90" s="7">
        <v>2498189.9999999991</v>
      </c>
      <c r="X90" s="16">
        <f>SUM(Q90:W90)</f>
        <v>15746350.166999999</v>
      </c>
      <c r="Y90" s="28">
        <v>1961767.3490000004</v>
      </c>
      <c r="Z90" s="28">
        <v>1157635.5219999996</v>
      </c>
      <c r="AA90" s="7">
        <v>494974.69099999999</v>
      </c>
      <c r="AB90" s="16">
        <f t="shared" si="3"/>
        <v>3614377.5620000004</v>
      </c>
      <c r="AC90" s="7">
        <v>19360727.728999998</v>
      </c>
      <c r="AD90" s="8">
        <v>9.7657756186753843E-5</v>
      </c>
      <c r="AE90" s="8">
        <v>2.9860441444840245E-5</v>
      </c>
      <c r="AF90" s="8">
        <v>2.7767857880696088E-5</v>
      </c>
      <c r="AG90" s="8">
        <v>2.472643079799862E-5</v>
      </c>
      <c r="AH90" s="8">
        <v>2.7634704885356332E-5</v>
      </c>
      <c r="AI90" s="8">
        <v>3.3589183472647339E-5</v>
      </c>
      <c r="AJ90" s="8">
        <v>8.9664917400197774E-5</v>
      </c>
      <c r="AK90" s="8">
        <v>2.2479729832632661E-4</v>
      </c>
      <c r="AL90" s="8">
        <v>6.3318720449561348E-4</v>
      </c>
      <c r="AM90" s="8">
        <v>2.2162749327318638E-3</v>
      </c>
      <c r="AN90" s="8">
        <v>1.5237030556352805E-4</v>
      </c>
    </row>
    <row r="91" spans="1:40" x14ac:dyDescent="0.2">
      <c r="A91" t="s">
        <v>108</v>
      </c>
      <c r="B91">
        <v>2016</v>
      </c>
      <c r="C91" t="s">
        <v>116</v>
      </c>
      <c r="D91" s="7">
        <v>109</v>
      </c>
      <c r="E91" s="7">
        <v>55</v>
      </c>
      <c r="F91" s="7">
        <v>53</v>
      </c>
      <c r="G91" s="7">
        <v>48</v>
      </c>
      <c r="H91" s="7">
        <v>71</v>
      </c>
      <c r="I91" s="7">
        <v>135</v>
      </c>
      <c r="J91" s="7">
        <v>274</v>
      </c>
      <c r="K91" s="16">
        <f>SUM(D91:J91)</f>
        <v>745</v>
      </c>
      <c r="L91" s="28">
        <v>471</v>
      </c>
      <c r="M91" s="28">
        <v>701</v>
      </c>
      <c r="N91" s="7">
        <v>1088</v>
      </c>
      <c r="O91" s="16">
        <f t="shared" si="2"/>
        <v>2260</v>
      </c>
      <c r="P91" s="7">
        <v>3005</v>
      </c>
      <c r="Q91" s="7">
        <v>1100233.4720000001</v>
      </c>
      <c r="R91" s="7">
        <v>2277652.929</v>
      </c>
      <c r="S91" s="7">
        <v>2496728.9919999992</v>
      </c>
      <c r="T91" s="7">
        <v>2539950.6469999994</v>
      </c>
      <c r="U91" s="7">
        <v>2444310.5619999999</v>
      </c>
      <c r="V91" s="7">
        <v>2759872.6089999997</v>
      </c>
      <c r="W91" s="7">
        <v>2595851.11</v>
      </c>
      <c r="X91" s="16">
        <f>SUM(Q91:W91)</f>
        <v>16214600.320999997</v>
      </c>
      <c r="Y91" s="28">
        <v>2094603.5249999999</v>
      </c>
      <c r="Z91" s="28">
        <v>1203592.6179999998</v>
      </c>
      <c r="AA91" s="7">
        <v>517464.64500000008</v>
      </c>
      <c r="AB91" s="16">
        <f t="shared" si="3"/>
        <v>3815660.7879999997</v>
      </c>
      <c r="AC91" s="7">
        <v>20030261.108999997</v>
      </c>
      <c r="AD91" s="8">
        <v>9.9069881778692147E-5</v>
      </c>
      <c r="AE91" s="8">
        <v>2.4147665036985097E-5</v>
      </c>
      <c r="AF91" s="8">
        <v>2.1227774488069074E-5</v>
      </c>
      <c r="AG91" s="8">
        <v>1.8898004989464667E-5</v>
      </c>
      <c r="AH91" s="8">
        <v>2.9047045454774745E-5</v>
      </c>
      <c r="AI91" s="8">
        <v>4.891530122070211E-5</v>
      </c>
      <c r="AJ91" s="8">
        <v>1.055530492270799E-4</v>
      </c>
      <c r="AK91" s="8">
        <v>2.2486355741237475E-4</v>
      </c>
      <c r="AL91" s="8">
        <v>5.824229805969117E-4</v>
      </c>
      <c r="AM91" s="8">
        <v>2.1025591033373881E-3</v>
      </c>
      <c r="AN91" s="8">
        <v>1.5002300687182721E-4</v>
      </c>
    </row>
    <row r="92" spans="1:40" x14ac:dyDescent="0.2">
      <c r="A92" t="s">
        <v>108</v>
      </c>
      <c r="B92">
        <v>2017</v>
      </c>
      <c r="C92" t="s">
        <v>117</v>
      </c>
      <c r="D92" s="7">
        <v>86</v>
      </c>
      <c r="E92" s="7">
        <v>58</v>
      </c>
      <c r="F92" s="7">
        <v>74</v>
      </c>
      <c r="G92" s="7">
        <v>60</v>
      </c>
      <c r="H92" s="7">
        <v>64</v>
      </c>
      <c r="I92" s="7">
        <v>75</v>
      </c>
      <c r="J92" s="7">
        <v>300</v>
      </c>
      <c r="K92" s="16">
        <f>SUM(D92:J92)</f>
        <v>717</v>
      </c>
      <c r="L92" s="28">
        <v>516</v>
      </c>
      <c r="M92" s="28">
        <v>744</v>
      </c>
      <c r="N92" s="7">
        <v>1294</v>
      </c>
      <c r="O92" s="16">
        <f t="shared" si="2"/>
        <v>2554</v>
      </c>
      <c r="P92" s="7">
        <v>3271</v>
      </c>
      <c r="Q92" s="7">
        <v>1115082</v>
      </c>
      <c r="R92" s="7">
        <v>2308358</v>
      </c>
      <c r="S92" s="7">
        <v>2515016</v>
      </c>
      <c r="T92" s="7">
        <v>2617967</v>
      </c>
      <c r="U92" s="7">
        <v>2482411</v>
      </c>
      <c r="V92" s="7">
        <v>2775781</v>
      </c>
      <c r="W92" s="7">
        <v>2671831</v>
      </c>
      <c r="X92" s="16">
        <f>SUM(Q92:W92)</f>
        <v>16486446</v>
      </c>
      <c r="Y92" s="28">
        <v>2184197</v>
      </c>
      <c r="Z92" s="28">
        <v>1241746</v>
      </c>
      <c r="AA92" s="7">
        <v>526343</v>
      </c>
      <c r="AB92" s="16">
        <f t="shared" si="3"/>
        <v>3952286</v>
      </c>
      <c r="AC92" s="7">
        <v>20438732</v>
      </c>
      <c r="AD92" s="8">
        <v>7.7124372916072536E-5</v>
      </c>
      <c r="AE92" s="8">
        <v>2.5126085295261827E-5</v>
      </c>
      <c r="AF92" s="8">
        <v>2.9423272058706583E-5</v>
      </c>
      <c r="AG92" s="8">
        <v>2.2918547101625041E-5</v>
      </c>
      <c r="AH92" s="8">
        <v>2.578138753010682E-5</v>
      </c>
      <c r="AI92" s="8">
        <v>2.701942264177181E-5</v>
      </c>
      <c r="AJ92" s="8">
        <v>1.1228255080504718E-4</v>
      </c>
      <c r="AK92" s="8">
        <v>2.3624242685069157E-4</v>
      </c>
      <c r="AL92" s="8">
        <v>5.9915634920507089E-4</v>
      </c>
      <c r="AM92" s="8">
        <v>2.4584728969512274E-3</v>
      </c>
      <c r="AN92" s="8">
        <v>1.6003928228032932E-4</v>
      </c>
    </row>
    <row r="93" spans="1:40" x14ac:dyDescent="0.2">
      <c r="A93" t="s">
        <v>118</v>
      </c>
      <c r="B93">
        <v>2009</v>
      </c>
      <c r="C93" t="s">
        <v>119</v>
      </c>
      <c r="D93" s="7">
        <v>96</v>
      </c>
      <c r="E93" s="7">
        <v>66</v>
      </c>
      <c r="F93" s="7">
        <v>47</v>
      </c>
      <c r="G93" s="7">
        <v>59</v>
      </c>
      <c r="H93" s="7">
        <v>50</v>
      </c>
      <c r="I93" s="7">
        <v>71</v>
      </c>
      <c r="J93" s="7">
        <v>130</v>
      </c>
      <c r="K93" s="16">
        <f>SUM(D93:J93)</f>
        <v>519</v>
      </c>
      <c r="L93" s="28">
        <v>192</v>
      </c>
      <c r="M93" s="28">
        <v>410</v>
      </c>
      <c r="N93" s="7">
        <v>562</v>
      </c>
      <c r="O93" s="16">
        <f t="shared" si="2"/>
        <v>1164</v>
      </c>
      <c r="P93" s="7">
        <v>1683</v>
      </c>
      <c r="Q93" s="7">
        <v>739624.83200000029</v>
      </c>
      <c r="R93" s="7">
        <v>1392671.2689999999</v>
      </c>
      <c r="S93" s="7">
        <v>1417353.1870000004</v>
      </c>
      <c r="T93" s="7">
        <v>1376408.6700000009</v>
      </c>
      <c r="U93" s="7">
        <v>1467137.1529999992</v>
      </c>
      <c r="V93" s="7">
        <v>1355167.8039999995</v>
      </c>
      <c r="W93" s="7">
        <v>983688.55400000012</v>
      </c>
      <c r="X93" s="16">
        <f>SUM(Q93:W93)</f>
        <v>8732051.4690000005</v>
      </c>
      <c r="Y93" s="28">
        <v>547344.3330000001</v>
      </c>
      <c r="Z93" s="28">
        <v>315195.20999999996</v>
      </c>
      <c r="AA93" s="7">
        <v>116393.38099999999</v>
      </c>
      <c r="AB93" s="16">
        <f t="shared" si="3"/>
        <v>978932.92400000012</v>
      </c>
      <c r="AC93" s="7">
        <v>9710984.3930000011</v>
      </c>
      <c r="AD93" s="8">
        <v>1.297955339606553E-4</v>
      </c>
      <c r="AE93" s="8">
        <v>4.7390939605863301E-5</v>
      </c>
      <c r="AF93" s="8">
        <v>3.3160400972097289E-5</v>
      </c>
      <c r="AG93" s="8">
        <v>4.2865176081751912E-5</v>
      </c>
      <c r="AH93" s="8">
        <v>3.4079976706853955E-5</v>
      </c>
      <c r="AI93" s="8">
        <v>5.2392035724603169E-5</v>
      </c>
      <c r="AJ93" s="8">
        <v>1.3215564974440068E-4</v>
      </c>
      <c r="AK93" s="8">
        <v>3.5078466775685055E-4</v>
      </c>
      <c r="AL93" s="8">
        <v>1.3007811889019507E-3</v>
      </c>
      <c r="AM93" s="8">
        <v>4.8284532605853249E-3</v>
      </c>
      <c r="AN93" s="8">
        <v>1.7330889762454587E-4</v>
      </c>
    </row>
    <row r="94" spans="1:40" x14ac:dyDescent="0.2">
      <c r="A94" t="s">
        <v>118</v>
      </c>
      <c r="B94">
        <v>2010</v>
      </c>
      <c r="C94" t="s">
        <v>120</v>
      </c>
      <c r="D94" s="7">
        <v>120</v>
      </c>
      <c r="E94" s="7">
        <v>61</v>
      </c>
      <c r="F94" s="7">
        <v>41</v>
      </c>
      <c r="G94" s="7">
        <v>51</v>
      </c>
      <c r="H94" s="7">
        <v>76</v>
      </c>
      <c r="I94" s="7">
        <v>54</v>
      </c>
      <c r="J94" s="7">
        <v>107</v>
      </c>
      <c r="K94" s="16">
        <f>SUM(D94:J94)</f>
        <v>510</v>
      </c>
      <c r="L94" s="28">
        <v>223</v>
      </c>
      <c r="M94" s="28">
        <v>392</v>
      </c>
      <c r="N94" s="7">
        <v>557</v>
      </c>
      <c r="O94" s="16">
        <f t="shared" si="2"/>
        <v>1172</v>
      </c>
      <c r="P94" s="7">
        <v>1682</v>
      </c>
      <c r="Q94" s="7">
        <v>695925.40600000054</v>
      </c>
      <c r="R94" s="7">
        <v>1371186.5069999998</v>
      </c>
      <c r="S94" s="7">
        <v>1390282.4679999999</v>
      </c>
      <c r="T94" s="7">
        <v>1333440.0680000002</v>
      </c>
      <c r="U94" s="7">
        <v>1437063.3609999998</v>
      </c>
      <c r="V94" s="7">
        <v>1362741.0070000002</v>
      </c>
      <c r="W94" s="7">
        <v>1016218.9640000003</v>
      </c>
      <c r="X94" s="16">
        <f>SUM(Q94:W94)</f>
        <v>8606857.7809999995</v>
      </c>
      <c r="Y94" s="28">
        <v>571854.83100000012</v>
      </c>
      <c r="Z94" s="28">
        <v>307713.27800000011</v>
      </c>
      <c r="AA94" s="7">
        <v>111861.603</v>
      </c>
      <c r="AB94" s="16">
        <f t="shared" si="3"/>
        <v>991429.71200000017</v>
      </c>
      <c r="AC94" s="7">
        <v>9598287.4930000007</v>
      </c>
      <c r="AD94" s="8">
        <v>1.7243227358191879E-4</v>
      </c>
      <c r="AE94" s="8">
        <v>4.4487018861833078E-5</v>
      </c>
      <c r="AF94" s="8">
        <v>2.9490410002062978E-5</v>
      </c>
      <c r="AG94" s="8">
        <v>3.8246938294342593E-5</v>
      </c>
      <c r="AH94" s="8">
        <v>5.2885629167467175E-5</v>
      </c>
      <c r="AI94" s="8">
        <v>3.9626018240162923E-5</v>
      </c>
      <c r="AJ94" s="8">
        <v>1.0529226848791612E-4</v>
      </c>
      <c r="AK94" s="8">
        <v>3.8995910834580314E-4</v>
      </c>
      <c r="AL94" s="8">
        <v>1.2739131783581982E-3</v>
      </c>
      <c r="AM94" s="8">
        <v>4.9793672275552855E-3</v>
      </c>
      <c r="AN94" s="8">
        <v>1.7523959364904178E-4</v>
      </c>
    </row>
    <row r="95" spans="1:40" x14ac:dyDescent="0.2">
      <c r="A95" t="s">
        <v>118</v>
      </c>
      <c r="B95">
        <v>2011</v>
      </c>
      <c r="C95" t="s">
        <v>121</v>
      </c>
      <c r="D95" s="7">
        <v>113</v>
      </c>
      <c r="E95" s="7">
        <v>54</v>
      </c>
      <c r="F95" s="7">
        <v>53</v>
      </c>
      <c r="G95" s="7">
        <v>56</v>
      </c>
      <c r="H95" s="7">
        <v>59</v>
      </c>
      <c r="I95" s="7">
        <v>60</v>
      </c>
      <c r="J95" s="7">
        <v>147</v>
      </c>
      <c r="K95" s="16">
        <f>SUM(D95:J95)</f>
        <v>542</v>
      </c>
      <c r="L95" s="28">
        <v>253</v>
      </c>
      <c r="M95" s="28">
        <v>376</v>
      </c>
      <c r="N95" s="7">
        <v>544</v>
      </c>
      <c r="O95" s="16">
        <f t="shared" si="2"/>
        <v>1173</v>
      </c>
      <c r="P95" s="7">
        <v>1715</v>
      </c>
      <c r="Q95" s="7">
        <v>690598.10899999982</v>
      </c>
      <c r="R95" s="7">
        <v>1374777.9829999991</v>
      </c>
      <c r="S95" s="7">
        <v>1391755.5709999995</v>
      </c>
      <c r="T95" s="7">
        <v>1329501.9569999999</v>
      </c>
      <c r="U95" s="7">
        <v>1415733.0629999992</v>
      </c>
      <c r="V95" s="7">
        <v>1371910.0569999993</v>
      </c>
      <c r="W95" s="7">
        <v>1041014.9040000002</v>
      </c>
      <c r="X95" s="16">
        <f>SUM(Q95:W95)</f>
        <v>8615291.6439999975</v>
      </c>
      <c r="Y95" s="28">
        <v>588939.09499999997</v>
      </c>
      <c r="Z95" s="28">
        <v>310828.94800000009</v>
      </c>
      <c r="AA95" s="7">
        <v>113346.60299999996</v>
      </c>
      <c r="AB95" s="16">
        <f t="shared" si="3"/>
        <v>1013114.6460000001</v>
      </c>
      <c r="AC95" s="7">
        <v>9628406.2899999991</v>
      </c>
      <c r="AD95" s="8">
        <v>1.6362628065058897E-4</v>
      </c>
      <c r="AE95" s="8">
        <v>3.9279069542678326E-5</v>
      </c>
      <c r="AF95" s="8">
        <v>3.8081399567826854E-5</v>
      </c>
      <c r="AG95" s="8">
        <v>4.2121036155797098E-5</v>
      </c>
      <c r="AH95" s="8">
        <v>4.1674522932293795E-5</v>
      </c>
      <c r="AI95" s="8">
        <v>4.3734645499431621E-5</v>
      </c>
      <c r="AJ95" s="8">
        <v>1.4120835295937316E-4</v>
      </c>
      <c r="AK95" s="8">
        <v>4.2958601686987684E-4</v>
      </c>
      <c r="AL95" s="8">
        <v>1.209668540910803E-3</v>
      </c>
      <c r="AM95" s="8">
        <v>4.799438056383571E-3</v>
      </c>
      <c r="AN95" s="8">
        <v>1.7811878189863964E-4</v>
      </c>
    </row>
    <row r="96" spans="1:40" x14ac:dyDescent="0.2">
      <c r="A96" t="s">
        <v>118</v>
      </c>
      <c r="B96">
        <v>2012</v>
      </c>
      <c r="C96" t="s">
        <v>122</v>
      </c>
      <c r="D96" s="7">
        <v>76</v>
      </c>
      <c r="E96" s="7">
        <v>51</v>
      </c>
      <c r="F96" s="7">
        <v>57</v>
      </c>
      <c r="G96" s="7">
        <v>59</v>
      </c>
      <c r="H96" s="7">
        <v>61</v>
      </c>
      <c r="I96" s="7">
        <v>68</v>
      </c>
      <c r="J96" s="7">
        <v>134</v>
      </c>
      <c r="K96" s="16">
        <f>SUM(D96:J96)</f>
        <v>506</v>
      </c>
      <c r="L96" s="28">
        <v>164</v>
      </c>
      <c r="M96" s="28">
        <v>419</v>
      </c>
      <c r="N96" s="7">
        <v>533</v>
      </c>
      <c r="O96" s="16">
        <f t="shared" si="2"/>
        <v>1116</v>
      </c>
      <c r="P96" s="7">
        <v>1622</v>
      </c>
      <c r="Q96" s="7">
        <v>700954.23400000029</v>
      </c>
      <c r="R96" s="7">
        <v>1412764.26</v>
      </c>
      <c r="S96" s="7">
        <v>1434462.6470000013</v>
      </c>
      <c r="T96" s="7">
        <v>1370175.8809999991</v>
      </c>
      <c r="U96" s="7">
        <v>1433627.746999999</v>
      </c>
      <c r="V96" s="7">
        <v>1418795.5050000004</v>
      </c>
      <c r="W96" s="7">
        <v>1103370.0780000007</v>
      </c>
      <c r="X96" s="16">
        <f>SUM(Q96:W96)</f>
        <v>8874150.3520000018</v>
      </c>
      <c r="Y96" s="28">
        <v>636876.42900000047</v>
      </c>
      <c r="Z96" s="28">
        <v>327595.29299999983</v>
      </c>
      <c r="AA96" s="7">
        <v>121861.17800000003</v>
      </c>
      <c r="AB96" s="16">
        <f t="shared" si="3"/>
        <v>1086332.9000000004</v>
      </c>
      <c r="AC96" s="7">
        <v>9960483.2520000022</v>
      </c>
      <c r="AD96" s="8">
        <v>1.0842362641324735E-4</v>
      </c>
      <c r="AE96" s="8">
        <v>3.6099440964057228E-5</v>
      </c>
      <c r="AF96" s="8">
        <v>3.9736134028451945E-5</v>
      </c>
      <c r="AG96" s="8">
        <v>4.3060165354056495E-5</v>
      </c>
      <c r="AH96" s="8">
        <v>4.2549399680390003E-5</v>
      </c>
      <c r="AI96" s="8">
        <v>4.79279781761079E-5</v>
      </c>
      <c r="AJ96" s="8">
        <v>1.21446106498458E-4</v>
      </c>
      <c r="AK96" s="8">
        <v>2.5750678237143533E-4</v>
      </c>
      <c r="AL96" s="8">
        <v>1.2790171560859399E-3</v>
      </c>
      <c r="AM96" s="8">
        <v>4.3738293749302163E-3</v>
      </c>
      <c r="AN96" s="8">
        <v>1.6284350457336622E-4</v>
      </c>
    </row>
    <row r="97" spans="1:40" x14ac:dyDescent="0.2">
      <c r="A97" t="s">
        <v>118</v>
      </c>
      <c r="B97">
        <v>2013</v>
      </c>
      <c r="C97" t="s">
        <v>123</v>
      </c>
      <c r="D97" s="7">
        <v>128</v>
      </c>
      <c r="E97" s="7">
        <v>44</v>
      </c>
      <c r="F97" s="7">
        <v>45</v>
      </c>
      <c r="G97" s="7">
        <v>56</v>
      </c>
      <c r="H97" s="7">
        <v>70</v>
      </c>
      <c r="I97" s="7">
        <v>92</v>
      </c>
      <c r="J97" s="7">
        <v>138</v>
      </c>
      <c r="K97" s="16">
        <f>SUM(D97:J97)</f>
        <v>573</v>
      </c>
      <c r="L97" s="28">
        <v>229</v>
      </c>
      <c r="M97" s="28">
        <v>398</v>
      </c>
      <c r="N97" s="7">
        <v>531</v>
      </c>
      <c r="O97" s="16">
        <f t="shared" si="2"/>
        <v>1158</v>
      </c>
      <c r="P97" s="7">
        <v>1731</v>
      </c>
      <c r="Q97" s="7">
        <v>691444.81099999999</v>
      </c>
      <c r="R97" s="7">
        <v>1426313.2659999996</v>
      </c>
      <c r="S97" s="7">
        <v>1446631.723</v>
      </c>
      <c r="T97" s="7">
        <v>1362817.3760000002</v>
      </c>
      <c r="U97" s="7">
        <v>1412578.6849999994</v>
      </c>
      <c r="V97" s="7">
        <v>1419745.4540000001</v>
      </c>
      <c r="W97" s="7">
        <v>1132038.4889999996</v>
      </c>
      <c r="X97" s="16">
        <f>SUM(Q97:W97)</f>
        <v>8891569.8039999995</v>
      </c>
      <c r="Y97" s="28">
        <v>670954.59800000023</v>
      </c>
      <c r="Z97" s="28">
        <v>335349.01900000009</v>
      </c>
      <c r="AA97" s="7">
        <v>124659.00000000007</v>
      </c>
      <c r="AB97" s="16">
        <f t="shared" si="3"/>
        <v>1130962.6170000003</v>
      </c>
      <c r="AC97" s="7">
        <v>10022532.420999998</v>
      </c>
      <c r="AD97" s="8">
        <v>1.8511961904071618E-4</v>
      </c>
      <c r="AE97" s="8">
        <v>3.0848763065490562E-5</v>
      </c>
      <c r="AF97" s="8">
        <v>3.1106742154582212E-5</v>
      </c>
      <c r="AG97" s="8">
        <v>4.1091345756366399E-5</v>
      </c>
      <c r="AH97" s="8">
        <v>4.9554761616695377E-5</v>
      </c>
      <c r="AI97" s="8">
        <v>6.4800348358784029E-5</v>
      </c>
      <c r="AJ97" s="8">
        <v>1.2190398236539116E-4</v>
      </c>
      <c r="AK97" s="8">
        <v>3.4130476291929356E-4</v>
      </c>
      <c r="AL97" s="8">
        <v>1.1868232123857798E-3</v>
      </c>
      <c r="AM97" s="8">
        <v>4.2596202440256994E-3</v>
      </c>
      <c r="AN97" s="8">
        <v>1.7271084066269247E-4</v>
      </c>
    </row>
    <row r="98" spans="1:40" x14ac:dyDescent="0.2">
      <c r="A98" t="s">
        <v>118</v>
      </c>
      <c r="B98">
        <v>2014</v>
      </c>
      <c r="C98" t="s">
        <v>124</v>
      </c>
      <c r="D98" s="7">
        <v>96</v>
      </c>
      <c r="E98" s="7">
        <v>56</v>
      </c>
      <c r="F98" s="7">
        <v>37</v>
      </c>
      <c r="G98" s="7">
        <v>50</v>
      </c>
      <c r="H98" s="7">
        <v>55</v>
      </c>
      <c r="I98" s="7">
        <v>94</v>
      </c>
      <c r="J98" s="7">
        <v>194</v>
      </c>
      <c r="K98" s="16">
        <f>SUM(D98:J98)</f>
        <v>582</v>
      </c>
      <c r="L98" s="28">
        <v>257</v>
      </c>
      <c r="M98" s="28">
        <v>348</v>
      </c>
      <c r="N98" s="7">
        <v>528</v>
      </c>
      <c r="O98" s="16">
        <f t="shared" si="2"/>
        <v>1133</v>
      </c>
      <c r="P98" s="7">
        <v>1715</v>
      </c>
      <c r="Q98" s="7">
        <v>666762.4520000004</v>
      </c>
      <c r="R98" s="7">
        <v>1392597.8999999997</v>
      </c>
      <c r="S98" s="7">
        <v>1407174.9589999998</v>
      </c>
      <c r="T98" s="7">
        <v>1343698.8329999999</v>
      </c>
      <c r="U98" s="7">
        <v>1372438.8870000001</v>
      </c>
      <c r="V98" s="7">
        <v>1383792.284</v>
      </c>
      <c r="W98" s="7">
        <v>1123092.8639999998</v>
      </c>
      <c r="X98" s="16">
        <f>SUM(Q98:W98)</f>
        <v>8689558.1789999995</v>
      </c>
      <c r="Y98" s="28">
        <v>673031.41200000013</v>
      </c>
      <c r="Z98" s="28">
        <v>329927.53299999988</v>
      </c>
      <c r="AA98" s="7">
        <v>121363.59899999996</v>
      </c>
      <c r="AB98" s="16">
        <f t="shared" si="3"/>
        <v>1124322.544</v>
      </c>
      <c r="AC98" s="7">
        <v>9813880.7229999993</v>
      </c>
      <c r="AD98" s="8">
        <v>1.4397931334021781E-4</v>
      </c>
      <c r="AE98" s="8">
        <v>4.0212612700335116E-5</v>
      </c>
      <c r="AF98" s="8">
        <v>2.6293816389607887E-5</v>
      </c>
      <c r="AG98" s="8">
        <v>3.7210719226694455E-5</v>
      </c>
      <c r="AH98" s="8">
        <v>4.0074644139692028E-5</v>
      </c>
      <c r="AI98" s="8">
        <v>6.7929270228536697E-5</v>
      </c>
      <c r="AJ98" s="8">
        <v>1.7273727419925982E-4</v>
      </c>
      <c r="AK98" s="8">
        <v>3.8185439106963993E-4</v>
      </c>
      <c r="AL98" s="8">
        <v>1.0547770803960158E-3</v>
      </c>
      <c r="AM98" s="8">
        <v>4.3505631371396642E-3</v>
      </c>
      <c r="AN98" s="8">
        <v>1.747524805330773E-4</v>
      </c>
    </row>
    <row r="99" spans="1:40" x14ac:dyDescent="0.2">
      <c r="A99" t="s">
        <v>118</v>
      </c>
      <c r="B99">
        <v>2015</v>
      </c>
      <c r="C99" t="s">
        <v>125</v>
      </c>
      <c r="D99" s="7">
        <v>118</v>
      </c>
      <c r="E99" s="7">
        <v>41</v>
      </c>
      <c r="F99" s="7">
        <v>42</v>
      </c>
      <c r="G99" s="7">
        <v>40</v>
      </c>
      <c r="H99" s="7">
        <v>58</v>
      </c>
      <c r="I99" s="7">
        <v>55</v>
      </c>
      <c r="J99" s="7">
        <v>168</v>
      </c>
      <c r="K99" s="16">
        <f>SUM(D99:J99)</f>
        <v>522</v>
      </c>
      <c r="L99" s="28">
        <v>241</v>
      </c>
      <c r="M99" s="28">
        <v>419</v>
      </c>
      <c r="N99" s="7">
        <v>499</v>
      </c>
      <c r="O99" s="16">
        <f t="shared" si="2"/>
        <v>1159</v>
      </c>
      <c r="P99" s="7">
        <v>1681</v>
      </c>
      <c r="Q99" s="7">
        <v>683342.71300000011</v>
      </c>
      <c r="R99" s="7">
        <v>1449543.5089999996</v>
      </c>
      <c r="S99" s="7">
        <v>1460426.2569999993</v>
      </c>
      <c r="T99" s="7">
        <v>1398410.3309999995</v>
      </c>
      <c r="U99" s="7">
        <v>1415569.2259999996</v>
      </c>
      <c r="V99" s="7">
        <v>1443849.1720000003</v>
      </c>
      <c r="W99" s="7">
        <v>1210474.0179999997</v>
      </c>
      <c r="X99" s="16">
        <f>SUM(Q99:W99)</f>
        <v>9061615.2259999979</v>
      </c>
      <c r="Y99" s="28">
        <v>753918.33599999978</v>
      </c>
      <c r="Z99" s="28">
        <v>362474.38200000004</v>
      </c>
      <c r="AA99" s="7">
        <v>130460.00300000003</v>
      </c>
      <c r="AB99" s="16">
        <f t="shared" si="3"/>
        <v>1246852.7209999999</v>
      </c>
      <c r="AC99" s="7">
        <v>10308467.946999997</v>
      </c>
      <c r="AD99" s="8">
        <v>1.7268055655698489E-4</v>
      </c>
      <c r="AE99" s="8">
        <v>2.8284766718237231E-5</v>
      </c>
      <c r="AF99" s="8">
        <v>2.875872698035175E-5</v>
      </c>
      <c r="AG99" s="8">
        <v>2.8603907675221555E-5</v>
      </c>
      <c r="AH99" s="8">
        <v>4.097291671414169E-5</v>
      </c>
      <c r="AI99" s="8">
        <v>3.8092621491630424E-5</v>
      </c>
      <c r="AJ99" s="8">
        <v>1.3878860471336449E-4</v>
      </c>
      <c r="AK99" s="8">
        <v>3.196632692058574E-4</v>
      </c>
      <c r="AL99" s="8">
        <v>1.1559437599096313E-3</v>
      </c>
      <c r="AM99" s="8">
        <v>3.8249270927887369E-3</v>
      </c>
      <c r="AN99" s="8">
        <v>1.6306981877837725E-4</v>
      </c>
    </row>
    <row r="100" spans="1:40" x14ac:dyDescent="0.2">
      <c r="A100" t="s">
        <v>118</v>
      </c>
      <c r="B100">
        <v>2016</v>
      </c>
      <c r="C100" t="s">
        <v>126</v>
      </c>
      <c r="D100" s="7">
        <v>124</v>
      </c>
      <c r="E100" s="7">
        <v>49</v>
      </c>
      <c r="F100" s="7">
        <v>51</v>
      </c>
      <c r="G100" s="7">
        <v>57</v>
      </c>
      <c r="H100" s="7">
        <v>55</v>
      </c>
      <c r="I100" s="7">
        <v>71</v>
      </c>
      <c r="J100" s="7">
        <v>194</v>
      </c>
      <c r="K100" s="16">
        <f>SUM(D100:J100)</f>
        <v>601</v>
      </c>
      <c r="L100" s="28">
        <v>266</v>
      </c>
      <c r="M100" s="28">
        <v>351</v>
      </c>
      <c r="N100" s="7">
        <v>451</v>
      </c>
      <c r="O100" s="16">
        <f t="shared" si="2"/>
        <v>1068</v>
      </c>
      <c r="P100" s="7">
        <v>1669</v>
      </c>
      <c r="Q100" s="7">
        <v>662316.90699999966</v>
      </c>
      <c r="R100" s="7">
        <v>1411119.2490000001</v>
      </c>
      <c r="S100" s="7">
        <v>1426914.0810000007</v>
      </c>
      <c r="T100" s="7">
        <v>1377267.844</v>
      </c>
      <c r="U100" s="7">
        <v>1371909.422000001</v>
      </c>
      <c r="V100" s="7">
        <v>1400263.1359999995</v>
      </c>
      <c r="W100" s="7">
        <v>1185185.5219999999</v>
      </c>
      <c r="X100" s="16">
        <f>SUM(Q100:W100)</f>
        <v>8834976.1610000003</v>
      </c>
      <c r="Y100" s="28">
        <v>759477.07200000051</v>
      </c>
      <c r="Z100" s="28">
        <v>355823.61499999982</v>
      </c>
      <c r="AA100" s="7">
        <v>129717.45100000007</v>
      </c>
      <c r="AB100" s="16">
        <f t="shared" si="3"/>
        <v>1245018.1380000005</v>
      </c>
      <c r="AC100" s="7">
        <v>10079994.299000001</v>
      </c>
      <c r="AD100" s="8">
        <v>1.8722155314087439E-4</v>
      </c>
      <c r="AE100" s="8">
        <v>3.4724209194031057E-5</v>
      </c>
      <c r="AF100" s="8">
        <v>3.5741465221408782E-5</v>
      </c>
      <c r="AG100" s="8">
        <v>4.1386285353511816E-5</v>
      </c>
      <c r="AH100" s="8">
        <v>4.0090110263853817E-5</v>
      </c>
      <c r="AI100" s="8">
        <v>5.070475553817624E-5</v>
      </c>
      <c r="AJ100" s="8">
        <v>1.6368745348207183E-4</v>
      </c>
      <c r="AK100" s="8">
        <v>3.502409879201723E-4</v>
      </c>
      <c r="AL100" s="8">
        <v>9.8644380306236903E-4</v>
      </c>
      <c r="AM100" s="8">
        <v>3.4767874061910125E-3</v>
      </c>
      <c r="AN100" s="8">
        <v>1.6557549047082053E-4</v>
      </c>
    </row>
    <row r="101" spans="1:40" x14ac:dyDescent="0.2">
      <c r="A101" t="s">
        <v>118</v>
      </c>
      <c r="B101">
        <v>2017</v>
      </c>
      <c r="C101" t="s">
        <v>127</v>
      </c>
      <c r="D101" s="7">
        <v>103</v>
      </c>
      <c r="E101" s="7">
        <v>51</v>
      </c>
      <c r="F101" s="7">
        <v>30</v>
      </c>
      <c r="G101" s="7">
        <v>60</v>
      </c>
      <c r="H101" s="7">
        <v>45</v>
      </c>
      <c r="I101" s="7">
        <v>74</v>
      </c>
      <c r="J101" s="7">
        <v>157</v>
      </c>
      <c r="K101" s="16">
        <f>SUM(D101:J101)</f>
        <v>520</v>
      </c>
      <c r="L101" s="28">
        <v>274</v>
      </c>
      <c r="M101" s="28">
        <v>391</v>
      </c>
      <c r="N101" s="7">
        <v>452</v>
      </c>
      <c r="O101" s="16">
        <f t="shared" si="2"/>
        <v>1117</v>
      </c>
      <c r="P101" s="7">
        <v>1637</v>
      </c>
      <c r="Q101" s="7">
        <v>664105</v>
      </c>
      <c r="R101" s="7">
        <v>1427856</v>
      </c>
      <c r="S101" s="7">
        <v>1446984</v>
      </c>
      <c r="T101" s="7">
        <v>1415370</v>
      </c>
      <c r="U101" s="7">
        <v>1390455</v>
      </c>
      <c r="V101" s="7">
        <v>1427589</v>
      </c>
      <c r="W101" s="7">
        <v>1240644</v>
      </c>
      <c r="X101" s="16">
        <f>SUM(Q101:W101)</f>
        <v>9013003</v>
      </c>
      <c r="Y101" s="28">
        <v>819673</v>
      </c>
      <c r="Z101" s="28">
        <v>379593</v>
      </c>
      <c r="AA101" s="7">
        <v>134083</v>
      </c>
      <c r="AB101" s="16">
        <f t="shared" si="3"/>
        <v>1333349</v>
      </c>
      <c r="AC101" s="7">
        <v>10346352</v>
      </c>
      <c r="AD101" s="8">
        <v>1.5509595621174363E-4</v>
      </c>
      <c r="AE101" s="8">
        <v>3.5717887518069051E-5</v>
      </c>
      <c r="AF101" s="8">
        <v>2.0732779353469009E-5</v>
      </c>
      <c r="AG101" s="8">
        <v>4.2391742088641135E-5</v>
      </c>
      <c r="AH101" s="8">
        <v>3.2363506909608725E-5</v>
      </c>
      <c r="AI101" s="8">
        <v>5.1835647374699584E-5</v>
      </c>
      <c r="AJ101" s="8">
        <v>1.265471803353742E-4</v>
      </c>
      <c r="AK101" s="8">
        <v>3.342796456635756E-4</v>
      </c>
      <c r="AL101" s="8">
        <v>1.0300506068341619E-3</v>
      </c>
      <c r="AM101" s="8">
        <v>3.3710462922219818E-3</v>
      </c>
      <c r="AN101" s="8">
        <v>1.5822001803147623E-4</v>
      </c>
    </row>
    <row r="102" spans="1:40" x14ac:dyDescent="0.2">
      <c r="A102" t="s">
        <v>128</v>
      </c>
      <c r="B102">
        <v>2009</v>
      </c>
      <c r="C102" t="s">
        <v>129</v>
      </c>
      <c r="D102" s="7">
        <v>93</v>
      </c>
      <c r="E102" s="7">
        <v>57</v>
      </c>
      <c r="F102" s="7">
        <v>42</v>
      </c>
      <c r="G102" s="7">
        <v>45</v>
      </c>
      <c r="H102" s="7">
        <v>55</v>
      </c>
      <c r="I102" s="7">
        <v>38</v>
      </c>
      <c r="J102" s="7">
        <v>58</v>
      </c>
      <c r="K102" s="16">
        <f>SUM(D102:J102)</f>
        <v>388</v>
      </c>
      <c r="L102" s="28">
        <v>52</v>
      </c>
      <c r="M102" s="28">
        <v>82</v>
      </c>
      <c r="N102" s="7">
        <v>132</v>
      </c>
      <c r="O102" s="16">
        <f t="shared" si="2"/>
        <v>266</v>
      </c>
      <c r="P102" s="7">
        <v>654</v>
      </c>
      <c r="Q102" s="7">
        <v>86680.740999999995</v>
      </c>
      <c r="R102" s="7">
        <v>154047.16699999999</v>
      </c>
      <c r="S102" s="7">
        <v>174733.16500000001</v>
      </c>
      <c r="T102" s="7">
        <v>183511.85700000002</v>
      </c>
      <c r="U102" s="7">
        <v>175700.70799999998</v>
      </c>
      <c r="V102" s="7">
        <v>180058.22700000001</v>
      </c>
      <c r="W102" s="7">
        <v>147014.962</v>
      </c>
      <c r="X102" s="16">
        <f>SUM(Q102:W102)</f>
        <v>1101746.827</v>
      </c>
      <c r="Y102" s="28">
        <v>86906.005000000005</v>
      </c>
      <c r="Z102" s="28">
        <v>67847.144</v>
      </c>
      <c r="AA102" s="7">
        <v>25893.421000000002</v>
      </c>
      <c r="AB102" s="16">
        <f t="shared" si="3"/>
        <v>180646.57</v>
      </c>
      <c r="AC102" s="7">
        <v>1282393.3970000001</v>
      </c>
      <c r="AD102" s="8">
        <v>1.0729026878069721E-3</v>
      </c>
      <c r="AE102" s="8">
        <v>3.7001654175178702E-4</v>
      </c>
      <c r="AF102" s="8">
        <v>2.403665039776507E-4</v>
      </c>
      <c r="AG102" s="8">
        <v>2.4521576281580538E-4</v>
      </c>
      <c r="AH102" s="8">
        <v>3.1303231857210276E-4</v>
      </c>
      <c r="AI102" s="8">
        <v>2.1104284226901779E-4</v>
      </c>
      <c r="AJ102" s="8">
        <v>3.9451766820849162E-4</v>
      </c>
      <c r="AK102" s="8">
        <v>5.9834760555383944E-4</v>
      </c>
      <c r="AL102" s="8">
        <v>1.2085991416234117E-3</v>
      </c>
      <c r="AM102" s="8">
        <v>5.0978200215413784E-3</v>
      </c>
      <c r="AN102" s="8">
        <v>5.0998391096675297E-4</v>
      </c>
    </row>
    <row r="103" spans="1:40" x14ac:dyDescent="0.2">
      <c r="A103" t="s">
        <v>128</v>
      </c>
      <c r="B103">
        <v>2010</v>
      </c>
      <c r="C103" t="s">
        <v>130</v>
      </c>
      <c r="D103" s="7">
        <v>124</v>
      </c>
      <c r="E103" s="7">
        <v>51</v>
      </c>
      <c r="F103" s="7">
        <v>59</v>
      </c>
      <c r="G103" s="7">
        <v>73</v>
      </c>
      <c r="H103" s="7">
        <v>53</v>
      </c>
      <c r="I103" s="7">
        <v>49</v>
      </c>
      <c r="J103" s="7">
        <v>45</v>
      </c>
      <c r="K103" s="16">
        <f>SUM(D103:J103)</f>
        <v>454</v>
      </c>
      <c r="L103" s="28">
        <v>56</v>
      </c>
      <c r="M103" s="28">
        <v>65</v>
      </c>
      <c r="N103" s="7">
        <v>133</v>
      </c>
      <c r="O103" s="16">
        <f t="shared" si="2"/>
        <v>254</v>
      </c>
      <c r="P103" s="7">
        <v>708</v>
      </c>
      <c r="Q103" s="7">
        <v>86252.421000000002</v>
      </c>
      <c r="R103" s="7">
        <v>162175.20699999997</v>
      </c>
      <c r="S103" s="7">
        <v>180941.44699999999</v>
      </c>
      <c r="T103" s="7">
        <v>179787.30600000004</v>
      </c>
      <c r="U103" s="7">
        <v>179139.769</v>
      </c>
      <c r="V103" s="7">
        <v>194286.103</v>
      </c>
      <c r="W103" s="7">
        <v>165165.84499999997</v>
      </c>
      <c r="X103" s="16">
        <f>SUM(Q103:W103)</f>
        <v>1147748.098</v>
      </c>
      <c r="Y103" s="28">
        <v>93984.443999999989</v>
      </c>
      <c r="Z103" s="28">
        <v>64883.703000000001</v>
      </c>
      <c r="AA103" s="7">
        <v>27040.289000000001</v>
      </c>
      <c r="AB103" s="16">
        <f t="shared" si="3"/>
        <v>185908.43599999999</v>
      </c>
      <c r="AC103" s="7">
        <v>1333656.534</v>
      </c>
      <c r="AD103" s="8">
        <v>1.4376408054679415E-3</v>
      </c>
      <c r="AE103" s="8">
        <v>3.1447470265908161E-4</v>
      </c>
      <c r="AF103" s="8">
        <v>3.2607233432813213E-4</v>
      </c>
      <c r="AG103" s="8">
        <v>4.0603534044834059E-4</v>
      </c>
      <c r="AH103" s="8">
        <v>2.9585836967334708E-4</v>
      </c>
      <c r="AI103" s="8">
        <v>2.5220537775674052E-4</v>
      </c>
      <c r="AJ103" s="8">
        <v>2.7245342401148378E-4</v>
      </c>
      <c r="AK103" s="8">
        <v>5.9584328657623386E-4</v>
      </c>
      <c r="AL103" s="8">
        <v>1.0017923915347433E-3</v>
      </c>
      <c r="AM103" s="8">
        <v>4.918586484042386E-3</v>
      </c>
      <c r="AN103" s="8">
        <v>5.3087131652743808E-4</v>
      </c>
    </row>
    <row r="104" spans="1:40" x14ac:dyDescent="0.2">
      <c r="A104" t="s">
        <v>128</v>
      </c>
      <c r="B104">
        <v>2011</v>
      </c>
      <c r="C104" t="s">
        <v>131</v>
      </c>
      <c r="D104" s="7">
        <v>116</v>
      </c>
      <c r="E104" s="7">
        <v>55</v>
      </c>
      <c r="F104" s="7">
        <v>44</v>
      </c>
      <c r="G104" s="7">
        <v>48</v>
      </c>
      <c r="H104" s="7">
        <v>66</v>
      </c>
      <c r="I104" s="7">
        <v>38</v>
      </c>
      <c r="J104" s="7">
        <v>58</v>
      </c>
      <c r="K104" s="16">
        <f>SUM(D104:J104)</f>
        <v>425</v>
      </c>
      <c r="L104" s="28">
        <v>63</v>
      </c>
      <c r="M104" s="28">
        <v>62</v>
      </c>
      <c r="N104" s="7">
        <v>183</v>
      </c>
      <c r="O104" s="16">
        <f t="shared" si="2"/>
        <v>308</v>
      </c>
      <c r="P104" s="7">
        <v>733</v>
      </c>
      <c r="Q104" s="7">
        <v>87273.002000000008</v>
      </c>
      <c r="R104" s="7">
        <v>163361.682</v>
      </c>
      <c r="S104" s="7">
        <v>181829.715</v>
      </c>
      <c r="T104" s="7">
        <v>183269.86200000002</v>
      </c>
      <c r="U104" s="7">
        <v>177677.43799999999</v>
      </c>
      <c r="V104" s="7">
        <v>192700.54499999998</v>
      </c>
      <c r="W104" s="7">
        <v>170625.44500000001</v>
      </c>
      <c r="X104" s="16">
        <f>SUM(Q104:W104)</f>
        <v>1156737.689</v>
      </c>
      <c r="Y104" s="28">
        <v>97991.892000000007</v>
      </c>
      <c r="Z104" s="28">
        <v>65051.873999999996</v>
      </c>
      <c r="AA104" s="7">
        <v>28777.923999999999</v>
      </c>
      <c r="AB104" s="16">
        <f t="shared" si="3"/>
        <v>191821.69</v>
      </c>
      <c r="AC104" s="7">
        <v>1348559.3790000002</v>
      </c>
      <c r="AD104" s="8">
        <v>1.3291624825739349E-3</v>
      </c>
      <c r="AE104" s="8">
        <v>3.3667625924664515E-4</v>
      </c>
      <c r="AF104" s="8">
        <v>2.4198465030866929E-4</v>
      </c>
      <c r="AG104" s="8">
        <v>2.6190885656911771E-4</v>
      </c>
      <c r="AH104" s="8">
        <v>3.7145965600877251E-4</v>
      </c>
      <c r="AI104" s="8">
        <v>1.97197158939016E-4</v>
      </c>
      <c r="AJ104" s="8">
        <v>3.3992585338019191E-4</v>
      </c>
      <c r="AK104" s="8">
        <v>6.4291033384680438E-4</v>
      </c>
      <c r="AL104" s="8">
        <v>9.5308553293945082E-4</v>
      </c>
      <c r="AM104" s="8">
        <v>6.3590410482701953E-3</v>
      </c>
      <c r="AN104" s="8">
        <v>5.4354299218440261E-4</v>
      </c>
    </row>
    <row r="105" spans="1:40" x14ac:dyDescent="0.2">
      <c r="A105" t="s">
        <v>128</v>
      </c>
      <c r="B105">
        <v>2012</v>
      </c>
      <c r="C105" t="s">
        <v>132</v>
      </c>
      <c r="D105" s="7">
        <v>132</v>
      </c>
      <c r="E105" s="7">
        <v>62</v>
      </c>
      <c r="F105" s="7">
        <v>67</v>
      </c>
      <c r="G105" s="7">
        <v>44</v>
      </c>
      <c r="H105" s="7">
        <v>45</v>
      </c>
      <c r="I105" s="7">
        <v>53</v>
      </c>
      <c r="J105" s="7">
        <v>51</v>
      </c>
      <c r="K105" s="16">
        <f>SUM(D105:J105)</f>
        <v>454</v>
      </c>
      <c r="L105" s="28">
        <v>65</v>
      </c>
      <c r="M105" s="28">
        <v>65</v>
      </c>
      <c r="N105" s="7">
        <v>239</v>
      </c>
      <c r="O105" s="16">
        <f t="shared" si="2"/>
        <v>369</v>
      </c>
      <c r="P105" s="7">
        <v>823</v>
      </c>
      <c r="Q105" s="7">
        <v>88387.760999999999</v>
      </c>
      <c r="R105" s="7">
        <v>163162.182</v>
      </c>
      <c r="S105" s="7">
        <v>182441.715</v>
      </c>
      <c r="T105" s="7">
        <v>188610.20899999997</v>
      </c>
      <c r="U105" s="7">
        <v>176124.67700000003</v>
      </c>
      <c r="V105" s="7">
        <v>191607.36</v>
      </c>
      <c r="W105" s="7">
        <v>174620.43299999999</v>
      </c>
      <c r="X105" s="16">
        <f>SUM(Q105:W105)</f>
        <v>1164954.3370000001</v>
      </c>
      <c r="Y105" s="28">
        <v>102127.91000000002</v>
      </c>
      <c r="Z105" s="28">
        <v>63200.142000000007</v>
      </c>
      <c r="AA105" s="7">
        <v>31781.493000000002</v>
      </c>
      <c r="AB105" s="16">
        <f t="shared" si="3"/>
        <v>197109.54500000004</v>
      </c>
      <c r="AC105" s="7">
        <v>1362063.882</v>
      </c>
      <c r="AD105" s="8">
        <v>1.4934194339417649E-3</v>
      </c>
      <c r="AE105" s="8">
        <v>3.7999001508817775E-4</v>
      </c>
      <c r="AF105" s="8">
        <v>3.6724057324280252E-4</v>
      </c>
      <c r="AG105" s="8">
        <v>2.332853573159447E-4</v>
      </c>
      <c r="AH105" s="8">
        <v>2.5550082343089262E-4</v>
      </c>
      <c r="AI105" s="8">
        <v>2.7660732865376366E-4</v>
      </c>
      <c r="AJ105" s="8">
        <v>2.9206204064331922E-4</v>
      </c>
      <c r="AK105" s="8">
        <v>6.3645677268828855E-4</v>
      </c>
      <c r="AL105" s="8">
        <v>1.0284787018358279E-3</v>
      </c>
      <c r="AM105" s="8">
        <v>7.520099826650686E-3</v>
      </c>
      <c r="AN105" s="8">
        <v>6.0423010321038672E-4</v>
      </c>
    </row>
    <row r="106" spans="1:40" x14ac:dyDescent="0.2">
      <c r="A106" t="s">
        <v>128</v>
      </c>
      <c r="B106">
        <v>2013</v>
      </c>
      <c r="C106" t="s">
        <v>133</v>
      </c>
      <c r="D106" s="7">
        <v>148</v>
      </c>
      <c r="E106" s="7">
        <v>38</v>
      </c>
      <c r="F106" s="7">
        <v>56</v>
      </c>
      <c r="G106" s="7">
        <v>51</v>
      </c>
      <c r="H106" s="7">
        <v>63</v>
      </c>
      <c r="I106" s="7">
        <v>43</v>
      </c>
      <c r="J106" s="7">
        <v>58</v>
      </c>
      <c r="K106" s="16">
        <f>SUM(D106:J106)</f>
        <v>457</v>
      </c>
      <c r="L106" s="28">
        <v>65</v>
      </c>
      <c r="M106" s="28">
        <v>92</v>
      </c>
      <c r="N106" s="7">
        <v>252</v>
      </c>
      <c r="O106" s="16">
        <f t="shared" si="2"/>
        <v>409</v>
      </c>
      <c r="P106" s="7">
        <v>866</v>
      </c>
      <c r="Q106" s="7">
        <v>88924.034</v>
      </c>
      <c r="R106" s="7">
        <v>165870.53600000002</v>
      </c>
      <c r="S106" s="7">
        <v>182628.31600000002</v>
      </c>
      <c r="T106" s="7">
        <v>192634.27100000001</v>
      </c>
      <c r="U106" s="7">
        <v>174196.14199999999</v>
      </c>
      <c r="V106" s="7">
        <v>188485.30199999997</v>
      </c>
      <c r="W106" s="7">
        <v>177111.15400000001</v>
      </c>
      <c r="X106" s="16">
        <f>SUM(Q106:W106)</f>
        <v>1169849.7550000001</v>
      </c>
      <c r="Y106" s="28">
        <v>106876.09300000001</v>
      </c>
      <c r="Z106" s="28">
        <v>62754.050999999999</v>
      </c>
      <c r="AA106" s="7">
        <v>32578.109000000004</v>
      </c>
      <c r="AB106" s="16">
        <f t="shared" si="3"/>
        <v>202208.253</v>
      </c>
      <c r="AC106" s="7">
        <v>1372058.0080000001</v>
      </c>
      <c r="AD106" s="8">
        <v>1.6643419483196185E-3</v>
      </c>
      <c r="AE106" s="8">
        <v>2.2909433414985766E-4</v>
      </c>
      <c r="AF106" s="8">
        <v>3.0663372047957775E-4</v>
      </c>
      <c r="AG106" s="8">
        <v>2.6475039843766948E-4</v>
      </c>
      <c r="AH106" s="8">
        <v>3.6166128179807797E-4</v>
      </c>
      <c r="AI106" s="8">
        <v>2.281344993149652E-4</v>
      </c>
      <c r="AJ106" s="8">
        <v>3.2747796335853586E-4</v>
      </c>
      <c r="AK106" s="8">
        <v>6.0818091469717179E-4</v>
      </c>
      <c r="AL106" s="8">
        <v>1.466040813843237E-3</v>
      </c>
      <c r="AM106" s="8">
        <v>7.7352555975547868E-3</v>
      </c>
      <c r="AN106" s="8">
        <v>6.3116864954007102E-4</v>
      </c>
    </row>
    <row r="107" spans="1:40" x14ac:dyDescent="0.2">
      <c r="A107" t="s">
        <v>128</v>
      </c>
      <c r="B107">
        <v>2014</v>
      </c>
      <c r="C107" t="s">
        <v>134</v>
      </c>
      <c r="D107" s="7">
        <v>129</v>
      </c>
      <c r="E107" s="7">
        <v>64</v>
      </c>
      <c r="F107" s="7">
        <v>47</v>
      </c>
      <c r="G107" s="7">
        <v>42</v>
      </c>
      <c r="H107" s="7">
        <v>66</v>
      </c>
      <c r="I107" s="7">
        <v>75</v>
      </c>
      <c r="J107" s="7">
        <v>46</v>
      </c>
      <c r="K107" s="16">
        <f>SUM(D107:J107)</f>
        <v>469</v>
      </c>
      <c r="L107" s="28">
        <v>46</v>
      </c>
      <c r="M107" s="28">
        <v>92</v>
      </c>
      <c r="N107" s="7">
        <v>224</v>
      </c>
      <c r="O107" s="16">
        <f t="shared" si="2"/>
        <v>362</v>
      </c>
      <c r="P107" s="7">
        <v>831</v>
      </c>
      <c r="Q107" s="7">
        <v>89518.225999999995</v>
      </c>
      <c r="R107" s="7">
        <v>168002.12400000001</v>
      </c>
      <c r="S107" s="7">
        <v>186077.82000000004</v>
      </c>
      <c r="T107" s="7">
        <v>199121.39999999997</v>
      </c>
      <c r="U107" s="7">
        <v>174280.28600000002</v>
      </c>
      <c r="V107" s="7">
        <v>184341.89500000002</v>
      </c>
      <c r="W107" s="7">
        <v>177204.234</v>
      </c>
      <c r="X107" s="16">
        <f>SUM(Q107:W107)</f>
        <v>1178545.9850000001</v>
      </c>
      <c r="Y107" s="28">
        <v>112912.48300000001</v>
      </c>
      <c r="Z107" s="28">
        <v>64472.092000000004</v>
      </c>
      <c r="AA107" s="7">
        <v>35489.490000000005</v>
      </c>
      <c r="AB107" s="16">
        <f t="shared" si="3"/>
        <v>212874.065</v>
      </c>
      <c r="AC107" s="7">
        <v>1391420.05</v>
      </c>
      <c r="AD107" s="8">
        <v>1.4410473237036669E-3</v>
      </c>
      <c r="AE107" s="8">
        <v>3.8094756468674167E-4</v>
      </c>
      <c r="AF107" s="8">
        <v>2.5258249478632107E-4</v>
      </c>
      <c r="AG107" s="8">
        <v>2.109266005562436E-4</v>
      </c>
      <c r="AH107" s="8">
        <v>3.7870031955306748E-4</v>
      </c>
      <c r="AI107" s="8">
        <v>4.0685271245584185E-4</v>
      </c>
      <c r="AJ107" s="8">
        <v>2.5958747689967723E-4</v>
      </c>
      <c r="AK107" s="8">
        <v>4.0739516816754441E-4</v>
      </c>
      <c r="AL107" s="8">
        <v>1.4269740153615613E-3</v>
      </c>
      <c r="AM107" s="8">
        <v>6.3117277819433291E-3</v>
      </c>
      <c r="AN107" s="8">
        <v>5.9723158366159804E-4</v>
      </c>
    </row>
    <row r="108" spans="1:40" x14ac:dyDescent="0.2">
      <c r="A108" t="s">
        <v>128</v>
      </c>
      <c r="B108">
        <v>2015</v>
      </c>
      <c r="C108" t="s">
        <v>135</v>
      </c>
      <c r="D108" s="7">
        <v>102</v>
      </c>
      <c r="E108" s="7">
        <v>31</v>
      </c>
      <c r="F108" s="7">
        <v>44</v>
      </c>
      <c r="G108" s="7">
        <v>46</v>
      </c>
      <c r="H108" s="7">
        <v>34</v>
      </c>
      <c r="I108" s="7">
        <v>43</v>
      </c>
      <c r="J108" s="7">
        <v>67</v>
      </c>
      <c r="K108" s="16">
        <f>SUM(D108:J108)</f>
        <v>367</v>
      </c>
      <c r="L108" s="28">
        <v>21</v>
      </c>
      <c r="M108" s="28">
        <v>88</v>
      </c>
      <c r="N108" s="7">
        <v>326</v>
      </c>
      <c r="O108" s="16">
        <f t="shared" si="2"/>
        <v>435</v>
      </c>
      <c r="P108" s="7">
        <v>802</v>
      </c>
      <c r="Q108" s="7">
        <v>91491.915999999997</v>
      </c>
      <c r="R108" s="7">
        <v>168365.158</v>
      </c>
      <c r="S108" s="7">
        <v>184446.45100000003</v>
      </c>
      <c r="T108" s="7">
        <v>204911.745</v>
      </c>
      <c r="U108" s="7">
        <v>175432.212</v>
      </c>
      <c r="V108" s="7">
        <v>181558.927</v>
      </c>
      <c r="W108" s="7">
        <v>179121.21399999998</v>
      </c>
      <c r="X108" s="16">
        <f>SUM(Q108:W108)</f>
        <v>1185327.6230000001</v>
      </c>
      <c r="Y108" s="28">
        <v>119782.58900000001</v>
      </c>
      <c r="Z108" s="28">
        <v>63347.564000000006</v>
      </c>
      <c r="AA108" s="7">
        <v>36780.498999999996</v>
      </c>
      <c r="AB108" s="16">
        <f t="shared" si="3"/>
        <v>219910.652</v>
      </c>
      <c r="AC108" s="7">
        <v>1405238.2750000001</v>
      </c>
      <c r="AD108" s="8">
        <v>1.1148525952828444E-3</v>
      </c>
      <c r="AE108" s="8">
        <v>1.8412360590663301E-4</v>
      </c>
      <c r="AF108" s="8">
        <v>2.3855162168449635E-4</v>
      </c>
      <c r="AG108" s="8">
        <v>2.2448688824547368E-4</v>
      </c>
      <c r="AH108" s="8">
        <v>1.9380705294874808E-4</v>
      </c>
      <c r="AI108" s="8">
        <v>2.3683770724201294E-4</v>
      </c>
      <c r="AJ108" s="8">
        <v>3.7404838044476411E-4</v>
      </c>
      <c r="AK108" s="8">
        <v>1.7531763318289937E-4</v>
      </c>
      <c r="AL108" s="8">
        <v>1.3891615469223094E-3</v>
      </c>
      <c r="AM108" s="8">
        <v>8.8633925276543971E-3</v>
      </c>
      <c r="AN108" s="8">
        <v>5.7072171621570724E-4</v>
      </c>
    </row>
    <row r="109" spans="1:40" x14ac:dyDescent="0.2">
      <c r="A109" t="s">
        <v>128</v>
      </c>
      <c r="B109">
        <v>2016</v>
      </c>
      <c r="C109" t="s">
        <v>136</v>
      </c>
      <c r="D109" s="7">
        <v>99</v>
      </c>
      <c r="E109" s="7">
        <v>62</v>
      </c>
      <c r="F109" s="7">
        <v>62</v>
      </c>
      <c r="G109" s="7">
        <v>73</v>
      </c>
      <c r="H109" s="7">
        <v>59</v>
      </c>
      <c r="I109" s="7">
        <v>46</v>
      </c>
      <c r="J109" s="7">
        <v>58</v>
      </c>
      <c r="K109" s="16">
        <f>SUM(D109:J109)</f>
        <v>459</v>
      </c>
      <c r="L109" s="28">
        <v>45</v>
      </c>
      <c r="M109" s="28">
        <v>72</v>
      </c>
      <c r="N109" s="7">
        <v>303</v>
      </c>
      <c r="O109" s="16">
        <f t="shared" si="2"/>
        <v>420</v>
      </c>
      <c r="P109" s="7">
        <v>879</v>
      </c>
      <c r="Q109" s="7">
        <v>92158.558000000019</v>
      </c>
      <c r="R109" s="7">
        <v>167987.815</v>
      </c>
      <c r="S109" s="7">
        <v>180209.18800000002</v>
      </c>
      <c r="T109" s="7">
        <v>203187.95700000002</v>
      </c>
      <c r="U109" s="7">
        <v>176254.22400000002</v>
      </c>
      <c r="V109" s="7">
        <v>181785.24799999996</v>
      </c>
      <c r="W109" s="7">
        <v>184036.68400000001</v>
      </c>
      <c r="X109" s="16">
        <f>SUM(Q109:W109)</f>
        <v>1185619.6740000001</v>
      </c>
      <c r="Y109" s="28">
        <v>126288.821</v>
      </c>
      <c r="Z109" s="28">
        <v>63877.96699999999</v>
      </c>
      <c r="AA109" s="7">
        <v>37988.300000000003</v>
      </c>
      <c r="AB109" s="16">
        <f t="shared" si="3"/>
        <v>228155.08799999999</v>
      </c>
      <c r="AC109" s="7">
        <v>1413774.7620000001</v>
      </c>
      <c r="AD109" s="8">
        <v>1.0742355582430009E-3</v>
      </c>
      <c r="AE109" s="8">
        <v>3.6907438792510041E-4</v>
      </c>
      <c r="AF109" s="8">
        <v>3.4404461108830919E-4</v>
      </c>
      <c r="AG109" s="8">
        <v>3.5927326145614028E-4</v>
      </c>
      <c r="AH109" s="8">
        <v>3.3474375059516299E-4</v>
      </c>
      <c r="AI109" s="8">
        <v>2.5304583571049731E-4</v>
      </c>
      <c r="AJ109" s="8">
        <v>3.1515455907692836E-4</v>
      </c>
      <c r="AK109" s="8">
        <v>3.5632607576564519E-4</v>
      </c>
      <c r="AL109" s="8">
        <v>1.1271492093666664E-3</v>
      </c>
      <c r="AM109" s="8">
        <v>7.9761400220594234E-3</v>
      </c>
      <c r="AN109" s="8">
        <v>6.2173977328363141E-4</v>
      </c>
    </row>
    <row r="110" spans="1:40" x14ac:dyDescent="0.2">
      <c r="A110" t="s">
        <v>128</v>
      </c>
      <c r="B110">
        <v>2017</v>
      </c>
      <c r="C110" t="s">
        <v>137</v>
      </c>
      <c r="D110" s="7">
        <v>111</v>
      </c>
      <c r="E110" s="7">
        <v>51</v>
      </c>
      <c r="F110" s="7">
        <v>62</v>
      </c>
      <c r="G110" s="7">
        <v>54</v>
      </c>
      <c r="H110" s="7">
        <v>40</v>
      </c>
      <c r="I110" s="7">
        <v>45</v>
      </c>
      <c r="J110" s="7">
        <v>53</v>
      </c>
      <c r="K110" s="16">
        <f>SUM(D110:J110)</f>
        <v>416</v>
      </c>
      <c r="L110" s="28">
        <v>50</v>
      </c>
      <c r="M110" s="28">
        <v>102</v>
      </c>
      <c r="N110" s="7">
        <v>382</v>
      </c>
      <c r="O110" s="16">
        <f t="shared" si="2"/>
        <v>534</v>
      </c>
      <c r="P110" s="7">
        <v>950</v>
      </c>
      <c r="Q110" s="7">
        <v>91417</v>
      </c>
      <c r="R110" s="7">
        <v>168645</v>
      </c>
      <c r="S110" s="7">
        <v>177286</v>
      </c>
      <c r="T110" s="7">
        <v>205405</v>
      </c>
      <c r="U110" s="7">
        <v>177415</v>
      </c>
      <c r="V110" s="7">
        <v>179768</v>
      </c>
      <c r="W110" s="7">
        <v>183652</v>
      </c>
      <c r="X110" s="16">
        <f>SUM(Q110:W110)</f>
        <v>1183588</v>
      </c>
      <c r="Y110" s="28">
        <v>133689</v>
      </c>
      <c r="Z110" s="28">
        <v>66602</v>
      </c>
      <c r="AA110" s="7">
        <v>37853</v>
      </c>
      <c r="AB110" s="16">
        <f t="shared" si="3"/>
        <v>238144</v>
      </c>
      <c r="AC110" s="7">
        <v>1421732</v>
      </c>
      <c r="AD110" s="8">
        <v>1.2142161742345516E-3</v>
      </c>
      <c r="AE110" s="8">
        <v>3.0241038868629368E-4</v>
      </c>
      <c r="AF110" s="8">
        <v>3.4971740577372158E-4</v>
      </c>
      <c r="AG110" s="8">
        <v>2.6289525571432051E-4</v>
      </c>
      <c r="AH110" s="8">
        <v>2.25460079474678E-4</v>
      </c>
      <c r="AI110" s="8">
        <v>2.5032263806684169E-4</v>
      </c>
      <c r="AJ110" s="8">
        <v>2.8858928843682619E-4</v>
      </c>
      <c r="AK110" s="8">
        <v>3.7400234873475008E-4</v>
      </c>
      <c r="AL110" s="8">
        <v>1.5314855409747454E-3</v>
      </c>
      <c r="AM110" s="8">
        <v>1.0091670409214593E-2</v>
      </c>
      <c r="AN110" s="8">
        <v>6.6819906986689478E-4</v>
      </c>
    </row>
    <row r="111" spans="1:40" x14ac:dyDescent="0.2">
      <c r="A111" t="s">
        <v>138</v>
      </c>
      <c r="B111">
        <v>2009</v>
      </c>
      <c r="C111" t="s">
        <v>139</v>
      </c>
      <c r="D111" s="7">
        <v>111</v>
      </c>
      <c r="E111" s="7">
        <v>52</v>
      </c>
      <c r="F111" s="7">
        <v>61</v>
      </c>
      <c r="G111" s="7">
        <v>52</v>
      </c>
      <c r="H111" s="7">
        <v>58</v>
      </c>
      <c r="I111" s="7">
        <v>55</v>
      </c>
      <c r="J111" s="7">
        <v>58</v>
      </c>
      <c r="K111" s="16">
        <f>SUM(D111:J111)</f>
        <v>447</v>
      </c>
      <c r="L111" s="28">
        <v>37</v>
      </c>
      <c r="M111" s="28">
        <v>33</v>
      </c>
      <c r="N111" s="7">
        <v>61</v>
      </c>
      <c r="O111" s="16">
        <f t="shared" si="2"/>
        <v>131</v>
      </c>
      <c r="P111" s="7">
        <v>578</v>
      </c>
      <c r="Q111" s="7">
        <v>118760.60999999997</v>
      </c>
      <c r="R111" s="7">
        <v>220896.01099999997</v>
      </c>
      <c r="S111" s="7">
        <v>227909.16900000002</v>
      </c>
      <c r="T111" s="7">
        <v>199464.77699999997</v>
      </c>
      <c r="U111" s="7">
        <v>191812.43000000005</v>
      </c>
      <c r="V111" s="7">
        <v>203232.60300000006</v>
      </c>
      <c r="W111" s="7">
        <v>159866.85100000005</v>
      </c>
      <c r="X111" s="16">
        <f>SUM(Q111:W111)</f>
        <v>1321942.4510000001</v>
      </c>
      <c r="Y111" s="28">
        <v>94100.931000000026</v>
      </c>
      <c r="Z111" s="28">
        <v>58708.122000000018</v>
      </c>
      <c r="AA111" s="7">
        <v>23731.290999999997</v>
      </c>
      <c r="AB111" s="16">
        <f t="shared" si="3"/>
        <v>176540.34400000004</v>
      </c>
      <c r="AC111" s="7">
        <v>1498482.7950000002</v>
      </c>
      <c r="AD111" s="8">
        <v>9.34653333289548E-4</v>
      </c>
      <c r="AE111" s="8">
        <v>2.3540488469934393E-4</v>
      </c>
      <c r="AF111" s="8">
        <v>2.6765048667260947E-4</v>
      </c>
      <c r="AG111" s="8">
        <v>2.6069765691012206E-4</v>
      </c>
      <c r="AH111" s="8">
        <v>3.0237873530928098E-4</v>
      </c>
      <c r="AI111" s="8">
        <v>2.7062587000374139E-4</v>
      </c>
      <c r="AJ111" s="8">
        <v>3.6280191695275201E-4</v>
      </c>
      <c r="AK111" s="8">
        <v>3.9319483459733241E-4</v>
      </c>
      <c r="AL111" s="8">
        <v>5.6210280410604844E-4</v>
      </c>
      <c r="AM111" s="8">
        <v>2.5704459146365026E-3</v>
      </c>
      <c r="AN111" s="8">
        <v>3.8572348106272382E-4</v>
      </c>
    </row>
    <row r="112" spans="1:40" x14ac:dyDescent="0.2">
      <c r="A112" t="s">
        <v>138</v>
      </c>
      <c r="B112">
        <v>2010</v>
      </c>
      <c r="C112" t="s">
        <v>140</v>
      </c>
      <c r="D112" s="7">
        <v>106</v>
      </c>
      <c r="E112" s="7">
        <v>50</v>
      </c>
      <c r="F112" s="7">
        <v>72</v>
      </c>
      <c r="G112" s="7">
        <v>48</v>
      </c>
      <c r="H112" s="7">
        <v>60</v>
      </c>
      <c r="I112" s="7">
        <v>45</v>
      </c>
      <c r="J112" s="7">
        <v>53</v>
      </c>
      <c r="K112" s="16">
        <f>SUM(D112:J112)</f>
        <v>434</v>
      </c>
      <c r="L112" s="28">
        <v>51</v>
      </c>
      <c r="M112" s="28">
        <v>55</v>
      </c>
      <c r="N112" s="7">
        <v>99</v>
      </c>
      <c r="O112" s="16">
        <f t="shared" si="2"/>
        <v>205</v>
      </c>
      <c r="P112" s="7">
        <v>639</v>
      </c>
      <c r="Q112" s="7">
        <v>119524.94499999998</v>
      </c>
      <c r="R112" s="7">
        <v>231517.07100000003</v>
      </c>
      <c r="S112" s="7">
        <v>224908.00599999999</v>
      </c>
      <c r="T112" s="7">
        <v>202326.26300000006</v>
      </c>
      <c r="U112" s="7">
        <v>194189.31600000002</v>
      </c>
      <c r="V112" s="7">
        <v>209128.40899999999</v>
      </c>
      <c r="W112" s="7">
        <v>169778.25600000008</v>
      </c>
      <c r="X112" s="16">
        <f>SUM(Q112:W112)</f>
        <v>1351372.2660000001</v>
      </c>
      <c r="Y112" s="28">
        <v>100706.37500000004</v>
      </c>
      <c r="Z112" s="28">
        <v>58472.378000000004</v>
      </c>
      <c r="AA112" s="7">
        <v>23979.518000000004</v>
      </c>
      <c r="AB112" s="16">
        <f t="shared" si="3"/>
        <v>183158.27100000007</v>
      </c>
      <c r="AC112" s="7">
        <v>1534530.537</v>
      </c>
      <c r="AD112" s="8">
        <v>8.8684416462187052E-4</v>
      </c>
      <c r="AE112" s="8">
        <v>2.1596679581351475E-4</v>
      </c>
      <c r="AF112" s="8">
        <v>3.2013088942685304E-4</v>
      </c>
      <c r="AG112" s="8">
        <v>2.372405800822802E-4</v>
      </c>
      <c r="AH112" s="8">
        <v>3.089768337203474E-4</v>
      </c>
      <c r="AI112" s="8">
        <v>2.151787995479849E-4</v>
      </c>
      <c r="AJ112" s="8">
        <v>3.121718955576972E-4</v>
      </c>
      <c r="AK112" s="8">
        <v>5.0642275625550003E-4</v>
      </c>
      <c r="AL112" s="8">
        <v>9.4061507127348224E-4</v>
      </c>
      <c r="AM112" s="8">
        <v>4.1285233506361549E-3</v>
      </c>
      <c r="AN112" s="8">
        <v>4.1641400062930123E-4</v>
      </c>
    </row>
    <row r="113" spans="1:40" x14ac:dyDescent="0.2">
      <c r="A113" t="s">
        <v>138</v>
      </c>
      <c r="B113">
        <v>2011</v>
      </c>
      <c r="C113" t="s">
        <v>141</v>
      </c>
      <c r="D113" s="7">
        <v>115</v>
      </c>
      <c r="E113" s="7">
        <v>70</v>
      </c>
      <c r="F113" s="7">
        <v>61</v>
      </c>
      <c r="G113" s="7">
        <v>33</v>
      </c>
      <c r="H113" s="7">
        <v>39</v>
      </c>
      <c r="I113" s="7">
        <v>40</v>
      </c>
      <c r="J113" s="7">
        <v>55</v>
      </c>
      <c r="K113" s="16">
        <f>SUM(D113:J113)</f>
        <v>413</v>
      </c>
      <c r="L113" s="28">
        <v>51</v>
      </c>
      <c r="M113" s="28">
        <v>52</v>
      </c>
      <c r="N113" s="7">
        <v>104</v>
      </c>
      <c r="O113" s="16">
        <f t="shared" si="2"/>
        <v>207</v>
      </c>
      <c r="P113" s="7">
        <v>620</v>
      </c>
      <c r="Q113" s="7">
        <v>121450.36799999999</v>
      </c>
      <c r="R113" s="7">
        <v>238213.03</v>
      </c>
      <c r="S113" s="7">
        <v>229197.72599999997</v>
      </c>
      <c r="T113" s="7">
        <v>209056.80600000007</v>
      </c>
      <c r="U113" s="7">
        <v>196419.45399999997</v>
      </c>
      <c r="V113" s="7">
        <v>213641.52900000001</v>
      </c>
      <c r="W113" s="7">
        <v>180963.60900000003</v>
      </c>
      <c r="X113" s="16">
        <f>SUM(Q113:W113)</f>
        <v>1388942.5220000001</v>
      </c>
      <c r="Y113" s="28">
        <v>109783.45600000001</v>
      </c>
      <c r="Z113" s="28">
        <v>62874.728000000025</v>
      </c>
      <c r="AA113" s="7">
        <v>25403.285</v>
      </c>
      <c r="AB113" s="16">
        <f t="shared" si="3"/>
        <v>198061.46900000004</v>
      </c>
      <c r="AC113" s="7">
        <v>1587003.9910000002</v>
      </c>
      <c r="AD113" s="8">
        <v>9.4688885586579708E-4</v>
      </c>
      <c r="AE113" s="8">
        <v>2.9385462247803995E-4</v>
      </c>
      <c r="AF113" s="8">
        <v>2.6614574701321427E-4</v>
      </c>
      <c r="AG113" s="8">
        <v>1.5785183286498689E-4</v>
      </c>
      <c r="AH113" s="8">
        <v>1.9855467065904789E-4</v>
      </c>
      <c r="AI113" s="8">
        <v>1.872295156621913E-4</v>
      </c>
      <c r="AJ113" s="8">
        <v>3.0392850973700458E-4</v>
      </c>
      <c r="AK113" s="8">
        <v>4.6455087003273058E-4</v>
      </c>
      <c r="AL113" s="8">
        <v>8.2704135117689858E-4</v>
      </c>
      <c r="AM113" s="8">
        <v>4.0939587143946146E-3</v>
      </c>
      <c r="AN113" s="8">
        <v>3.9067324563520897E-4</v>
      </c>
    </row>
    <row r="114" spans="1:40" x14ac:dyDescent="0.2">
      <c r="A114" t="s">
        <v>138</v>
      </c>
      <c r="B114">
        <v>2012</v>
      </c>
      <c r="C114" t="s">
        <v>142</v>
      </c>
      <c r="D114" s="7">
        <v>114</v>
      </c>
      <c r="E114" s="7">
        <v>48</v>
      </c>
      <c r="F114" s="7">
        <v>59</v>
      </c>
      <c r="G114" s="7">
        <v>53</v>
      </c>
      <c r="H114" s="7">
        <v>61</v>
      </c>
      <c r="I114" s="7">
        <v>48</v>
      </c>
      <c r="J114" s="7">
        <v>41</v>
      </c>
      <c r="K114" s="16">
        <f>SUM(D114:J114)</f>
        <v>424</v>
      </c>
      <c r="L114" s="28">
        <v>44</v>
      </c>
      <c r="M114" s="28">
        <v>36</v>
      </c>
      <c r="N114" s="7">
        <v>92</v>
      </c>
      <c r="O114" s="16">
        <f t="shared" si="2"/>
        <v>172</v>
      </c>
      <c r="P114" s="7">
        <v>596</v>
      </c>
      <c r="Q114" s="7">
        <v>119971.77999999998</v>
      </c>
      <c r="R114" s="7">
        <v>236973.13399999999</v>
      </c>
      <c r="S114" s="7">
        <v>227110.834</v>
      </c>
      <c r="T114" s="7">
        <v>208567.74200000006</v>
      </c>
      <c r="U114" s="7">
        <v>192581.84099999996</v>
      </c>
      <c r="V114" s="7">
        <v>207517.12000000005</v>
      </c>
      <c r="W114" s="7">
        <v>181335.54700000005</v>
      </c>
      <c r="X114" s="16">
        <f>SUM(Q114:W114)</f>
        <v>1374057.9980000001</v>
      </c>
      <c r="Y114" s="28">
        <v>111777.64800000002</v>
      </c>
      <c r="Z114" s="28">
        <v>61361.46</v>
      </c>
      <c r="AA114" s="7">
        <v>24736.277999999998</v>
      </c>
      <c r="AB114" s="16">
        <f t="shared" si="3"/>
        <v>197875.386</v>
      </c>
      <c r="AC114" s="7">
        <v>1571933.3840000001</v>
      </c>
      <c r="AD114" s="8">
        <v>9.502234608838847E-4</v>
      </c>
      <c r="AE114" s="8">
        <v>2.0255460688636543E-4</v>
      </c>
      <c r="AF114" s="8">
        <v>2.5978505279056831E-4</v>
      </c>
      <c r="AG114" s="8">
        <v>2.541140805944957E-4</v>
      </c>
      <c r="AH114" s="8">
        <v>3.1674845189583585E-4</v>
      </c>
      <c r="AI114" s="8">
        <v>2.3130621704850178E-4</v>
      </c>
      <c r="AJ114" s="8">
        <v>2.2610018100863584E-4</v>
      </c>
      <c r="AK114" s="8">
        <v>3.9363862800190604E-4</v>
      </c>
      <c r="AL114" s="8">
        <v>5.8668747451576285E-4</v>
      </c>
      <c r="AM114" s="8">
        <v>3.7192337505262516E-3</v>
      </c>
      <c r="AN114" s="8">
        <v>3.7915092717440499E-4</v>
      </c>
    </row>
    <row r="115" spans="1:40" x14ac:dyDescent="0.2">
      <c r="A115" t="s">
        <v>138</v>
      </c>
      <c r="B115">
        <v>2013</v>
      </c>
      <c r="C115" t="s">
        <v>143</v>
      </c>
      <c r="D115" s="7">
        <v>103</v>
      </c>
      <c r="E115" s="7">
        <v>60</v>
      </c>
      <c r="F115" s="7">
        <v>53</v>
      </c>
      <c r="G115" s="7">
        <v>61</v>
      </c>
      <c r="H115" s="7">
        <v>53</v>
      </c>
      <c r="I115" s="7">
        <v>53</v>
      </c>
      <c r="J115" s="7">
        <v>44</v>
      </c>
      <c r="K115" s="16">
        <f>SUM(D115:J115)</f>
        <v>427</v>
      </c>
      <c r="L115" s="28">
        <v>64</v>
      </c>
      <c r="M115" s="28">
        <v>48</v>
      </c>
      <c r="N115" s="7">
        <v>120</v>
      </c>
      <c r="O115" s="16">
        <f t="shared" si="2"/>
        <v>232</v>
      </c>
      <c r="P115" s="7">
        <v>659</v>
      </c>
      <c r="Q115" s="7">
        <v>126635.63900000002</v>
      </c>
      <c r="R115" s="7">
        <v>257873.815</v>
      </c>
      <c r="S115" s="7">
        <v>240509.09000000008</v>
      </c>
      <c r="T115" s="7">
        <v>224381.85200000001</v>
      </c>
      <c r="U115" s="7">
        <v>208619.37300000002</v>
      </c>
      <c r="V115" s="7">
        <v>221892.35400000005</v>
      </c>
      <c r="W115" s="7">
        <v>202218.32199999996</v>
      </c>
      <c r="X115" s="16">
        <f>SUM(Q115:W115)</f>
        <v>1482130.4450000003</v>
      </c>
      <c r="Y115" s="28">
        <v>127454.47100000009</v>
      </c>
      <c r="Z115" s="28">
        <v>67936.468000000008</v>
      </c>
      <c r="AA115" s="7">
        <v>27286.062000000009</v>
      </c>
      <c r="AB115" s="16">
        <f t="shared" si="3"/>
        <v>222677.00100000011</v>
      </c>
      <c r="AC115" s="7">
        <v>1704807.4460000005</v>
      </c>
      <c r="AD115" s="8">
        <v>8.1335713084686992E-4</v>
      </c>
      <c r="AE115" s="8">
        <v>2.3267193685407725E-4</v>
      </c>
      <c r="AF115" s="8">
        <v>2.2036589136818064E-4</v>
      </c>
      <c r="AG115" s="8">
        <v>2.7185799322130563E-4</v>
      </c>
      <c r="AH115" s="8">
        <v>2.5405119015480882E-4</v>
      </c>
      <c r="AI115" s="8">
        <v>2.388545573769522E-4</v>
      </c>
      <c r="AJ115" s="8">
        <v>2.175866141347964E-4</v>
      </c>
      <c r="AK115" s="8">
        <v>5.0214009361821408E-4</v>
      </c>
      <c r="AL115" s="8">
        <v>7.0654247141608824E-4</v>
      </c>
      <c r="AM115" s="8">
        <v>4.3978497153601701E-3</v>
      </c>
      <c r="AN115" s="8">
        <v>3.8655391935682562E-4</v>
      </c>
    </row>
    <row r="116" spans="1:40" x14ac:dyDescent="0.2">
      <c r="A116" t="s">
        <v>138</v>
      </c>
      <c r="B116">
        <v>2014</v>
      </c>
      <c r="C116" t="s">
        <v>144</v>
      </c>
      <c r="D116" s="7">
        <v>92</v>
      </c>
      <c r="E116" s="7">
        <v>47</v>
      </c>
      <c r="F116" s="7">
        <v>65</v>
      </c>
      <c r="G116" s="7">
        <v>60</v>
      </c>
      <c r="H116" s="7">
        <v>46</v>
      </c>
      <c r="I116" s="7">
        <v>56</v>
      </c>
      <c r="J116" s="7">
        <v>49</v>
      </c>
      <c r="K116" s="16">
        <f>SUM(D116:J116)</f>
        <v>415</v>
      </c>
      <c r="L116" s="28">
        <v>62</v>
      </c>
      <c r="M116" s="28">
        <v>80</v>
      </c>
      <c r="N116" s="7">
        <v>91</v>
      </c>
      <c r="O116" s="16">
        <f t="shared" si="2"/>
        <v>233</v>
      </c>
      <c r="P116" s="7">
        <v>648</v>
      </c>
      <c r="Q116" s="7">
        <v>118000.12700000002</v>
      </c>
      <c r="R116" s="7">
        <v>246015.89199999996</v>
      </c>
      <c r="S116" s="7">
        <v>232542.245</v>
      </c>
      <c r="T116" s="7">
        <v>219069.53399999996</v>
      </c>
      <c r="U116" s="7">
        <v>202050.82199999999</v>
      </c>
      <c r="V116" s="7">
        <v>210869.43399999995</v>
      </c>
      <c r="W116" s="7">
        <v>198149.22500000003</v>
      </c>
      <c r="X116" s="16">
        <f>SUM(Q116:W116)</f>
        <v>1426697.2789999999</v>
      </c>
      <c r="Y116" s="28">
        <v>128949.448</v>
      </c>
      <c r="Z116" s="28">
        <v>67509.631999999983</v>
      </c>
      <c r="AA116" s="7">
        <v>26774.83500000001</v>
      </c>
      <c r="AB116" s="16">
        <f t="shared" si="3"/>
        <v>223233.91500000001</v>
      </c>
      <c r="AC116" s="7">
        <v>1649931.1939999999</v>
      </c>
      <c r="AD116" s="8">
        <v>7.7966017782336774E-4</v>
      </c>
      <c r="AE116" s="8">
        <v>1.91044568779321E-4</v>
      </c>
      <c r="AF116" s="8">
        <v>2.7951910415245195E-4</v>
      </c>
      <c r="AG116" s="8">
        <v>2.7388564217240729E-4</v>
      </c>
      <c r="AH116" s="8">
        <v>2.2766549299165932E-4</v>
      </c>
      <c r="AI116" s="8">
        <v>2.6556717556324458E-4</v>
      </c>
      <c r="AJ116" s="8">
        <v>2.4728837571784596E-4</v>
      </c>
      <c r="AK116" s="8">
        <v>4.8080857236395457E-4</v>
      </c>
      <c r="AL116" s="8">
        <v>1.1850160877784079E-3</v>
      </c>
      <c r="AM116" s="8">
        <v>3.3987137549120272E-3</v>
      </c>
      <c r="AN116" s="8">
        <v>3.9274365037551985E-4</v>
      </c>
    </row>
    <row r="117" spans="1:40" x14ac:dyDescent="0.2">
      <c r="A117" t="s">
        <v>138</v>
      </c>
      <c r="B117">
        <v>2015</v>
      </c>
      <c r="C117" t="s">
        <v>145</v>
      </c>
      <c r="D117" s="7">
        <v>81</v>
      </c>
      <c r="E117" s="7">
        <v>65</v>
      </c>
      <c r="F117" s="7">
        <v>67</v>
      </c>
      <c r="G117" s="7">
        <v>30</v>
      </c>
      <c r="H117" s="7">
        <v>56</v>
      </c>
      <c r="I117" s="7">
        <v>70</v>
      </c>
      <c r="J117" s="7">
        <v>53</v>
      </c>
      <c r="K117" s="16">
        <f>SUM(D117:J117)</f>
        <v>422</v>
      </c>
      <c r="L117" s="28">
        <v>54</v>
      </c>
      <c r="M117" s="28">
        <v>62</v>
      </c>
      <c r="N117" s="7">
        <v>106</v>
      </c>
      <c r="O117" s="16">
        <f t="shared" si="2"/>
        <v>222</v>
      </c>
      <c r="P117" s="7">
        <v>644</v>
      </c>
      <c r="Q117" s="7">
        <v>118259.13900000004</v>
      </c>
      <c r="R117" s="7">
        <v>249937.36300000004</v>
      </c>
      <c r="S117" s="7">
        <v>238658.63999999998</v>
      </c>
      <c r="T117" s="7">
        <v>225331.579</v>
      </c>
      <c r="U117" s="7">
        <v>211799.14400000006</v>
      </c>
      <c r="V117" s="7">
        <v>217510.70900000003</v>
      </c>
      <c r="W117" s="7">
        <v>207801.67899999989</v>
      </c>
      <c r="X117" s="16">
        <f>SUM(Q117:W117)</f>
        <v>1469298.253</v>
      </c>
      <c r="Y117" s="28">
        <v>136951.065</v>
      </c>
      <c r="Z117" s="28">
        <v>70093.112999999983</v>
      </c>
      <c r="AA117" s="7">
        <v>28387.567999999996</v>
      </c>
      <c r="AB117" s="16">
        <f t="shared" si="3"/>
        <v>235431.74599999998</v>
      </c>
      <c r="AC117" s="7">
        <v>1704729.9989999998</v>
      </c>
      <c r="AD117" s="8">
        <v>6.84936493576196E-4</v>
      </c>
      <c r="AE117" s="8">
        <v>2.6006515880540836E-4</v>
      </c>
      <c r="AF117" s="8">
        <v>2.8073569848550213E-4</v>
      </c>
      <c r="AG117" s="8">
        <v>1.3313713121408517E-4</v>
      </c>
      <c r="AH117" s="8">
        <v>2.6440144630612855E-4</v>
      </c>
      <c r="AI117" s="8">
        <v>3.2182323491943557E-4</v>
      </c>
      <c r="AJ117" s="8">
        <v>2.5505087473330775E-4</v>
      </c>
      <c r="AK117" s="8">
        <v>3.943014243810371E-4</v>
      </c>
      <c r="AL117" s="8">
        <v>8.8453768632019546E-4</v>
      </c>
      <c r="AM117" s="8">
        <v>3.7340289242107677E-3</v>
      </c>
      <c r="AN117" s="8">
        <v>3.7777243339283785E-4</v>
      </c>
    </row>
    <row r="118" spans="1:40" x14ac:dyDescent="0.2">
      <c r="A118" t="s">
        <v>138</v>
      </c>
      <c r="B118">
        <v>2016</v>
      </c>
      <c r="C118" t="s">
        <v>146</v>
      </c>
      <c r="D118" s="7">
        <v>114</v>
      </c>
      <c r="E118" s="7">
        <v>52</v>
      </c>
      <c r="F118" s="7">
        <v>64</v>
      </c>
      <c r="G118" s="7">
        <v>56</v>
      </c>
      <c r="H118" s="7">
        <v>40</v>
      </c>
      <c r="I118" s="7">
        <v>57</v>
      </c>
      <c r="J118" s="7">
        <v>57</v>
      </c>
      <c r="K118" s="16">
        <f>SUM(D118:J118)</f>
        <v>440</v>
      </c>
      <c r="L118" s="28">
        <v>65</v>
      </c>
      <c r="M118" s="28">
        <v>40</v>
      </c>
      <c r="N118" s="7">
        <v>88</v>
      </c>
      <c r="O118" s="16">
        <f t="shared" si="2"/>
        <v>193</v>
      </c>
      <c r="P118" s="7">
        <v>633</v>
      </c>
      <c r="Q118" s="7">
        <v>107824.39800000002</v>
      </c>
      <c r="R118" s="7">
        <v>232667.24399999998</v>
      </c>
      <c r="S118" s="7">
        <v>217072.69399999999</v>
      </c>
      <c r="T118" s="7">
        <v>204428.49000000002</v>
      </c>
      <c r="U118" s="7">
        <v>190891.83899999998</v>
      </c>
      <c r="V118" s="7">
        <v>190171.68700000001</v>
      </c>
      <c r="W118" s="7">
        <v>188818.258</v>
      </c>
      <c r="X118" s="16">
        <f>SUM(Q118:W118)</f>
        <v>1331874.6099999999</v>
      </c>
      <c r="Y118" s="28">
        <v>131599.65100000004</v>
      </c>
      <c r="Z118" s="28">
        <v>64682.336999999978</v>
      </c>
      <c r="AA118" s="7">
        <v>25437.776999999998</v>
      </c>
      <c r="AB118" s="16">
        <f t="shared" si="3"/>
        <v>221719.76500000001</v>
      </c>
      <c r="AC118" s="7">
        <v>1553594.375</v>
      </c>
      <c r="AD118" s="8">
        <v>1.0572746253589098E-3</v>
      </c>
      <c r="AE118" s="8">
        <v>2.2349514743037917E-4</v>
      </c>
      <c r="AF118" s="8">
        <v>2.9483210817847039E-4</v>
      </c>
      <c r="AG118" s="8">
        <v>2.7393442078450022E-4</v>
      </c>
      <c r="AH118" s="8">
        <v>2.0954274530300901E-4</v>
      </c>
      <c r="AI118" s="8">
        <v>2.9972915999845967E-4</v>
      </c>
      <c r="AJ118" s="8">
        <v>3.0187758643552361E-4</v>
      </c>
      <c r="AK118" s="8">
        <v>4.9392228251425975E-4</v>
      </c>
      <c r="AL118" s="8">
        <v>6.184068457514146E-4</v>
      </c>
      <c r="AM118" s="8">
        <v>3.4594217883111406E-3</v>
      </c>
      <c r="AN118" s="8">
        <v>4.0744225789308747E-4</v>
      </c>
    </row>
    <row r="119" spans="1:40" x14ac:dyDescent="0.2">
      <c r="A119" t="s">
        <v>138</v>
      </c>
      <c r="B119">
        <v>2017</v>
      </c>
      <c r="C119" t="s">
        <v>147</v>
      </c>
      <c r="D119" s="7">
        <v>104</v>
      </c>
      <c r="E119" s="7">
        <v>58</v>
      </c>
      <c r="F119" s="7">
        <v>56</v>
      </c>
      <c r="G119" s="7">
        <v>60</v>
      </c>
      <c r="H119" s="7">
        <v>58</v>
      </c>
      <c r="I119" s="7">
        <v>56</v>
      </c>
      <c r="J119" s="7">
        <v>46</v>
      </c>
      <c r="K119" s="16">
        <f>SUM(D119:J119)</f>
        <v>438</v>
      </c>
      <c r="L119" s="28">
        <v>51</v>
      </c>
      <c r="M119" s="28">
        <v>87</v>
      </c>
      <c r="N119" s="7">
        <v>115</v>
      </c>
      <c r="O119" s="16">
        <f t="shared" si="2"/>
        <v>253</v>
      </c>
      <c r="P119" s="7">
        <v>691</v>
      </c>
      <c r="Q119" s="7">
        <v>105307</v>
      </c>
      <c r="R119" s="7">
        <v>231853</v>
      </c>
      <c r="S119" s="7">
        <v>213523</v>
      </c>
      <c r="T119" s="7">
        <v>206868</v>
      </c>
      <c r="U119" s="7">
        <v>196246</v>
      </c>
      <c r="V119" s="7">
        <v>193162</v>
      </c>
      <c r="W119" s="7">
        <v>194898</v>
      </c>
      <c r="X119" s="16">
        <f>SUM(Q119:W119)</f>
        <v>1341857</v>
      </c>
      <c r="Y119" s="28">
        <v>140110</v>
      </c>
      <c r="Z119" s="28">
        <v>67751</v>
      </c>
      <c r="AA119" s="7">
        <v>26601</v>
      </c>
      <c r="AB119" s="16">
        <f t="shared" si="3"/>
        <v>234462</v>
      </c>
      <c r="AC119" s="7">
        <v>1576319</v>
      </c>
      <c r="AD119" s="8">
        <v>9.8758866931922848E-4</v>
      </c>
      <c r="AE119" s="8">
        <v>2.5015850560484445E-4</v>
      </c>
      <c r="AF119" s="8">
        <v>2.6226682839787752E-4</v>
      </c>
      <c r="AG119" s="8">
        <v>2.9004002552352224E-4</v>
      </c>
      <c r="AH119" s="8">
        <v>2.9554742517044931E-4</v>
      </c>
      <c r="AI119" s="8">
        <v>2.8991209451134279E-4</v>
      </c>
      <c r="AJ119" s="8">
        <v>2.3602089297991769E-4</v>
      </c>
      <c r="AK119" s="8">
        <v>3.6399971451002785E-4</v>
      </c>
      <c r="AL119" s="8">
        <v>1.2841138876178949E-3</v>
      </c>
      <c r="AM119" s="8">
        <v>4.3231457464005113E-3</v>
      </c>
      <c r="AN119" s="8">
        <v>4.383630470735936E-4</v>
      </c>
    </row>
    <row r="120" spans="1:40" x14ac:dyDescent="0.2">
      <c r="A120" t="s">
        <v>148</v>
      </c>
      <c r="B120">
        <v>2009</v>
      </c>
      <c r="C120" t="s">
        <v>149</v>
      </c>
      <c r="D120" s="7">
        <v>119</v>
      </c>
      <c r="E120" s="7">
        <v>64</v>
      </c>
      <c r="F120" s="7">
        <v>55</v>
      </c>
      <c r="G120" s="7">
        <v>55</v>
      </c>
      <c r="H120" s="7">
        <v>65</v>
      </c>
      <c r="I120" s="7">
        <v>112</v>
      </c>
      <c r="J120" s="7">
        <v>173</v>
      </c>
      <c r="K120" s="16">
        <f>SUM(D120:J120)</f>
        <v>643</v>
      </c>
      <c r="L120" s="28">
        <v>263</v>
      </c>
      <c r="M120" s="28">
        <v>589</v>
      </c>
      <c r="N120" s="7">
        <v>1154</v>
      </c>
      <c r="O120" s="16">
        <f t="shared" si="2"/>
        <v>2006</v>
      </c>
      <c r="P120" s="7">
        <v>2649</v>
      </c>
      <c r="Q120" s="7">
        <v>898968.31600000046</v>
      </c>
      <c r="R120" s="7">
        <v>1769246.6900000009</v>
      </c>
      <c r="S120" s="7">
        <v>1845653.7050000001</v>
      </c>
      <c r="T120" s="7">
        <v>1770474.816000001</v>
      </c>
      <c r="U120" s="7">
        <v>1829792.743</v>
      </c>
      <c r="V120" s="7">
        <v>1867044.4869999995</v>
      </c>
      <c r="W120" s="7">
        <v>1342706.284</v>
      </c>
      <c r="X120" s="16">
        <f>SUM(Q120:W120)</f>
        <v>11323887.041000001</v>
      </c>
      <c r="Y120" s="28">
        <v>804823.98000000033</v>
      </c>
      <c r="Z120" s="28">
        <v>539871.78899999987</v>
      </c>
      <c r="AA120" s="7">
        <v>223035.83400000003</v>
      </c>
      <c r="AB120" s="16">
        <f t="shared" si="3"/>
        <v>1567731.6030000004</v>
      </c>
      <c r="AC120" s="7">
        <v>12891618.644000003</v>
      </c>
      <c r="AD120" s="8">
        <v>1.3237396455694433E-4</v>
      </c>
      <c r="AE120" s="8">
        <v>3.6173587528373426E-5</v>
      </c>
      <c r="AF120" s="8">
        <v>2.9799739707942665E-5</v>
      </c>
      <c r="AG120" s="8">
        <v>3.1065112874217787E-5</v>
      </c>
      <c r="AH120" s="8">
        <v>3.5523148864078757E-5</v>
      </c>
      <c r="AI120" s="8">
        <v>5.9987858232539283E-5</v>
      </c>
      <c r="AJ120" s="8">
        <v>1.2884426181772454E-4</v>
      </c>
      <c r="AK120" s="8">
        <v>3.2677952761795179E-4</v>
      </c>
      <c r="AL120" s="8">
        <v>1.0909997743927312E-3</v>
      </c>
      <c r="AM120" s="8">
        <v>5.1740564702262145E-3</v>
      </c>
      <c r="AN120" s="8">
        <v>2.054823426872694E-4</v>
      </c>
    </row>
    <row r="121" spans="1:40" x14ac:dyDescent="0.2">
      <c r="A121" t="s">
        <v>148</v>
      </c>
      <c r="B121">
        <v>2010</v>
      </c>
      <c r="C121" t="s">
        <v>150</v>
      </c>
      <c r="D121" s="7">
        <v>120</v>
      </c>
      <c r="E121" s="7">
        <v>67</v>
      </c>
      <c r="F121" s="7">
        <v>58</v>
      </c>
      <c r="G121" s="7">
        <v>55</v>
      </c>
      <c r="H121" s="7">
        <v>39</v>
      </c>
      <c r="I121" s="7">
        <v>55</v>
      </c>
      <c r="J121" s="7">
        <v>149</v>
      </c>
      <c r="K121" s="16">
        <f>SUM(D121:J121)</f>
        <v>543</v>
      </c>
      <c r="L121" s="28">
        <v>247</v>
      </c>
      <c r="M121" s="28">
        <v>597</v>
      </c>
      <c r="N121" s="7">
        <v>1068</v>
      </c>
      <c r="O121" s="16">
        <f t="shared" si="2"/>
        <v>1912</v>
      </c>
      <c r="P121" s="7">
        <v>2455</v>
      </c>
      <c r="Q121" s="7">
        <v>855937.99299999967</v>
      </c>
      <c r="R121" s="7">
        <v>1766228.7700000005</v>
      </c>
      <c r="S121" s="7">
        <v>1827369.9670000002</v>
      </c>
      <c r="T121" s="7">
        <v>1773201.8840000001</v>
      </c>
      <c r="U121" s="7">
        <v>1799088.5200000003</v>
      </c>
      <c r="V121" s="7">
        <v>1878514.0919999997</v>
      </c>
      <c r="W121" s="7">
        <v>1410095.5449999997</v>
      </c>
      <c r="X121" s="16">
        <f>SUM(Q121:W121)</f>
        <v>11310436.771</v>
      </c>
      <c r="Y121" s="28">
        <v>825436.33800000022</v>
      </c>
      <c r="Z121" s="28">
        <v>534431.69700000004</v>
      </c>
      <c r="AA121" s="7">
        <v>228987.07499999995</v>
      </c>
      <c r="AB121" s="16">
        <f t="shared" si="3"/>
        <v>1588855.11</v>
      </c>
      <c r="AC121" s="7">
        <v>12899291.880999999</v>
      </c>
      <c r="AD121" s="8">
        <v>1.4019707149510777E-4</v>
      </c>
      <c r="AE121" s="8">
        <v>3.7933930835018606E-5</v>
      </c>
      <c r="AF121" s="8">
        <v>3.1739604484809832E-5</v>
      </c>
      <c r="AG121" s="8">
        <v>3.1017336771564132E-5</v>
      </c>
      <c r="AH121" s="8">
        <v>2.1677643743733073E-5</v>
      </c>
      <c r="AI121" s="8">
        <v>2.927846015860498E-5</v>
      </c>
      <c r="AJ121" s="8">
        <v>1.056665986417254E-4</v>
      </c>
      <c r="AK121" s="8">
        <v>2.9923567527747962E-4</v>
      </c>
      <c r="AL121" s="8">
        <v>1.1170744612477579E-3</v>
      </c>
      <c r="AM121" s="8">
        <v>4.6640187006188024E-3</v>
      </c>
      <c r="AN121" s="8">
        <v>1.9032052477361877E-4</v>
      </c>
    </row>
    <row r="122" spans="1:40" x14ac:dyDescent="0.2">
      <c r="A122" t="s">
        <v>148</v>
      </c>
      <c r="B122">
        <v>2011</v>
      </c>
      <c r="C122" t="s">
        <v>151</v>
      </c>
      <c r="D122" s="7">
        <v>114</v>
      </c>
      <c r="E122" s="7">
        <v>65</v>
      </c>
      <c r="F122" s="7">
        <v>61</v>
      </c>
      <c r="G122" s="7">
        <v>55</v>
      </c>
      <c r="H122" s="7">
        <v>40</v>
      </c>
      <c r="I122" s="7">
        <v>65</v>
      </c>
      <c r="J122" s="7">
        <v>201</v>
      </c>
      <c r="K122" s="16">
        <f>SUM(D122:J122)</f>
        <v>601</v>
      </c>
      <c r="L122" s="28">
        <v>256</v>
      </c>
      <c r="M122" s="28">
        <v>625</v>
      </c>
      <c r="N122" s="7">
        <v>1168</v>
      </c>
      <c r="O122" s="16">
        <f t="shared" si="2"/>
        <v>2049</v>
      </c>
      <c r="P122" s="7">
        <v>2650</v>
      </c>
      <c r="Q122" s="7">
        <v>835803.59300000034</v>
      </c>
      <c r="R122" s="7">
        <v>1735350.4260000004</v>
      </c>
      <c r="S122" s="7">
        <v>1796793.002000001</v>
      </c>
      <c r="T122" s="7">
        <v>1758490.1930000004</v>
      </c>
      <c r="U122" s="7">
        <v>1746109.4530000002</v>
      </c>
      <c r="V122" s="7">
        <v>1850667.7210000001</v>
      </c>
      <c r="W122" s="7">
        <v>1427019.1689999998</v>
      </c>
      <c r="X122" s="16">
        <f>SUM(Q122:W122)</f>
        <v>11150233.557000002</v>
      </c>
      <c r="Y122" s="28">
        <v>830555.33499999985</v>
      </c>
      <c r="Z122" s="28">
        <v>525188.15099999995</v>
      </c>
      <c r="AA122" s="7">
        <v>228196.36399999991</v>
      </c>
      <c r="AB122" s="16">
        <f t="shared" si="3"/>
        <v>1583939.8499999996</v>
      </c>
      <c r="AC122" s="7">
        <v>12734173.407000002</v>
      </c>
      <c r="AD122" s="8">
        <v>1.3639568070150657E-4</v>
      </c>
      <c r="AE122" s="8">
        <v>3.7456411699984788E-5</v>
      </c>
      <c r="AF122" s="8">
        <v>3.3949375321531873E-5</v>
      </c>
      <c r="AG122" s="8">
        <v>3.1276830669251269E-5</v>
      </c>
      <c r="AH122" s="8">
        <v>2.2908071387664604E-5</v>
      </c>
      <c r="AI122" s="8">
        <v>3.5122458376740658E-5</v>
      </c>
      <c r="AJ122" s="8">
        <v>1.4085304834472062E-4</v>
      </c>
      <c r="AK122" s="8">
        <v>3.082275065995453E-4</v>
      </c>
      <c r="AL122" s="8">
        <v>1.1900496970656143E-3</v>
      </c>
      <c r="AM122" s="8">
        <v>5.1183988190101068E-3</v>
      </c>
      <c r="AN122" s="8">
        <v>2.081014538833977E-4</v>
      </c>
    </row>
    <row r="123" spans="1:40" x14ac:dyDescent="0.2">
      <c r="A123" t="s">
        <v>148</v>
      </c>
      <c r="B123">
        <v>2012</v>
      </c>
      <c r="C123" t="s">
        <v>152</v>
      </c>
      <c r="D123" s="7">
        <v>113</v>
      </c>
      <c r="E123" s="7">
        <v>57</v>
      </c>
      <c r="F123" s="7">
        <v>34</v>
      </c>
      <c r="G123" s="7">
        <v>42</v>
      </c>
      <c r="H123" s="7">
        <v>66</v>
      </c>
      <c r="I123" s="7">
        <v>71</v>
      </c>
      <c r="J123" s="7">
        <v>185</v>
      </c>
      <c r="K123" s="16">
        <f>SUM(D123:J123)</f>
        <v>568</v>
      </c>
      <c r="L123" s="28">
        <v>292</v>
      </c>
      <c r="M123" s="28">
        <v>559</v>
      </c>
      <c r="N123" s="7">
        <v>1132</v>
      </c>
      <c r="O123" s="16">
        <f t="shared" si="2"/>
        <v>1983</v>
      </c>
      <c r="P123" s="7">
        <v>2551</v>
      </c>
      <c r="Q123" s="7">
        <v>835363.44100000022</v>
      </c>
      <c r="R123" s="7">
        <v>1733534.223</v>
      </c>
      <c r="S123" s="7">
        <v>1803572.7579999992</v>
      </c>
      <c r="T123" s="7">
        <v>1778849.7599999991</v>
      </c>
      <c r="U123" s="7">
        <v>1734867.0759999992</v>
      </c>
      <c r="V123" s="7">
        <v>1859384.5529999996</v>
      </c>
      <c r="W123" s="7">
        <v>1483611.2219999998</v>
      </c>
      <c r="X123" s="16">
        <f>SUM(Q123:W123)</f>
        <v>11229183.032999996</v>
      </c>
      <c r="Y123" s="28">
        <v>863296.20400000003</v>
      </c>
      <c r="Z123" s="28">
        <v>531834.76800000004</v>
      </c>
      <c r="AA123" s="7">
        <v>236388.23699999999</v>
      </c>
      <c r="AB123" s="16">
        <f t="shared" si="3"/>
        <v>1631519.209</v>
      </c>
      <c r="AC123" s="7">
        <v>12860702.241999995</v>
      </c>
      <c r="AD123" s="8">
        <v>1.3527046367354731E-4</v>
      </c>
      <c r="AE123" s="8">
        <v>3.2880804568921391E-5</v>
      </c>
      <c r="AF123" s="8">
        <v>1.8851471252927417E-5</v>
      </c>
      <c r="AG123" s="8">
        <v>2.3610762946051174E-5</v>
      </c>
      <c r="AH123" s="8">
        <v>3.8043260439395203E-5</v>
      </c>
      <c r="AI123" s="8">
        <v>3.8184677766331867E-5</v>
      </c>
      <c r="AJ123" s="8">
        <v>1.2469574053949832E-4</v>
      </c>
      <c r="AK123" s="8">
        <v>3.3823848482947803E-4</v>
      </c>
      <c r="AL123" s="8">
        <v>1.0510783304035511E-3</v>
      </c>
      <c r="AM123" s="8">
        <v>4.7887323598085809E-3</v>
      </c>
      <c r="AN123" s="8">
        <v>1.9835619797409202E-4</v>
      </c>
    </row>
    <row r="124" spans="1:40" x14ac:dyDescent="0.2">
      <c r="A124" t="s">
        <v>148</v>
      </c>
      <c r="B124">
        <v>2013</v>
      </c>
      <c r="C124" t="s">
        <v>153</v>
      </c>
      <c r="D124" s="7">
        <v>104</v>
      </c>
      <c r="E124" s="7">
        <v>61</v>
      </c>
      <c r="F124" s="7">
        <v>55</v>
      </c>
      <c r="G124" s="7">
        <v>63</v>
      </c>
      <c r="H124" s="7">
        <v>44</v>
      </c>
      <c r="I124" s="7">
        <v>51</v>
      </c>
      <c r="J124" s="7">
        <v>182</v>
      </c>
      <c r="K124" s="16">
        <f>SUM(D124:J124)</f>
        <v>560</v>
      </c>
      <c r="L124" s="28">
        <v>315</v>
      </c>
      <c r="M124" s="28">
        <v>600</v>
      </c>
      <c r="N124" s="7">
        <v>1207</v>
      </c>
      <c r="O124" s="16">
        <f t="shared" si="2"/>
        <v>2122</v>
      </c>
      <c r="P124" s="7">
        <v>2682</v>
      </c>
      <c r="Q124" s="7">
        <v>819664.05100000033</v>
      </c>
      <c r="R124" s="7">
        <v>1718823.3050000009</v>
      </c>
      <c r="S124" s="7">
        <v>1788125.8360000004</v>
      </c>
      <c r="T124" s="7">
        <v>1774293.6040000003</v>
      </c>
      <c r="U124" s="7">
        <v>1704390.6010000005</v>
      </c>
      <c r="V124" s="7">
        <v>1832098.0699999996</v>
      </c>
      <c r="W124" s="7">
        <v>1508443.5910000002</v>
      </c>
      <c r="X124" s="16">
        <f>SUM(Q124:W124)</f>
        <v>11145839.058000002</v>
      </c>
      <c r="Y124" s="28">
        <v>884396.28399999987</v>
      </c>
      <c r="Z124" s="28">
        <v>515918.90700000006</v>
      </c>
      <c r="AA124" s="7">
        <v>238497.253</v>
      </c>
      <c r="AB124" s="16">
        <f t="shared" si="3"/>
        <v>1638812.4439999999</v>
      </c>
      <c r="AC124" s="7">
        <v>12784651.502000002</v>
      </c>
      <c r="AD124" s="8">
        <v>1.2688125076745614E-4</v>
      </c>
      <c r="AE124" s="8">
        <v>3.5489395461740013E-5</v>
      </c>
      <c r="AF124" s="8">
        <v>3.075846167685482E-5</v>
      </c>
      <c r="AG124" s="8">
        <v>3.5507088487481235E-5</v>
      </c>
      <c r="AH124" s="8">
        <v>2.5815678620959485E-5</v>
      </c>
      <c r="AI124" s="8">
        <v>2.7836937790126054E-5</v>
      </c>
      <c r="AJ124" s="8">
        <v>1.2065416372603353E-4</v>
      </c>
      <c r="AK124" s="8">
        <v>3.5617517361707961E-4</v>
      </c>
      <c r="AL124" s="8">
        <v>1.1629734670685367E-3</v>
      </c>
      <c r="AM124" s="8">
        <v>5.0608549357170161E-3</v>
      </c>
      <c r="AN124" s="8">
        <v>2.0978280085150807E-4</v>
      </c>
    </row>
    <row r="125" spans="1:40" x14ac:dyDescent="0.2">
      <c r="A125" t="s">
        <v>148</v>
      </c>
      <c r="B125">
        <v>2014</v>
      </c>
      <c r="C125" t="s">
        <v>154</v>
      </c>
      <c r="D125" s="7">
        <v>109</v>
      </c>
      <c r="E125" s="7">
        <v>44</v>
      </c>
      <c r="F125" s="7">
        <v>53</v>
      </c>
      <c r="G125" s="7">
        <v>65</v>
      </c>
      <c r="H125" s="7">
        <v>56</v>
      </c>
      <c r="I125" s="7">
        <v>96</v>
      </c>
      <c r="J125" s="7">
        <v>192</v>
      </c>
      <c r="K125" s="16">
        <f>SUM(D125:J125)</f>
        <v>615</v>
      </c>
      <c r="L125" s="28">
        <v>333</v>
      </c>
      <c r="M125" s="28">
        <v>577</v>
      </c>
      <c r="N125" s="7">
        <v>1215</v>
      </c>
      <c r="O125" s="16">
        <f t="shared" si="2"/>
        <v>2125</v>
      </c>
      <c r="P125" s="7">
        <v>2740</v>
      </c>
      <c r="Q125" s="7">
        <v>809143.67199999967</v>
      </c>
      <c r="R125" s="7">
        <v>1703469.4940000009</v>
      </c>
      <c r="S125" s="7">
        <v>1789891.4499999997</v>
      </c>
      <c r="T125" s="7">
        <v>1780434.4489999986</v>
      </c>
      <c r="U125" s="7">
        <v>1692588.361</v>
      </c>
      <c r="V125" s="7">
        <v>1808465.763</v>
      </c>
      <c r="W125" s="7">
        <v>1552111.8549999988</v>
      </c>
      <c r="X125" s="16">
        <f>SUM(Q125:W125)</f>
        <v>11136105.043999998</v>
      </c>
      <c r="Y125" s="28">
        <v>914954.05</v>
      </c>
      <c r="Z125" s="28">
        <v>515544.80899999978</v>
      </c>
      <c r="AA125" s="7">
        <v>239301.68100000007</v>
      </c>
      <c r="AB125" s="16">
        <f t="shared" si="3"/>
        <v>1669800.5399999998</v>
      </c>
      <c r="AC125" s="7">
        <v>12805905.583999999</v>
      </c>
      <c r="AD125" s="8">
        <v>1.3471031631574082E-4</v>
      </c>
      <c r="AE125" s="8">
        <v>2.5829637780410982E-5</v>
      </c>
      <c r="AF125" s="8">
        <v>2.9610734215195009E-5</v>
      </c>
      <c r="AG125" s="8">
        <v>3.6507943348606846E-5</v>
      </c>
      <c r="AH125" s="8">
        <v>3.308542188421677E-5</v>
      </c>
      <c r="AI125" s="8">
        <v>5.3083670127516811E-5</v>
      </c>
      <c r="AJ125" s="8">
        <v>1.2370242478432726E-4</v>
      </c>
      <c r="AK125" s="8">
        <v>3.6395270341718253E-4</v>
      </c>
      <c r="AL125" s="8">
        <v>1.1192043638635497E-3</v>
      </c>
      <c r="AM125" s="8">
        <v>5.0772731512905653E-3</v>
      </c>
      <c r="AN125" s="8">
        <v>2.1396378272719898E-4</v>
      </c>
    </row>
    <row r="126" spans="1:40" x14ac:dyDescent="0.2">
      <c r="A126" t="s">
        <v>148</v>
      </c>
      <c r="B126">
        <v>2015</v>
      </c>
      <c r="C126" t="s">
        <v>155</v>
      </c>
      <c r="D126" s="7">
        <v>94</v>
      </c>
      <c r="E126" s="7">
        <v>74</v>
      </c>
      <c r="F126" s="7">
        <v>58</v>
      </c>
      <c r="G126" s="7">
        <v>51</v>
      </c>
      <c r="H126" s="7">
        <v>91</v>
      </c>
      <c r="I126" s="7">
        <v>70</v>
      </c>
      <c r="J126" s="7">
        <v>190</v>
      </c>
      <c r="K126" s="16">
        <f>SUM(D126:J126)</f>
        <v>628</v>
      </c>
      <c r="L126" s="28">
        <v>315</v>
      </c>
      <c r="M126" s="28">
        <v>541</v>
      </c>
      <c r="N126" s="7">
        <v>1141</v>
      </c>
      <c r="O126" s="16">
        <f t="shared" si="2"/>
        <v>1997</v>
      </c>
      <c r="P126" s="7">
        <v>2625</v>
      </c>
      <c r="Q126" s="7">
        <v>825459.26699999999</v>
      </c>
      <c r="R126" s="7">
        <v>1749936.8999999997</v>
      </c>
      <c r="S126" s="7">
        <v>1828992.6499999994</v>
      </c>
      <c r="T126" s="7">
        <v>1826270.7339999995</v>
      </c>
      <c r="U126" s="7">
        <v>1733837.5449999997</v>
      </c>
      <c r="V126" s="7">
        <v>1846431.8189999994</v>
      </c>
      <c r="W126" s="7">
        <v>1631434.4549999996</v>
      </c>
      <c r="X126" s="16">
        <f>SUM(Q126:W126)</f>
        <v>11442363.369999997</v>
      </c>
      <c r="Y126" s="28">
        <v>984161.16100000043</v>
      </c>
      <c r="Z126" s="28">
        <v>544044.48399999994</v>
      </c>
      <c r="AA126" s="7">
        <v>246810.31799999997</v>
      </c>
      <c r="AB126" s="16">
        <f t="shared" si="3"/>
        <v>1775015.9630000005</v>
      </c>
      <c r="AC126" s="7">
        <v>13217379.332999997</v>
      </c>
      <c r="AD126" s="8">
        <v>1.1387600061918015E-4</v>
      </c>
      <c r="AE126" s="8">
        <v>4.2287239042733494E-5</v>
      </c>
      <c r="AF126" s="8">
        <v>3.1711445095200363E-5</v>
      </c>
      <c r="AG126" s="8">
        <v>2.7925760978656748E-5</v>
      </c>
      <c r="AH126" s="8">
        <v>5.2484732645468247E-5</v>
      </c>
      <c r="AI126" s="8">
        <v>3.7910958465778053E-5</v>
      </c>
      <c r="AJ126" s="8">
        <v>1.1646192675267487E-4</v>
      </c>
      <c r="AK126" s="8">
        <v>3.2006952975052413E-4</v>
      </c>
      <c r="AL126" s="8">
        <v>9.9440397965692832E-4</v>
      </c>
      <c r="AM126" s="8">
        <v>4.62298338759079E-3</v>
      </c>
      <c r="AN126" s="8">
        <v>1.9860215356353809E-4</v>
      </c>
    </row>
    <row r="127" spans="1:40" x14ac:dyDescent="0.2">
      <c r="A127" t="s">
        <v>148</v>
      </c>
      <c r="B127">
        <v>2016</v>
      </c>
      <c r="C127" t="s">
        <v>156</v>
      </c>
      <c r="D127" s="7">
        <v>118</v>
      </c>
      <c r="E127" s="7">
        <v>44</v>
      </c>
      <c r="F127" s="7">
        <v>61</v>
      </c>
      <c r="G127" s="7">
        <v>54</v>
      </c>
      <c r="H127" s="7">
        <v>47</v>
      </c>
      <c r="I127" s="7">
        <v>66</v>
      </c>
      <c r="J127" s="7">
        <v>217</v>
      </c>
      <c r="K127" s="16">
        <f>SUM(D127:J127)</f>
        <v>607</v>
      </c>
      <c r="L127" s="28">
        <v>333</v>
      </c>
      <c r="M127" s="28">
        <v>519</v>
      </c>
      <c r="N127" s="7">
        <v>947</v>
      </c>
      <c r="O127" s="16">
        <f t="shared" si="2"/>
        <v>1799</v>
      </c>
      <c r="P127" s="7">
        <v>2406</v>
      </c>
      <c r="Q127" s="7">
        <v>790068.90799999994</v>
      </c>
      <c r="R127" s="7">
        <v>1677065.0480000002</v>
      </c>
      <c r="S127" s="7">
        <v>1765652.6929999997</v>
      </c>
      <c r="T127" s="7">
        <v>1774104.5020000001</v>
      </c>
      <c r="U127" s="7">
        <v>1669832.5229999998</v>
      </c>
      <c r="V127" s="7">
        <v>1772172.6800000004</v>
      </c>
      <c r="W127" s="7">
        <v>1620208.7929999996</v>
      </c>
      <c r="X127" s="16">
        <f>SUM(Q127:W127)</f>
        <v>11069105.147</v>
      </c>
      <c r="Y127" s="28">
        <v>1004440.1870000004</v>
      </c>
      <c r="Z127" s="28">
        <v>535155.03800000018</v>
      </c>
      <c r="AA127" s="7">
        <v>246756.52200000003</v>
      </c>
      <c r="AB127" s="16">
        <f t="shared" si="3"/>
        <v>1786351.7470000007</v>
      </c>
      <c r="AC127" s="7">
        <v>12855456.894000001</v>
      </c>
      <c r="AD127" s="8">
        <v>1.49354061152347E-4</v>
      </c>
      <c r="AE127" s="8">
        <v>2.623631090068487E-5</v>
      </c>
      <c r="AF127" s="8">
        <v>3.4548130695145721E-5</v>
      </c>
      <c r="AG127" s="8">
        <v>3.0437891307487364E-5</v>
      </c>
      <c r="AH127" s="8">
        <v>2.8146535267836559E-5</v>
      </c>
      <c r="AI127" s="8">
        <v>3.7242420416953943E-5</v>
      </c>
      <c r="AJ127" s="8">
        <v>1.3393335534131993E-4</v>
      </c>
      <c r="AK127" s="8">
        <v>3.315279538890053E-4</v>
      </c>
      <c r="AL127" s="8">
        <v>9.6981241536961828E-4</v>
      </c>
      <c r="AM127" s="8">
        <v>3.8377911648471035E-3</v>
      </c>
      <c r="AN127" s="8">
        <v>1.8715787543287918E-4</v>
      </c>
    </row>
    <row r="128" spans="1:40" x14ac:dyDescent="0.2">
      <c r="A128" t="s">
        <v>148</v>
      </c>
      <c r="B128">
        <v>2017</v>
      </c>
      <c r="C128" t="s">
        <v>157</v>
      </c>
      <c r="D128" s="7">
        <v>127</v>
      </c>
      <c r="E128" s="7">
        <v>47</v>
      </c>
      <c r="F128" s="7">
        <v>49</v>
      </c>
      <c r="G128" s="7">
        <v>54</v>
      </c>
      <c r="H128" s="7">
        <v>60</v>
      </c>
      <c r="I128" s="7">
        <v>58</v>
      </c>
      <c r="J128" s="7">
        <v>202</v>
      </c>
      <c r="K128" s="16">
        <f>SUM(D128:J128)</f>
        <v>597</v>
      </c>
      <c r="L128" s="28">
        <v>370</v>
      </c>
      <c r="M128" s="28">
        <v>587</v>
      </c>
      <c r="N128" s="7">
        <v>1069</v>
      </c>
      <c r="O128" s="16">
        <f t="shared" si="2"/>
        <v>2026</v>
      </c>
      <c r="P128" s="7">
        <v>2623</v>
      </c>
      <c r="Q128" s="7">
        <v>796749</v>
      </c>
      <c r="R128" s="7">
        <v>1681593</v>
      </c>
      <c r="S128" s="7">
        <v>1770125</v>
      </c>
      <c r="T128" s="7">
        <v>1805074</v>
      </c>
      <c r="U128" s="7">
        <v>1683736</v>
      </c>
      <c r="V128" s="7">
        <v>1762858</v>
      </c>
      <c r="W128" s="7">
        <v>1659375</v>
      </c>
      <c r="X128" s="16">
        <f>SUM(Q128:W128)</f>
        <v>11159510</v>
      </c>
      <c r="Y128" s="28">
        <v>1062651</v>
      </c>
      <c r="Z128" s="28">
        <v>556719</v>
      </c>
      <c r="AA128" s="7">
        <v>252109</v>
      </c>
      <c r="AB128" s="16">
        <f t="shared" si="3"/>
        <v>1871479</v>
      </c>
      <c r="AC128" s="7">
        <v>13030989</v>
      </c>
      <c r="AD128" s="8">
        <v>1.5939775261719814E-4</v>
      </c>
      <c r="AE128" s="8">
        <v>2.7949688182574501E-5</v>
      </c>
      <c r="AF128" s="8">
        <v>2.7681660899653978E-5</v>
      </c>
      <c r="AG128" s="8">
        <v>2.9915671047281165E-5</v>
      </c>
      <c r="AH128" s="8">
        <v>3.5635040172568621E-5</v>
      </c>
      <c r="AI128" s="8">
        <v>3.2901118524577701E-5</v>
      </c>
      <c r="AJ128" s="8">
        <v>1.2173258003766478E-4</v>
      </c>
      <c r="AK128" s="8">
        <v>3.4818581076948122E-4</v>
      </c>
      <c r="AL128" s="8">
        <v>1.0543918924987292E-3</v>
      </c>
      <c r="AM128" s="8">
        <v>4.2402294245742914E-3</v>
      </c>
      <c r="AN128" s="8">
        <v>2.0128940328320436E-4</v>
      </c>
    </row>
    <row r="129" spans="1:40" x14ac:dyDescent="0.2">
      <c r="A129" t="s">
        <v>158</v>
      </c>
      <c r="B129">
        <v>2009</v>
      </c>
      <c r="C129" t="s">
        <v>159</v>
      </c>
      <c r="D129" s="7">
        <v>85</v>
      </c>
      <c r="E129" s="7">
        <v>61</v>
      </c>
      <c r="F129" s="7">
        <v>58</v>
      </c>
      <c r="G129" s="7">
        <v>62</v>
      </c>
      <c r="H129" s="7">
        <v>63</v>
      </c>
      <c r="I129" s="7">
        <v>48</v>
      </c>
      <c r="J129" s="7">
        <v>73</v>
      </c>
      <c r="K129" s="16">
        <f>SUM(D129:J129)</f>
        <v>450</v>
      </c>
      <c r="L129" s="28">
        <v>109</v>
      </c>
      <c r="M129" s="28">
        <v>296</v>
      </c>
      <c r="N129" s="7">
        <v>537</v>
      </c>
      <c r="O129" s="16">
        <f t="shared" si="2"/>
        <v>942</v>
      </c>
      <c r="P129" s="7">
        <v>1392</v>
      </c>
      <c r="Q129" s="7">
        <v>445484.03899999993</v>
      </c>
      <c r="R129" s="7">
        <v>880407.478</v>
      </c>
      <c r="S129" s="7">
        <v>916661.60699999984</v>
      </c>
      <c r="T129" s="7">
        <v>833692.16899999999</v>
      </c>
      <c r="U129" s="7">
        <v>886763.32000000018</v>
      </c>
      <c r="V129" s="7">
        <v>933523.06499999994</v>
      </c>
      <c r="W129" s="7">
        <v>694889.69800000032</v>
      </c>
      <c r="X129" s="16">
        <f>SUM(Q129:W129)</f>
        <v>5591421.3760000002</v>
      </c>
      <c r="Y129" s="28">
        <v>416763.57300000003</v>
      </c>
      <c r="Z129" s="28">
        <v>280877.46899999987</v>
      </c>
      <c r="AA129" s="7">
        <v>109598.07300000003</v>
      </c>
      <c r="AB129" s="16">
        <f t="shared" si="3"/>
        <v>807239.11499999999</v>
      </c>
      <c r="AC129" s="7">
        <v>6398660.4909999995</v>
      </c>
      <c r="AD129" s="8">
        <v>1.9080369341807106E-4</v>
      </c>
      <c r="AE129" s="8">
        <v>6.9286099362277345E-5</v>
      </c>
      <c r="AF129" s="8">
        <v>6.3273076517101265E-5</v>
      </c>
      <c r="AG129" s="8">
        <v>7.436797694089892E-5</v>
      </c>
      <c r="AH129" s="8">
        <v>7.1044887152075698E-5</v>
      </c>
      <c r="AI129" s="8">
        <v>5.1418118951351246E-5</v>
      </c>
      <c r="AJ129" s="8">
        <v>1.0505264390896175E-4</v>
      </c>
      <c r="AK129" s="8">
        <v>2.6153917247465384E-4</v>
      </c>
      <c r="AL129" s="8">
        <v>1.0538403135496787E-3</v>
      </c>
      <c r="AM129" s="8">
        <v>4.8997211839664359E-3</v>
      </c>
      <c r="AN129" s="8">
        <v>2.1754553190592155E-4</v>
      </c>
    </row>
    <row r="130" spans="1:40" x14ac:dyDescent="0.2">
      <c r="A130" t="s">
        <v>158</v>
      </c>
      <c r="B130">
        <v>2010</v>
      </c>
      <c r="C130" t="s">
        <v>160</v>
      </c>
      <c r="D130" s="7">
        <v>116</v>
      </c>
      <c r="E130" s="7">
        <v>64</v>
      </c>
      <c r="F130" s="7">
        <v>60</v>
      </c>
      <c r="G130" s="7">
        <v>72</v>
      </c>
      <c r="H130" s="7">
        <v>47</v>
      </c>
      <c r="I130" s="7">
        <v>76</v>
      </c>
      <c r="J130" s="7">
        <v>76</v>
      </c>
      <c r="K130" s="16">
        <f>SUM(D130:J130)</f>
        <v>511</v>
      </c>
      <c r="L130" s="28">
        <v>125</v>
      </c>
      <c r="M130" s="28">
        <v>311</v>
      </c>
      <c r="N130" s="7">
        <v>549</v>
      </c>
      <c r="O130" s="16">
        <f t="shared" si="2"/>
        <v>985</v>
      </c>
      <c r="P130" s="7">
        <v>1496</v>
      </c>
      <c r="Q130" s="7">
        <v>438409.83199999999</v>
      </c>
      <c r="R130" s="7">
        <v>901705.74999999977</v>
      </c>
      <c r="S130" s="7">
        <v>933794.42100000032</v>
      </c>
      <c r="T130" s="7">
        <v>829369.94</v>
      </c>
      <c r="U130" s="7">
        <v>876615.32399999991</v>
      </c>
      <c r="V130" s="7">
        <v>947511.21699999983</v>
      </c>
      <c r="W130" s="7">
        <v>730096.92200000014</v>
      </c>
      <c r="X130" s="16">
        <f>SUM(Q130:W130)</f>
        <v>5657503.4060000004</v>
      </c>
      <c r="Y130" s="28">
        <v>434372.40200000018</v>
      </c>
      <c r="Z130" s="28">
        <v>281983.99</v>
      </c>
      <c r="AA130" s="7">
        <v>108963.40199999996</v>
      </c>
      <c r="AB130" s="16">
        <f t="shared" si="3"/>
        <v>825319.79400000023</v>
      </c>
      <c r="AC130" s="7">
        <v>6482823.2000000002</v>
      </c>
      <c r="AD130" s="8">
        <v>2.6459260612567647E-4</v>
      </c>
      <c r="AE130" s="8">
        <v>7.0976590755909028E-5</v>
      </c>
      <c r="AF130" s="8">
        <v>6.4253971378139108E-5</v>
      </c>
      <c r="AG130" s="8">
        <v>8.6812888347508722E-5</v>
      </c>
      <c r="AH130" s="8">
        <v>5.3615307322644981E-5</v>
      </c>
      <c r="AI130" s="8">
        <v>8.021013222474601E-5</v>
      </c>
      <c r="AJ130" s="8">
        <v>1.0409576826020366E-4</v>
      </c>
      <c r="AK130" s="8">
        <v>2.8777150533610546E-4</v>
      </c>
      <c r="AL130" s="8">
        <v>1.1028994944003736E-3</v>
      </c>
      <c r="AM130" s="8">
        <v>5.0383889445742543E-3</v>
      </c>
      <c r="AN130" s="8">
        <v>2.3076365864797916E-4</v>
      </c>
    </row>
    <row r="131" spans="1:40" x14ac:dyDescent="0.2">
      <c r="A131" t="s">
        <v>158</v>
      </c>
      <c r="B131">
        <v>2011</v>
      </c>
      <c r="C131" t="s">
        <v>161</v>
      </c>
      <c r="D131" s="7">
        <v>112</v>
      </c>
      <c r="E131" s="7">
        <v>47</v>
      </c>
      <c r="F131" s="7">
        <v>61</v>
      </c>
      <c r="G131" s="7">
        <v>43</v>
      </c>
      <c r="H131" s="7">
        <v>52</v>
      </c>
      <c r="I131" s="7">
        <v>43</v>
      </c>
      <c r="J131" s="7">
        <v>51</v>
      </c>
      <c r="K131" s="16">
        <f>SUM(D131:J131)</f>
        <v>409</v>
      </c>
      <c r="L131" s="28">
        <v>111</v>
      </c>
      <c r="M131" s="28">
        <v>250</v>
      </c>
      <c r="N131" s="7">
        <v>458</v>
      </c>
      <c r="O131" s="16">
        <f t="shared" si="2"/>
        <v>819</v>
      </c>
      <c r="P131" s="7">
        <v>1228</v>
      </c>
      <c r="Q131" s="7">
        <v>421952.53599999985</v>
      </c>
      <c r="R131" s="7">
        <v>865214.68500000006</v>
      </c>
      <c r="S131" s="7">
        <v>904038.2629999998</v>
      </c>
      <c r="T131" s="7">
        <v>803250.14299999992</v>
      </c>
      <c r="U131" s="7">
        <v>828416.52399999998</v>
      </c>
      <c r="V131" s="7">
        <v>910538.80699999991</v>
      </c>
      <c r="W131" s="7">
        <v>725267.67899999954</v>
      </c>
      <c r="X131" s="16">
        <f>SUM(Q131:W131)</f>
        <v>5458678.6369999992</v>
      </c>
      <c r="Y131" s="28">
        <v>425792.96900000004</v>
      </c>
      <c r="Z131" s="28">
        <v>268978.83299999987</v>
      </c>
      <c r="AA131" s="7">
        <v>106506.72300000001</v>
      </c>
      <c r="AB131" s="16">
        <f t="shared" si="3"/>
        <v>801278.52499999991</v>
      </c>
      <c r="AC131" s="7">
        <v>6259957.1619999986</v>
      </c>
      <c r="AD131" s="8">
        <v>2.6543269786154347E-4</v>
      </c>
      <c r="AE131" s="8">
        <v>5.4321777952717014E-5</v>
      </c>
      <c r="AF131" s="8">
        <v>6.7475020136398815E-5</v>
      </c>
      <c r="AG131" s="8">
        <v>5.3532514590538958E-5</v>
      </c>
      <c r="AH131" s="8">
        <v>6.277035584577499E-5</v>
      </c>
      <c r="AI131" s="8">
        <v>4.7224785664736645E-5</v>
      </c>
      <c r="AJ131" s="8">
        <v>7.0318864988329403E-5</v>
      </c>
      <c r="AK131" s="8">
        <v>2.6069007259722971E-4</v>
      </c>
      <c r="AL131" s="8">
        <v>9.2944116535742473E-4</v>
      </c>
      <c r="AM131" s="8">
        <v>4.300198025996912E-3</v>
      </c>
      <c r="AN131" s="8">
        <v>1.9616747658504188E-4</v>
      </c>
    </row>
    <row r="132" spans="1:40" x14ac:dyDescent="0.2">
      <c r="A132" t="s">
        <v>158</v>
      </c>
      <c r="B132">
        <v>2012</v>
      </c>
      <c r="C132" t="s">
        <v>162</v>
      </c>
      <c r="D132" s="7">
        <v>80</v>
      </c>
      <c r="E132" s="7">
        <v>66</v>
      </c>
      <c r="F132" s="7">
        <v>66</v>
      </c>
      <c r="G132" s="7">
        <v>42</v>
      </c>
      <c r="H132" s="7">
        <v>47</v>
      </c>
      <c r="I132" s="7">
        <v>54</v>
      </c>
      <c r="J132" s="7">
        <v>67</v>
      </c>
      <c r="K132" s="16">
        <f>SUM(D132:J132)</f>
        <v>422</v>
      </c>
      <c r="L132" s="28">
        <v>73</v>
      </c>
      <c r="M132" s="28">
        <v>244</v>
      </c>
      <c r="N132" s="7">
        <v>472</v>
      </c>
      <c r="O132" s="16">
        <f t="shared" ref="O132:O195" si="4">SUM(L132:N132)</f>
        <v>789</v>
      </c>
      <c r="P132" s="7">
        <v>1211</v>
      </c>
      <c r="Q132" s="7">
        <v>433364.79300000018</v>
      </c>
      <c r="R132" s="7">
        <v>895853.04499999993</v>
      </c>
      <c r="S132" s="7">
        <v>937277.76699999976</v>
      </c>
      <c r="T132" s="7">
        <v>833144.76199999999</v>
      </c>
      <c r="U132" s="7">
        <v>846372.7860000002</v>
      </c>
      <c r="V132" s="7">
        <v>941507.91300000006</v>
      </c>
      <c r="W132" s="7">
        <v>777406.2790000001</v>
      </c>
      <c r="X132" s="16">
        <f>SUM(Q132:W132)</f>
        <v>5664927.3449999997</v>
      </c>
      <c r="Y132" s="28">
        <v>462373.93999999983</v>
      </c>
      <c r="Z132" s="28">
        <v>281626.21399999998</v>
      </c>
      <c r="AA132" s="7">
        <v>113917.7</v>
      </c>
      <c r="AB132" s="16">
        <f t="shared" ref="AB132:AB195" si="5">SUM(Y132:AA132)</f>
        <v>857917.85399999982</v>
      </c>
      <c r="AC132" s="7">
        <v>6522845.1989999991</v>
      </c>
      <c r="AD132" s="8">
        <v>1.8460198265344543E-4</v>
      </c>
      <c r="AE132" s="8">
        <v>7.3672797528974185E-5</v>
      </c>
      <c r="AF132" s="8">
        <v>7.0416692173601962E-5</v>
      </c>
      <c r="AG132" s="8">
        <v>5.0411407375564823E-5</v>
      </c>
      <c r="AH132" s="8">
        <v>5.5531086038487052E-5</v>
      </c>
      <c r="AI132" s="8">
        <v>5.7354802072704403E-5</v>
      </c>
      <c r="AJ132" s="8">
        <v>8.6184022190024002E-5</v>
      </c>
      <c r="AK132" s="8">
        <v>1.5788087018918069E-4</v>
      </c>
      <c r="AL132" s="8">
        <v>8.66396620308932E-4</v>
      </c>
      <c r="AM132" s="8">
        <v>4.1433420794134718E-3</v>
      </c>
      <c r="AN132" s="8">
        <v>1.8565518007167414E-4</v>
      </c>
    </row>
    <row r="133" spans="1:40" x14ac:dyDescent="0.2">
      <c r="A133" t="s">
        <v>158</v>
      </c>
      <c r="B133">
        <v>2013</v>
      </c>
      <c r="C133" t="s">
        <v>163</v>
      </c>
      <c r="D133" s="7">
        <v>114</v>
      </c>
      <c r="E133" s="7">
        <v>64</v>
      </c>
      <c r="F133" s="7">
        <v>52</v>
      </c>
      <c r="G133" s="7">
        <v>42</v>
      </c>
      <c r="H133" s="7">
        <v>55</v>
      </c>
      <c r="I133" s="7">
        <v>75</v>
      </c>
      <c r="J133" s="7">
        <v>94</v>
      </c>
      <c r="K133" s="16">
        <f>SUM(D133:J133)</f>
        <v>496</v>
      </c>
      <c r="L133" s="28">
        <v>116</v>
      </c>
      <c r="M133" s="28">
        <v>265</v>
      </c>
      <c r="N133" s="7">
        <v>532</v>
      </c>
      <c r="O133" s="16">
        <f t="shared" si="4"/>
        <v>913</v>
      </c>
      <c r="P133" s="7">
        <v>1409</v>
      </c>
      <c r="Q133" s="7">
        <v>432238.38300000003</v>
      </c>
      <c r="R133" s="7">
        <v>905048.11699999997</v>
      </c>
      <c r="S133" s="7">
        <v>940396.4049999998</v>
      </c>
      <c r="T133" s="7">
        <v>841070.85999999987</v>
      </c>
      <c r="U133" s="7">
        <v>842580.99799999991</v>
      </c>
      <c r="V133" s="7">
        <v>936246.79099999962</v>
      </c>
      <c r="W133" s="7">
        <v>801339.7139999998</v>
      </c>
      <c r="X133" s="16">
        <f>SUM(Q133:W133)</f>
        <v>5698921.2679999983</v>
      </c>
      <c r="Y133" s="28">
        <v>475461.81999999995</v>
      </c>
      <c r="Z133" s="28">
        <v>276490.31200000009</v>
      </c>
      <c r="AA133" s="7">
        <v>117880.46500000007</v>
      </c>
      <c r="AB133" s="16">
        <f t="shared" si="5"/>
        <v>869832.59700000007</v>
      </c>
      <c r="AC133" s="7">
        <v>6568753.8649999984</v>
      </c>
      <c r="AD133" s="8">
        <v>2.6374335201045761E-4</v>
      </c>
      <c r="AE133" s="8">
        <v>7.0714472300261144E-5</v>
      </c>
      <c r="AF133" s="8">
        <v>5.5295830272766742E-5</v>
      </c>
      <c r="AG133" s="8">
        <v>4.993633948987367E-5</v>
      </c>
      <c r="AH133" s="8">
        <v>6.5275623507474358E-5</v>
      </c>
      <c r="AI133" s="8">
        <v>8.01070836460683E-5</v>
      </c>
      <c r="AJ133" s="8">
        <v>1.173035584755756E-4</v>
      </c>
      <c r="AK133" s="8">
        <v>2.4397332261084605E-4</v>
      </c>
      <c r="AL133" s="8">
        <v>9.5844226180337162E-4</v>
      </c>
      <c r="AM133" s="8">
        <v>4.5130463304500854E-3</v>
      </c>
      <c r="AN133" s="8">
        <v>2.1450034952710172E-4</v>
      </c>
    </row>
    <row r="134" spans="1:40" x14ac:dyDescent="0.2">
      <c r="A134" t="s">
        <v>158</v>
      </c>
      <c r="B134">
        <v>2014</v>
      </c>
      <c r="C134" t="s">
        <v>164</v>
      </c>
      <c r="D134" s="7">
        <v>85</v>
      </c>
      <c r="E134" s="7">
        <v>66</v>
      </c>
      <c r="F134" s="7">
        <v>60</v>
      </c>
      <c r="G134" s="7">
        <v>55</v>
      </c>
      <c r="H134" s="7">
        <v>59</v>
      </c>
      <c r="I134" s="7">
        <v>35</v>
      </c>
      <c r="J134" s="7">
        <v>111</v>
      </c>
      <c r="K134" s="16">
        <f>SUM(D134:J134)</f>
        <v>471</v>
      </c>
      <c r="L134" s="28">
        <v>124</v>
      </c>
      <c r="M134" s="28">
        <v>250</v>
      </c>
      <c r="N134" s="7">
        <v>455</v>
      </c>
      <c r="O134" s="16">
        <f t="shared" si="4"/>
        <v>829</v>
      </c>
      <c r="P134" s="7">
        <v>1300</v>
      </c>
      <c r="Q134" s="7">
        <v>414555.74900000024</v>
      </c>
      <c r="R134" s="7">
        <v>871886.13899999997</v>
      </c>
      <c r="S134" s="7">
        <v>912987.75300000014</v>
      </c>
      <c r="T134" s="7">
        <v>815604.92200000002</v>
      </c>
      <c r="U134" s="7">
        <v>809099.40799999982</v>
      </c>
      <c r="V134" s="7">
        <v>891635.68700000015</v>
      </c>
      <c r="W134" s="7">
        <v>789339.071</v>
      </c>
      <c r="X134" s="16">
        <f>SUM(Q134:W134)</f>
        <v>5505108.7290000003</v>
      </c>
      <c r="Y134" s="28">
        <v>479407.09299999988</v>
      </c>
      <c r="Z134" s="28">
        <v>269532.28200000001</v>
      </c>
      <c r="AA134" s="7">
        <v>117989.35100000002</v>
      </c>
      <c r="AB134" s="16">
        <f t="shared" si="5"/>
        <v>866928.72599999991</v>
      </c>
      <c r="AC134" s="7">
        <v>6372037.4550000001</v>
      </c>
      <c r="AD134" s="8">
        <v>2.0503876789801785E-4</v>
      </c>
      <c r="AE134" s="8">
        <v>7.5697957620587893E-5</v>
      </c>
      <c r="AF134" s="8">
        <v>6.5718296661532535E-5</v>
      </c>
      <c r="AG134" s="8">
        <v>6.7434610209475904E-5</v>
      </c>
      <c r="AH134" s="8">
        <v>7.2920582337145912E-5</v>
      </c>
      <c r="AI134" s="8">
        <v>3.9253700261550872E-5</v>
      </c>
      <c r="AJ134" s="8">
        <v>1.4062397780383027E-4</v>
      </c>
      <c r="AK134" s="8">
        <v>2.5865282723299223E-4</v>
      </c>
      <c r="AL134" s="8">
        <v>9.2753268048240687E-4</v>
      </c>
      <c r="AM134" s="8">
        <v>3.8562802163391841E-3</v>
      </c>
      <c r="AN134" s="8">
        <v>2.0401637767837006E-4</v>
      </c>
    </row>
    <row r="135" spans="1:40" x14ac:dyDescent="0.2">
      <c r="A135" t="s">
        <v>158</v>
      </c>
      <c r="B135">
        <v>2015</v>
      </c>
      <c r="C135" t="s">
        <v>165</v>
      </c>
      <c r="D135" s="7">
        <v>97</v>
      </c>
      <c r="E135" s="7">
        <v>36</v>
      </c>
      <c r="F135" s="7">
        <v>73</v>
      </c>
      <c r="G135" s="7">
        <v>66</v>
      </c>
      <c r="H135" s="7">
        <v>64</v>
      </c>
      <c r="I135" s="7">
        <v>59</v>
      </c>
      <c r="J135" s="7">
        <v>60</v>
      </c>
      <c r="K135" s="16">
        <f>SUM(D135:J135)</f>
        <v>455</v>
      </c>
      <c r="L135" s="28">
        <v>131</v>
      </c>
      <c r="M135" s="28">
        <v>273</v>
      </c>
      <c r="N135" s="7">
        <v>480</v>
      </c>
      <c r="O135" s="16">
        <f t="shared" si="4"/>
        <v>884</v>
      </c>
      <c r="P135" s="7">
        <v>1339</v>
      </c>
      <c r="Q135" s="7">
        <v>417307.3930000001</v>
      </c>
      <c r="R135" s="7">
        <v>886905.64199999999</v>
      </c>
      <c r="S135" s="7">
        <v>932692.18500000052</v>
      </c>
      <c r="T135" s="7">
        <v>840201.98099999956</v>
      </c>
      <c r="U135" s="7">
        <v>825370.87899999972</v>
      </c>
      <c r="V135" s="7">
        <v>900074.82200000004</v>
      </c>
      <c r="W135" s="7">
        <v>826076.70700000017</v>
      </c>
      <c r="X135" s="16">
        <f>SUM(Q135:W135)</f>
        <v>5628629.6090000002</v>
      </c>
      <c r="Y135" s="28">
        <v>514590.47200000001</v>
      </c>
      <c r="Z135" s="28">
        <v>276055.10800000007</v>
      </c>
      <c r="AA135" s="7">
        <v>120984.08499999999</v>
      </c>
      <c r="AB135" s="16">
        <f t="shared" si="5"/>
        <v>911629.66500000004</v>
      </c>
      <c r="AC135" s="7">
        <v>6540259.2740000002</v>
      </c>
      <c r="AD135" s="8">
        <v>2.3244256302931105E-4</v>
      </c>
      <c r="AE135" s="8">
        <v>4.0590563747930244E-5</v>
      </c>
      <c r="AF135" s="8">
        <v>7.8268051532993127E-5</v>
      </c>
      <c r="AG135" s="8">
        <v>7.8552540332560856E-5</v>
      </c>
      <c r="AH135" s="8">
        <v>7.7540899041096431E-5</v>
      </c>
      <c r="AI135" s="8">
        <v>6.555010601107559E-5</v>
      </c>
      <c r="AJ135" s="8">
        <v>7.2632480121485841E-5</v>
      </c>
      <c r="AK135" s="8">
        <v>2.5457136719002447E-4</v>
      </c>
      <c r="AL135" s="8">
        <v>9.8893297783136805E-4</v>
      </c>
      <c r="AM135" s="8">
        <v>3.967463985035718E-3</v>
      </c>
      <c r="AN135" s="8">
        <v>2.0473194469874161E-4</v>
      </c>
    </row>
    <row r="136" spans="1:40" x14ac:dyDescent="0.2">
      <c r="A136" t="s">
        <v>158</v>
      </c>
      <c r="B136">
        <v>2016</v>
      </c>
      <c r="C136" t="s">
        <v>166</v>
      </c>
      <c r="D136" s="7">
        <v>123</v>
      </c>
      <c r="E136" s="7">
        <v>52</v>
      </c>
      <c r="F136" s="7">
        <v>69</v>
      </c>
      <c r="G136" s="7">
        <v>70</v>
      </c>
      <c r="H136" s="7">
        <v>48</v>
      </c>
      <c r="I136" s="7">
        <v>66</v>
      </c>
      <c r="J136" s="7">
        <v>90</v>
      </c>
      <c r="K136" s="16">
        <f>SUM(D136:J136)</f>
        <v>518</v>
      </c>
      <c r="L136" s="28">
        <v>152</v>
      </c>
      <c r="M136" s="28">
        <v>229</v>
      </c>
      <c r="N136" s="7">
        <v>387</v>
      </c>
      <c r="O136" s="16">
        <f t="shared" si="4"/>
        <v>768</v>
      </c>
      <c r="P136" s="7">
        <v>1286</v>
      </c>
      <c r="Q136" s="7">
        <v>429570.88999999996</v>
      </c>
      <c r="R136" s="7">
        <v>905272.04400000034</v>
      </c>
      <c r="S136" s="7">
        <v>953548.07800000021</v>
      </c>
      <c r="T136" s="7">
        <v>861193.03100000031</v>
      </c>
      <c r="U136" s="7">
        <v>829666.7270000003</v>
      </c>
      <c r="V136" s="7">
        <v>897804.91099999973</v>
      </c>
      <c r="W136" s="7">
        <v>851302.17999999959</v>
      </c>
      <c r="X136" s="16">
        <f>SUM(Q136:W136)</f>
        <v>5728357.8610000005</v>
      </c>
      <c r="Y136" s="28">
        <v>544931.18799999997</v>
      </c>
      <c r="Z136" s="28">
        <v>286426.09500000015</v>
      </c>
      <c r="AA136" s="7">
        <v>125731.03899999999</v>
      </c>
      <c r="AB136" s="16">
        <f t="shared" si="5"/>
        <v>957088.32200000004</v>
      </c>
      <c r="AC136" s="7">
        <v>6685446.1830000002</v>
      </c>
      <c r="AD136" s="8">
        <v>2.8633225123797382E-4</v>
      </c>
      <c r="AE136" s="8">
        <v>5.7441296618676962E-5</v>
      </c>
      <c r="AF136" s="8">
        <v>7.2361322509005132E-5</v>
      </c>
      <c r="AG136" s="8">
        <v>8.1282589942370276E-5</v>
      </c>
      <c r="AH136" s="8">
        <v>5.7854555857101381E-5</v>
      </c>
      <c r="AI136" s="8">
        <v>7.3512629738778536E-5</v>
      </c>
      <c r="AJ136" s="8">
        <v>1.0572039178849517E-4</v>
      </c>
      <c r="AK136" s="8">
        <v>2.7893430096718932E-4</v>
      </c>
      <c r="AL136" s="8">
        <v>7.995081593386241E-4</v>
      </c>
      <c r="AM136" s="8">
        <v>3.0779989020849499E-3</v>
      </c>
      <c r="AN136" s="8">
        <v>1.923581410721828E-4</v>
      </c>
    </row>
    <row r="137" spans="1:40" x14ac:dyDescent="0.2">
      <c r="A137" t="s">
        <v>158</v>
      </c>
      <c r="B137">
        <v>2017</v>
      </c>
      <c r="C137" t="s">
        <v>167</v>
      </c>
      <c r="D137" s="7">
        <v>111</v>
      </c>
      <c r="E137" s="7">
        <v>52</v>
      </c>
      <c r="F137" s="7">
        <v>52</v>
      </c>
      <c r="G137" s="7">
        <v>56</v>
      </c>
      <c r="H137" s="7">
        <v>60</v>
      </c>
      <c r="I137" s="7">
        <v>72</v>
      </c>
      <c r="J137" s="7">
        <v>84</v>
      </c>
      <c r="K137" s="16">
        <f>SUM(D137:J137)</f>
        <v>487</v>
      </c>
      <c r="L137" s="28">
        <v>162</v>
      </c>
      <c r="M137" s="28">
        <v>276</v>
      </c>
      <c r="N137" s="7">
        <v>456</v>
      </c>
      <c r="O137" s="16">
        <f t="shared" si="4"/>
        <v>894</v>
      </c>
      <c r="P137" s="7">
        <v>1381</v>
      </c>
      <c r="Q137" s="7">
        <v>426094</v>
      </c>
      <c r="R137" s="7">
        <v>901295</v>
      </c>
      <c r="S137" s="7">
        <v>964868</v>
      </c>
      <c r="T137" s="7">
        <v>867615</v>
      </c>
      <c r="U137" s="7">
        <v>837078</v>
      </c>
      <c r="V137" s="7">
        <v>893061</v>
      </c>
      <c r="W137" s="7">
        <v>872338</v>
      </c>
      <c r="X137" s="16">
        <f>SUM(Q137:W137)</f>
        <v>5762349</v>
      </c>
      <c r="Y137" s="28">
        <v>575878</v>
      </c>
      <c r="Z137" s="28">
        <v>292902</v>
      </c>
      <c r="AA137" s="7">
        <v>130689</v>
      </c>
      <c r="AB137" s="16">
        <f t="shared" si="5"/>
        <v>999469</v>
      </c>
      <c r="AC137" s="7">
        <v>6761818</v>
      </c>
      <c r="AD137" s="8">
        <v>2.605058977596493E-4</v>
      </c>
      <c r="AE137" s="8">
        <v>5.7694761426613926E-5</v>
      </c>
      <c r="AF137" s="8">
        <v>5.3893382307217155E-5</v>
      </c>
      <c r="AG137" s="8">
        <v>6.4544757755456049E-5</v>
      </c>
      <c r="AH137" s="8">
        <v>7.1677908151928494E-5</v>
      </c>
      <c r="AI137" s="8">
        <v>8.0621592478005418E-5</v>
      </c>
      <c r="AJ137" s="8">
        <v>9.6292950668204293E-5</v>
      </c>
      <c r="AK137" s="8">
        <v>2.813095829324961E-4</v>
      </c>
      <c r="AL137" s="8">
        <v>9.4229469242272158E-4</v>
      </c>
      <c r="AM137" s="8">
        <v>3.4891995500768999E-3</v>
      </c>
      <c r="AN137" s="8">
        <v>2.0423501490279686E-4</v>
      </c>
    </row>
    <row r="138" spans="1:40" x14ac:dyDescent="0.2">
      <c r="A138" t="s">
        <v>168</v>
      </c>
      <c r="B138">
        <v>2009</v>
      </c>
      <c r="C138" t="s">
        <v>169</v>
      </c>
      <c r="D138" s="7">
        <v>109</v>
      </c>
      <c r="E138" s="7">
        <v>38</v>
      </c>
      <c r="F138" s="7">
        <v>49</v>
      </c>
      <c r="G138" s="7">
        <v>56</v>
      </c>
      <c r="H138" s="7">
        <v>44</v>
      </c>
      <c r="I138" s="7">
        <v>65</v>
      </c>
      <c r="J138" s="7">
        <v>63</v>
      </c>
      <c r="K138" s="16">
        <f>SUM(D138:J138)</f>
        <v>424</v>
      </c>
      <c r="L138" s="28">
        <v>45</v>
      </c>
      <c r="M138" s="28">
        <v>154</v>
      </c>
      <c r="N138" s="7">
        <v>342</v>
      </c>
      <c r="O138" s="16">
        <f t="shared" si="4"/>
        <v>541</v>
      </c>
      <c r="P138" s="7">
        <v>965</v>
      </c>
      <c r="Q138" s="7">
        <v>196545.04900000003</v>
      </c>
      <c r="R138" s="7">
        <v>385311.25599999988</v>
      </c>
      <c r="S138" s="7">
        <v>446171.63399999996</v>
      </c>
      <c r="T138" s="7">
        <v>354216.826</v>
      </c>
      <c r="U138" s="7">
        <v>385067.09399999992</v>
      </c>
      <c r="V138" s="7">
        <v>437434.56499999989</v>
      </c>
      <c r="W138" s="7">
        <v>330397.81699999992</v>
      </c>
      <c r="X138" s="16">
        <f>SUM(Q138:W138)</f>
        <v>2535144.2409999995</v>
      </c>
      <c r="Y138" s="28">
        <v>209369.71100000004</v>
      </c>
      <c r="Z138" s="28">
        <v>156828.28199999998</v>
      </c>
      <c r="AA138" s="7">
        <v>70791.900000000009</v>
      </c>
      <c r="AB138" s="16">
        <f t="shared" si="5"/>
        <v>436989.89300000004</v>
      </c>
      <c r="AC138" s="7">
        <v>2972134.1339999996</v>
      </c>
      <c r="AD138" s="8">
        <v>5.5458023773470881E-4</v>
      </c>
      <c r="AE138" s="8">
        <v>9.8621567390701957E-5</v>
      </c>
      <c r="AF138" s="8">
        <v>1.0982320763134844E-4</v>
      </c>
      <c r="AG138" s="8">
        <v>1.5809525660421338E-4</v>
      </c>
      <c r="AH138" s="8">
        <v>1.1426580116970475E-4</v>
      </c>
      <c r="AI138" s="8">
        <v>1.4859365308729093E-4</v>
      </c>
      <c r="AJ138" s="8">
        <v>1.9067922594658067E-4</v>
      </c>
      <c r="AK138" s="8">
        <v>2.1493080247887429E-4</v>
      </c>
      <c r="AL138" s="8">
        <v>9.8196574008251915E-4</v>
      </c>
      <c r="AM138" s="8">
        <v>4.8310611807283032E-3</v>
      </c>
      <c r="AN138" s="8">
        <v>3.2468251986368798E-4</v>
      </c>
    </row>
    <row r="139" spans="1:40" x14ac:dyDescent="0.2">
      <c r="A139" t="s">
        <v>168</v>
      </c>
      <c r="B139">
        <v>2010</v>
      </c>
      <c r="C139" t="s">
        <v>170</v>
      </c>
      <c r="D139" s="7">
        <v>91</v>
      </c>
      <c r="E139" s="7">
        <v>40</v>
      </c>
      <c r="F139" s="7">
        <v>59</v>
      </c>
      <c r="G139" s="7">
        <v>49</v>
      </c>
      <c r="H139" s="7">
        <v>27</v>
      </c>
      <c r="I139" s="7">
        <v>54</v>
      </c>
      <c r="J139" s="7">
        <v>42</v>
      </c>
      <c r="K139" s="16">
        <f>SUM(D139:J139)</f>
        <v>362</v>
      </c>
      <c r="L139" s="28">
        <v>47</v>
      </c>
      <c r="M139" s="28">
        <v>140</v>
      </c>
      <c r="N139" s="7">
        <v>319</v>
      </c>
      <c r="O139" s="16">
        <f t="shared" si="4"/>
        <v>506</v>
      </c>
      <c r="P139" s="7">
        <v>868</v>
      </c>
      <c r="Q139" s="7">
        <v>196477.15600000002</v>
      </c>
      <c r="R139" s="7">
        <v>395437.03700000001</v>
      </c>
      <c r="S139" s="7">
        <v>433378.59100000001</v>
      </c>
      <c r="T139" s="7">
        <v>366562.55500000005</v>
      </c>
      <c r="U139" s="7">
        <v>376342.14499999979</v>
      </c>
      <c r="V139" s="7">
        <v>437033.40599999996</v>
      </c>
      <c r="W139" s="7">
        <v>347935.12500000012</v>
      </c>
      <c r="X139" s="16">
        <f>SUM(Q139:W139)</f>
        <v>2553166.0149999997</v>
      </c>
      <c r="Y139" s="28">
        <v>216771.86199999999</v>
      </c>
      <c r="Z139" s="28">
        <v>155978.04400000002</v>
      </c>
      <c r="AA139" s="7">
        <v>69943.637000000002</v>
      </c>
      <c r="AB139" s="16">
        <f t="shared" si="5"/>
        <v>442693.54300000001</v>
      </c>
      <c r="AC139" s="7">
        <v>2995859.5580000002</v>
      </c>
      <c r="AD139" s="8">
        <v>4.6315816989940544E-4</v>
      </c>
      <c r="AE139" s="8">
        <v>1.0115390380087234E-4</v>
      </c>
      <c r="AF139" s="8">
        <v>1.3613962762641405E-4</v>
      </c>
      <c r="AG139" s="8">
        <v>1.336743192440919E-4</v>
      </c>
      <c r="AH139" s="8">
        <v>7.174322716367579E-5</v>
      </c>
      <c r="AI139" s="8">
        <v>1.2356034861097094E-4</v>
      </c>
      <c r="AJ139" s="8">
        <v>1.2071215862439868E-4</v>
      </c>
      <c r="AK139" s="8">
        <v>2.1681780820796752E-4</v>
      </c>
      <c r="AL139" s="8">
        <v>8.9756222356526013E-4</v>
      </c>
      <c r="AM139" s="8">
        <v>4.560815160355473E-3</v>
      </c>
      <c r="AN139" s="8">
        <v>2.8973320784752221E-4</v>
      </c>
    </row>
    <row r="140" spans="1:40" x14ac:dyDescent="0.2">
      <c r="A140" t="s">
        <v>168</v>
      </c>
      <c r="B140">
        <v>2011</v>
      </c>
      <c r="C140" t="s">
        <v>171</v>
      </c>
      <c r="D140" s="7">
        <v>86</v>
      </c>
      <c r="E140" s="7">
        <v>50</v>
      </c>
      <c r="F140" s="7">
        <v>30</v>
      </c>
      <c r="G140" s="7">
        <v>61</v>
      </c>
      <c r="H140" s="7">
        <v>58</v>
      </c>
      <c r="I140" s="7">
        <v>53</v>
      </c>
      <c r="J140" s="7">
        <v>55</v>
      </c>
      <c r="K140" s="16">
        <f>SUM(D140:J140)</f>
        <v>393</v>
      </c>
      <c r="L140" s="28">
        <v>54</v>
      </c>
      <c r="M140" s="28">
        <v>129</v>
      </c>
      <c r="N140" s="7">
        <v>388</v>
      </c>
      <c r="O140" s="16">
        <f t="shared" si="4"/>
        <v>571</v>
      </c>
      <c r="P140" s="7">
        <v>964</v>
      </c>
      <c r="Q140" s="7">
        <v>196208.91699999996</v>
      </c>
      <c r="R140" s="7">
        <v>392874.55099999986</v>
      </c>
      <c r="S140" s="7">
        <v>426937.18799999985</v>
      </c>
      <c r="T140" s="7">
        <v>372356.07299999997</v>
      </c>
      <c r="U140" s="7">
        <v>366683.73100000009</v>
      </c>
      <c r="V140" s="7">
        <v>429855.24999999994</v>
      </c>
      <c r="W140" s="7">
        <v>356420.24</v>
      </c>
      <c r="X140" s="16">
        <f>SUM(Q140:W140)</f>
        <v>2541335.9500000002</v>
      </c>
      <c r="Y140" s="28">
        <v>217030.66299999997</v>
      </c>
      <c r="Z140" s="28">
        <v>152107.80100000001</v>
      </c>
      <c r="AA140" s="7">
        <v>69504.781000000017</v>
      </c>
      <c r="AB140" s="16">
        <f t="shared" si="5"/>
        <v>438643.245</v>
      </c>
      <c r="AC140" s="7">
        <v>2979979.1950000003</v>
      </c>
      <c r="AD140" s="8">
        <v>4.3830831602826702E-4</v>
      </c>
      <c r="AE140" s="8">
        <v>1.2726708785980903E-4</v>
      </c>
      <c r="AF140" s="8">
        <v>7.0267947705693906E-5</v>
      </c>
      <c r="AG140" s="8">
        <v>1.6382168688302824E-4</v>
      </c>
      <c r="AH140" s="8">
        <v>1.5817445688638961E-4</v>
      </c>
      <c r="AI140" s="8">
        <v>1.2329731927201076E-4</v>
      </c>
      <c r="AJ140" s="8">
        <v>1.5431222424405527E-4</v>
      </c>
      <c r="AK140" s="8">
        <v>2.4881276799122162E-4</v>
      </c>
      <c r="AL140" s="8">
        <v>8.4808273574344816E-4</v>
      </c>
      <c r="AM140" s="8">
        <v>5.582349795476658E-3</v>
      </c>
      <c r="AN140" s="8">
        <v>3.2349219136075205E-4</v>
      </c>
    </row>
    <row r="141" spans="1:40" x14ac:dyDescent="0.2">
      <c r="A141" t="s">
        <v>168</v>
      </c>
      <c r="B141">
        <v>2012</v>
      </c>
      <c r="C141" t="s">
        <v>172</v>
      </c>
      <c r="D141" s="7">
        <v>89</v>
      </c>
      <c r="E141" s="7">
        <v>66</v>
      </c>
      <c r="F141" s="7">
        <v>49</v>
      </c>
      <c r="G141" s="7">
        <v>55</v>
      </c>
      <c r="H141" s="7">
        <v>41</v>
      </c>
      <c r="I141" s="7">
        <v>58</v>
      </c>
      <c r="J141" s="7">
        <v>57</v>
      </c>
      <c r="K141" s="16">
        <f>SUM(D141:J141)</f>
        <v>415</v>
      </c>
      <c r="L141" s="28">
        <v>44</v>
      </c>
      <c r="M141" s="28">
        <v>122</v>
      </c>
      <c r="N141" s="7">
        <v>411</v>
      </c>
      <c r="O141" s="16">
        <f t="shared" si="4"/>
        <v>577</v>
      </c>
      <c r="P141" s="7">
        <v>992</v>
      </c>
      <c r="Q141" s="7">
        <v>208249.83999999991</v>
      </c>
      <c r="R141" s="7">
        <v>420446.30399999995</v>
      </c>
      <c r="S141" s="7">
        <v>449556.3279999998</v>
      </c>
      <c r="T141" s="7">
        <v>397448.87999999989</v>
      </c>
      <c r="U141" s="7">
        <v>381721.74599999987</v>
      </c>
      <c r="V141" s="7">
        <v>450448.69199999998</v>
      </c>
      <c r="W141" s="7">
        <v>386394.30200000014</v>
      </c>
      <c r="X141" s="16">
        <f>SUM(Q141:W141)</f>
        <v>2694266.0919999992</v>
      </c>
      <c r="Y141" s="28">
        <v>235372.25000000003</v>
      </c>
      <c r="Z141" s="28">
        <v>159132.44300000006</v>
      </c>
      <c r="AA141" s="7">
        <v>74450.805999999997</v>
      </c>
      <c r="AB141" s="16">
        <f t="shared" si="5"/>
        <v>468955.49900000007</v>
      </c>
      <c r="AC141" s="7">
        <v>3163221.5909999991</v>
      </c>
      <c r="AD141" s="8">
        <v>4.2737127673183342E-4</v>
      </c>
      <c r="AE141" s="8">
        <v>1.5697604990719578E-4</v>
      </c>
      <c r="AF141" s="8">
        <v>1.0899635251046899E-4</v>
      </c>
      <c r="AG141" s="8">
        <v>1.3838257639573677E-4</v>
      </c>
      <c r="AH141" s="8">
        <v>1.074080804398291E-4</v>
      </c>
      <c r="AI141" s="8">
        <v>1.2876050265009983E-4</v>
      </c>
      <c r="AJ141" s="8">
        <v>1.4751770330194978E-4</v>
      </c>
      <c r="AK141" s="8">
        <v>1.8693792492530448E-4</v>
      </c>
      <c r="AL141" s="8">
        <v>7.6665699149732749E-4</v>
      </c>
      <c r="AM141" s="8">
        <v>5.520423781577328E-3</v>
      </c>
      <c r="AN141" s="8">
        <v>3.136043338925225E-4</v>
      </c>
    </row>
    <row r="142" spans="1:40" x14ac:dyDescent="0.2">
      <c r="A142" t="s">
        <v>168</v>
      </c>
      <c r="B142">
        <v>2013</v>
      </c>
      <c r="C142" t="s">
        <v>173</v>
      </c>
      <c r="D142" s="7">
        <v>108</v>
      </c>
      <c r="E142" s="7">
        <v>64</v>
      </c>
      <c r="F142" s="7">
        <v>54</v>
      </c>
      <c r="G142" s="7">
        <v>57</v>
      </c>
      <c r="H142" s="7">
        <v>54</v>
      </c>
      <c r="I142" s="7">
        <v>54</v>
      </c>
      <c r="J142" s="7">
        <v>51</v>
      </c>
      <c r="K142" s="16">
        <f>SUM(D142:J142)</f>
        <v>442</v>
      </c>
      <c r="L142" s="28">
        <v>60</v>
      </c>
      <c r="M142" s="28">
        <v>167</v>
      </c>
      <c r="N142" s="7">
        <v>452</v>
      </c>
      <c r="O142" s="16">
        <f t="shared" si="4"/>
        <v>679</v>
      </c>
      <c r="P142" s="7">
        <v>1121</v>
      </c>
      <c r="Q142" s="7">
        <v>194561.57499999992</v>
      </c>
      <c r="R142" s="7">
        <v>396689.73499999993</v>
      </c>
      <c r="S142" s="7">
        <v>429965.22899999999</v>
      </c>
      <c r="T142" s="7">
        <v>381909.50799999991</v>
      </c>
      <c r="U142" s="7">
        <v>358733.60500000004</v>
      </c>
      <c r="V142" s="7">
        <v>421324.58199999994</v>
      </c>
      <c r="W142" s="7">
        <v>379761.04399999999</v>
      </c>
      <c r="X142" s="16">
        <f>SUM(Q142:W142)</f>
        <v>2562945.2779999999</v>
      </c>
      <c r="Y142" s="28">
        <v>228196.97600000005</v>
      </c>
      <c r="Z142" s="28">
        <v>148200.29199999999</v>
      </c>
      <c r="AA142" s="7">
        <v>71744.418000000005</v>
      </c>
      <c r="AB142" s="16">
        <f t="shared" si="5"/>
        <v>448141.68600000005</v>
      </c>
      <c r="AC142" s="7">
        <v>3011086.9640000002</v>
      </c>
      <c r="AD142" s="8">
        <v>5.550941906180603E-4</v>
      </c>
      <c r="AE142" s="8">
        <v>1.6133515529460327E-4</v>
      </c>
      <c r="AF142" s="8">
        <v>1.2559155103214172E-4</v>
      </c>
      <c r="AG142" s="8">
        <v>1.4925001552985691E-4</v>
      </c>
      <c r="AH142" s="8">
        <v>1.5052952733547221E-4</v>
      </c>
      <c r="AI142" s="8">
        <v>1.2816721906817202E-4</v>
      </c>
      <c r="AJ142" s="8">
        <v>1.3429497523711253E-4</v>
      </c>
      <c r="AK142" s="8">
        <v>2.6293074102787402E-4</v>
      </c>
      <c r="AL142" s="8">
        <v>1.1268533802888865E-3</v>
      </c>
      <c r="AM142" s="8">
        <v>6.3001417057979335E-3</v>
      </c>
      <c r="AN142" s="8">
        <v>3.7229080840323411E-4</v>
      </c>
    </row>
    <row r="143" spans="1:40" x14ac:dyDescent="0.2">
      <c r="A143" t="s">
        <v>168</v>
      </c>
      <c r="B143">
        <v>2014</v>
      </c>
      <c r="C143" t="s">
        <v>174</v>
      </c>
      <c r="D143" s="7">
        <v>133</v>
      </c>
      <c r="E143" s="7">
        <v>50</v>
      </c>
      <c r="F143" s="7">
        <v>63</v>
      </c>
      <c r="G143" s="7">
        <v>49</v>
      </c>
      <c r="H143" s="7">
        <v>43</v>
      </c>
      <c r="I143" s="7">
        <v>53</v>
      </c>
      <c r="J143" s="7">
        <v>49</v>
      </c>
      <c r="K143" s="16">
        <f>SUM(D143:J143)</f>
        <v>440</v>
      </c>
      <c r="L143" s="28">
        <v>57</v>
      </c>
      <c r="M143" s="28">
        <v>111</v>
      </c>
      <c r="N143" s="7">
        <v>333</v>
      </c>
      <c r="O143" s="16">
        <f t="shared" si="4"/>
        <v>501</v>
      </c>
      <c r="P143" s="7">
        <v>941</v>
      </c>
      <c r="Q143" s="7">
        <v>191773.69099999999</v>
      </c>
      <c r="R143" s="7">
        <v>395262.91399999982</v>
      </c>
      <c r="S143" s="7">
        <v>429241.93700000003</v>
      </c>
      <c r="T143" s="7">
        <v>380821.78399999993</v>
      </c>
      <c r="U143" s="7">
        <v>355295.74599999993</v>
      </c>
      <c r="V143" s="7">
        <v>410956.18300000019</v>
      </c>
      <c r="W143" s="7">
        <v>382052.53400000004</v>
      </c>
      <c r="X143" s="16">
        <f>SUM(Q143:W143)</f>
        <v>2545404.7889999999</v>
      </c>
      <c r="Y143" s="28">
        <v>234746.85999999996</v>
      </c>
      <c r="Z143" s="28">
        <v>146262.36800000002</v>
      </c>
      <c r="AA143" s="7">
        <v>70042.717999999993</v>
      </c>
      <c r="AB143" s="16">
        <f t="shared" si="5"/>
        <v>451051.946</v>
      </c>
      <c r="AC143" s="7">
        <v>2996456.7349999999</v>
      </c>
      <c r="AD143" s="8">
        <v>6.9352578712165481E-4</v>
      </c>
      <c r="AE143" s="8">
        <v>1.2649808071799021E-4</v>
      </c>
      <c r="AF143" s="8">
        <v>1.4677037486204427E-4</v>
      </c>
      <c r="AG143" s="8">
        <v>1.2866910995826858E-4</v>
      </c>
      <c r="AH143" s="8">
        <v>1.2102593539073786E-4</v>
      </c>
      <c r="AI143" s="8">
        <v>1.2896752060790863E-4</v>
      </c>
      <c r="AJ143" s="8">
        <v>1.2825461327786925E-4</v>
      </c>
      <c r="AK143" s="8">
        <v>2.4281474947098337E-4</v>
      </c>
      <c r="AL143" s="8">
        <v>7.5891017982151077E-4</v>
      </c>
      <c r="AM143" s="8">
        <v>4.7542415472797616E-3</v>
      </c>
      <c r="AN143" s="8">
        <v>3.140375727801056E-4</v>
      </c>
    </row>
    <row r="144" spans="1:40" x14ac:dyDescent="0.2">
      <c r="A144" t="s">
        <v>168</v>
      </c>
      <c r="B144">
        <v>2015</v>
      </c>
      <c r="C144" t="s">
        <v>175</v>
      </c>
      <c r="D144" s="7">
        <v>95</v>
      </c>
      <c r="E144" s="7">
        <v>55</v>
      </c>
      <c r="F144" s="7">
        <v>40</v>
      </c>
      <c r="G144" s="7">
        <v>61</v>
      </c>
      <c r="H144" s="7">
        <v>61</v>
      </c>
      <c r="I144" s="7">
        <v>72</v>
      </c>
      <c r="J144" s="7">
        <v>59</v>
      </c>
      <c r="K144" s="16">
        <f>SUM(D144:J144)</f>
        <v>443</v>
      </c>
      <c r="L144" s="28">
        <v>66</v>
      </c>
      <c r="M144" s="28">
        <v>115</v>
      </c>
      <c r="N144" s="7">
        <v>353</v>
      </c>
      <c r="O144" s="16">
        <f t="shared" si="4"/>
        <v>534</v>
      </c>
      <c r="P144" s="7">
        <v>977</v>
      </c>
      <c r="Q144" s="7">
        <v>209456.4389999999</v>
      </c>
      <c r="R144" s="7">
        <v>434931.38100000005</v>
      </c>
      <c r="S144" s="7">
        <v>470774.63500000007</v>
      </c>
      <c r="T144" s="7">
        <v>416696.48699999991</v>
      </c>
      <c r="U144" s="7">
        <v>388664.33</v>
      </c>
      <c r="V144" s="7">
        <v>443784.55199999997</v>
      </c>
      <c r="W144" s="7">
        <v>430887.48499999993</v>
      </c>
      <c r="X144" s="16">
        <f>SUM(Q144:W144)</f>
        <v>2795195.3089999999</v>
      </c>
      <c r="Y144" s="28">
        <v>272776.14100000006</v>
      </c>
      <c r="Z144" s="28">
        <v>162675.72099999996</v>
      </c>
      <c r="AA144" s="7">
        <v>79012.639999999999</v>
      </c>
      <c r="AB144" s="16">
        <f t="shared" si="5"/>
        <v>514464.50200000004</v>
      </c>
      <c r="AC144" s="7">
        <v>3309659.8110000002</v>
      </c>
      <c r="AD144" s="8">
        <v>4.5355492747587507E-4</v>
      </c>
      <c r="AE144" s="8">
        <v>1.2645672950418815E-4</v>
      </c>
      <c r="AF144" s="8">
        <v>8.4966344883895449E-5</v>
      </c>
      <c r="AG144" s="8">
        <v>1.463895230775008E-4</v>
      </c>
      <c r="AH144" s="8">
        <v>1.5694777032921955E-4</v>
      </c>
      <c r="AI144" s="8">
        <v>1.6224088845706374E-4</v>
      </c>
      <c r="AJ144" s="8">
        <v>1.3692669676864717E-4</v>
      </c>
      <c r="AK144" s="8">
        <v>2.4195664532111695E-4</v>
      </c>
      <c r="AL144" s="8">
        <v>7.0692786417710129E-4</v>
      </c>
      <c r="AM144" s="8">
        <v>4.4676396080424599E-3</v>
      </c>
      <c r="AN144" s="8">
        <v>2.9519650229695464E-4</v>
      </c>
    </row>
    <row r="145" spans="1:40" x14ac:dyDescent="0.2">
      <c r="A145" t="s">
        <v>168</v>
      </c>
      <c r="B145">
        <v>2016</v>
      </c>
      <c r="C145" t="s">
        <v>176</v>
      </c>
      <c r="D145" s="7">
        <v>110</v>
      </c>
      <c r="E145" s="7">
        <v>40</v>
      </c>
      <c r="F145" s="7">
        <v>55</v>
      </c>
      <c r="G145" s="7">
        <v>55</v>
      </c>
      <c r="H145" s="7">
        <v>39</v>
      </c>
      <c r="I145" s="7">
        <v>44</v>
      </c>
      <c r="J145" s="7">
        <v>67</v>
      </c>
      <c r="K145" s="16">
        <f>SUM(D145:J145)</f>
        <v>410</v>
      </c>
      <c r="L145" s="28">
        <v>61</v>
      </c>
      <c r="M145" s="28">
        <v>90</v>
      </c>
      <c r="N145" s="7">
        <v>294</v>
      </c>
      <c r="O145" s="16">
        <f t="shared" si="4"/>
        <v>445</v>
      </c>
      <c r="P145" s="7">
        <v>855</v>
      </c>
      <c r="Q145" s="7">
        <v>198341.52500000008</v>
      </c>
      <c r="R145" s="7">
        <v>410099.75699999981</v>
      </c>
      <c r="S145" s="7">
        <v>448075.01500000001</v>
      </c>
      <c r="T145" s="7">
        <v>398816.23700000008</v>
      </c>
      <c r="U145" s="7">
        <v>371842.93800000008</v>
      </c>
      <c r="V145" s="7">
        <v>410782.04800000001</v>
      </c>
      <c r="W145" s="7">
        <v>404557.88199999998</v>
      </c>
      <c r="X145" s="16">
        <f>SUM(Q145:W145)</f>
        <v>2642515.4019999998</v>
      </c>
      <c r="Y145" s="28">
        <v>264480.0450000001</v>
      </c>
      <c r="Z145" s="28">
        <v>149108.43900000004</v>
      </c>
      <c r="AA145" s="7">
        <v>72795.012000000017</v>
      </c>
      <c r="AB145" s="16">
        <f t="shared" si="5"/>
        <v>486383.49600000016</v>
      </c>
      <c r="AC145" s="7">
        <v>3128898.898</v>
      </c>
      <c r="AD145" s="8">
        <v>5.5459894240502566E-4</v>
      </c>
      <c r="AE145" s="8">
        <v>9.7537243846745365E-5</v>
      </c>
      <c r="AF145" s="8">
        <v>1.2274730381920537E-4</v>
      </c>
      <c r="AG145" s="8">
        <v>1.379081263434116E-4</v>
      </c>
      <c r="AH145" s="8">
        <v>1.0488299229176161E-4</v>
      </c>
      <c r="AI145" s="8">
        <v>1.0711276262978269E-4</v>
      </c>
      <c r="AJ145" s="8">
        <v>1.6561288997454264E-4</v>
      </c>
      <c r="AK145" s="8">
        <v>2.3064121907571505E-4</v>
      </c>
      <c r="AL145" s="8">
        <v>6.0358756756886153E-4</v>
      </c>
      <c r="AM145" s="8">
        <v>4.0387382586048607E-3</v>
      </c>
      <c r="AN145" s="8">
        <v>2.732590690439113E-4</v>
      </c>
    </row>
    <row r="146" spans="1:40" x14ac:dyDescent="0.2">
      <c r="A146" t="s">
        <v>168</v>
      </c>
      <c r="B146">
        <v>2017</v>
      </c>
      <c r="C146" t="s">
        <v>177</v>
      </c>
      <c r="D146" s="7">
        <v>96</v>
      </c>
      <c r="E146" s="7">
        <v>87</v>
      </c>
      <c r="F146" s="7">
        <v>59</v>
      </c>
      <c r="G146" s="7">
        <v>60</v>
      </c>
      <c r="H146" s="7">
        <v>43</v>
      </c>
      <c r="I146" s="7">
        <v>40</v>
      </c>
      <c r="J146" s="7">
        <v>47</v>
      </c>
      <c r="K146" s="16">
        <f>SUM(D146:J146)</f>
        <v>432</v>
      </c>
      <c r="L146" s="28">
        <v>58</v>
      </c>
      <c r="M146" s="28">
        <v>92</v>
      </c>
      <c r="N146" s="7">
        <v>327</v>
      </c>
      <c r="O146" s="16">
        <f t="shared" si="4"/>
        <v>477</v>
      </c>
      <c r="P146" s="7">
        <v>909</v>
      </c>
      <c r="Q146" s="7">
        <v>191405</v>
      </c>
      <c r="R146" s="7">
        <v>400015</v>
      </c>
      <c r="S146" s="7">
        <v>435360</v>
      </c>
      <c r="T146" s="7">
        <v>385969</v>
      </c>
      <c r="U146" s="7">
        <v>361612</v>
      </c>
      <c r="V146" s="7">
        <v>391737</v>
      </c>
      <c r="W146" s="7">
        <v>397796</v>
      </c>
      <c r="X146" s="16">
        <f>SUM(Q146:W146)</f>
        <v>2563894</v>
      </c>
      <c r="Y146" s="28">
        <v>267489</v>
      </c>
      <c r="Z146" s="28">
        <v>147532</v>
      </c>
      <c r="AA146" s="7">
        <v>70941</v>
      </c>
      <c r="AB146" s="16">
        <f t="shared" si="5"/>
        <v>485962</v>
      </c>
      <c r="AC146" s="7">
        <v>3049856</v>
      </c>
      <c r="AD146" s="8">
        <v>5.0155429586478935E-4</v>
      </c>
      <c r="AE146" s="8">
        <v>2.1749184405584792E-4</v>
      </c>
      <c r="AF146" s="8">
        <v>1.3552002940095552E-4</v>
      </c>
      <c r="AG146" s="8">
        <v>1.5545289906702351E-4</v>
      </c>
      <c r="AH146" s="8">
        <v>1.189119830094134E-4</v>
      </c>
      <c r="AI146" s="8">
        <v>1.0210932334704151E-4</v>
      </c>
      <c r="AJ146" s="8">
        <v>1.1815101207654174E-4</v>
      </c>
      <c r="AK146" s="8">
        <v>2.1683134633573717E-4</v>
      </c>
      <c r="AL146" s="8">
        <v>6.2359352547243984E-4</v>
      </c>
      <c r="AM146" s="8">
        <v>4.6094642026472702E-3</v>
      </c>
      <c r="AN146" s="8">
        <v>2.9804685860578337E-4</v>
      </c>
    </row>
    <row r="147" spans="1:40" x14ac:dyDescent="0.2">
      <c r="A147" t="s">
        <v>178</v>
      </c>
      <c r="B147">
        <v>2009</v>
      </c>
      <c r="C147" t="s">
        <v>179</v>
      </c>
      <c r="D147" s="7">
        <v>103</v>
      </c>
      <c r="E147" s="7">
        <v>50</v>
      </c>
      <c r="F147" s="7">
        <v>56</v>
      </c>
      <c r="G147" s="7">
        <v>49</v>
      </c>
      <c r="H147" s="7">
        <v>56</v>
      </c>
      <c r="I147" s="7">
        <v>59</v>
      </c>
      <c r="J147" s="7">
        <v>66</v>
      </c>
      <c r="K147" s="16">
        <f>SUM(D147:J147)</f>
        <v>439</v>
      </c>
      <c r="L147" s="28">
        <v>61</v>
      </c>
      <c r="M147" s="28">
        <v>138</v>
      </c>
      <c r="N147" s="7">
        <v>322</v>
      </c>
      <c r="O147" s="16">
        <f t="shared" si="4"/>
        <v>521</v>
      </c>
      <c r="P147" s="7">
        <v>960</v>
      </c>
      <c r="Q147" s="7">
        <v>199682.44399999996</v>
      </c>
      <c r="R147" s="7">
        <v>382518.67200000008</v>
      </c>
      <c r="S147" s="7">
        <v>424345.70500000002</v>
      </c>
      <c r="T147" s="7">
        <v>356724.946</v>
      </c>
      <c r="U147" s="7">
        <v>364706.71599999996</v>
      </c>
      <c r="V147" s="7">
        <v>405239.9760000002</v>
      </c>
      <c r="W147" s="7">
        <v>296771.48100000003</v>
      </c>
      <c r="X147" s="16">
        <f>SUM(Q147:W147)</f>
        <v>2429989.9400000004</v>
      </c>
      <c r="Y147" s="28">
        <v>177198.84900000013</v>
      </c>
      <c r="Z147" s="28">
        <v>127583.26800000003</v>
      </c>
      <c r="AA147" s="7">
        <v>58394.079999999987</v>
      </c>
      <c r="AB147" s="16">
        <f t="shared" si="5"/>
        <v>363176.19700000016</v>
      </c>
      <c r="AC147" s="7">
        <v>2793166.1370000006</v>
      </c>
      <c r="AD147" s="8">
        <v>5.1581900710309821E-4</v>
      </c>
      <c r="AE147" s="8">
        <v>1.3071257342438957E-4</v>
      </c>
      <c r="AF147" s="8">
        <v>1.3196787275129837E-4</v>
      </c>
      <c r="AG147" s="8">
        <v>1.3736073282634962E-4</v>
      </c>
      <c r="AH147" s="8">
        <v>1.5354803611568262E-4</v>
      </c>
      <c r="AI147" s="8">
        <v>1.4559274379189079E-4</v>
      </c>
      <c r="AJ147" s="8">
        <v>2.2239333704709988E-4</v>
      </c>
      <c r="AK147" s="8">
        <v>3.4424602837008242E-4</v>
      </c>
      <c r="AL147" s="8">
        <v>1.0816465369110938E-3</v>
      </c>
      <c r="AM147" s="8">
        <v>5.5142576096755026E-3</v>
      </c>
      <c r="AN147" s="8">
        <v>3.4369598975272117E-4</v>
      </c>
    </row>
    <row r="148" spans="1:40" x14ac:dyDescent="0.2">
      <c r="A148" t="s">
        <v>178</v>
      </c>
      <c r="B148">
        <v>2010</v>
      </c>
      <c r="C148" t="s">
        <v>180</v>
      </c>
      <c r="D148" s="7">
        <v>75</v>
      </c>
      <c r="E148" s="7">
        <v>35</v>
      </c>
      <c r="F148" s="7">
        <v>46</v>
      </c>
      <c r="G148" s="7">
        <v>47</v>
      </c>
      <c r="H148" s="7">
        <v>47</v>
      </c>
      <c r="I148" s="7">
        <v>63</v>
      </c>
      <c r="J148" s="7">
        <v>60</v>
      </c>
      <c r="K148" s="16">
        <f>SUM(D148:J148)</f>
        <v>373</v>
      </c>
      <c r="L148" s="28">
        <v>60</v>
      </c>
      <c r="M148" s="28">
        <v>117</v>
      </c>
      <c r="N148" s="7">
        <v>303</v>
      </c>
      <c r="O148" s="16">
        <f t="shared" si="4"/>
        <v>480</v>
      </c>
      <c r="P148" s="7">
        <v>853</v>
      </c>
      <c r="Q148" s="7">
        <v>193762.15599999996</v>
      </c>
      <c r="R148" s="7">
        <v>384899.18199999997</v>
      </c>
      <c r="S148" s="7">
        <v>402472.0309999999</v>
      </c>
      <c r="T148" s="7">
        <v>352309.53199999995</v>
      </c>
      <c r="U148" s="7">
        <v>349124.95200000005</v>
      </c>
      <c r="V148" s="7">
        <v>397925.42400000006</v>
      </c>
      <c r="W148" s="7">
        <v>302521.44099999988</v>
      </c>
      <c r="X148" s="16">
        <f>SUM(Q148:W148)</f>
        <v>2383014.7179999999</v>
      </c>
      <c r="Y148" s="28">
        <v>177286.66800000001</v>
      </c>
      <c r="Z148" s="28">
        <v>124214.10199999998</v>
      </c>
      <c r="AA148" s="7">
        <v>56436.769000000008</v>
      </c>
      <c r="AB148" s="16">
        <f t="shared" si="5"/>
        <v>357937.53900000005</v>
      </c>
      <c r="AC148" s="7">
        <v>2740952.2569999998</v>
      </c>
      <c r="AD148" s="8">
        <v>3.8707248901586342E-4</v>
      </c>
      <c r="AE148" s="8">
        <v>9.0932903047842806E-5</v>
      </c>
      <c r="AF148" s="8">
        <v>1.1429365634602324E-4</v>
      </c>
      <c r="AG148" s="8">
        <v>1.3340541691616792E-4</v>
      </c>
      <c r="AH148" s="8">
        <v>1.3462228846937297E-4</v>
      </c>
      <c r="AI148" s="8">
        <v>1.5832112300519908E-4</v>
      </c>
      <c r="AJ148" s="8">
        <v>1.9833304972258158E-4</v>
      </c>
      <c r="AK148" s="8">
        <v>3.3843492393911985E-4</v>
      </c>
      <c r="AL148" s="8">
        <v>9.4192203716128792E-4</v>
      </c>
      <c r="AM148" s="8">
        <v>5.3688403033844822E-3</v>
      </c>
      <c r="AN148" s="8">
        <v>3.1120571247512978E-4</v>
      </c>
    </row>
    <row r="149" spans="1:40" x14ac:dyDescent="0.2">
      <c r="A149" t="s">
        <v>178</v>
      </c>
      <c r="B149">
        <v>2011</v>
      </c>
      <c r="C149" t="s">
        <v>181</v>
      </c>
      <c r="D149" s="7">
        <v>98</v>
      </c>
      <c r="E149" s="7">
        <v>49</v>
      </c>
      <c r="F149" s="7">
        <v>51</v>
      </c>
      <c r="G149" s="7">
        <v>55</v>
      </c>
      <c r="H149" s="7">
        <v>45</v>
      </c>
      <c r="I149" s="7">
        <v>70</v>
      </c>
      <c r="J149" s="7">
        <v>47</v>
      </c>
      <c r="K149" s="16">
        <f>SUM(D149:J149)</f>
        <v>415</v>
      </c>
      <c r="L149" s="28">
        <v>63</v>
      </c>
      <c r="M149" s="28">
        <v>122</v>
      </c>
      <c r="N149" s="7">
        <v>374</v>
      </c>
      <c r="O149" s="16">
        <f t="shared" si="4"/>
        <v>559</v>
      </c>
      <c r="P149" s="7">
        <v>974</v>
      </c>
      <c r="Q149" s="7">
        <v>207083.78399999996</v>
      </c>
      <c r="R149" s="7">
        <v>411613.28399999987</v>
      </c>
      <c r="S149" s="7">
        <v>421759.66799999989</v>
      </c>
      <c r="T149" s="7">
        <v>382132.18700000003</v>
      </c>
      <c r="U149" s="7">
        <v>368739.48600000015</v>
      </c>
      <c r="V149" s="7">
        <v>420958.05900000007</v>
      </c>
      <c r="W149" s="7">
        <v>334204.94399999996</v>
      </c>
      <c r="X149" s="16">
        <f>SUM(Q149:W149)</f>
        <v>2546491.412</v>
      </c>
      <c r="Y149" s="28">
        <v>193854.83599999995</v>
      </c>
      <c r="Z149" s="28">
        <v>130898.808</v>
      </c>
      <c r="AA149" s="7">
        <v>59436.115999999987</v>
      </c>
      <c r="AB149" s="16">
        <f t="shared" si="5"/>
        <v>384189.75999999995</v>
      </c>
      <c r="AC149" s="7">
        <v>2930681.1720000003</v>
      </c>
      <c r="AD149" s="8">
        <v>4.7323840673106507E-4</v>
      </c>
      <c r="AE149" s="8">
        <v>1.1904377702251227E-4</v>
      </c>
      <c r="AF149" s="8">
        <v>1.2092194647687369E-4</v>
      </c>
      <c r="AG149" s="8">
        <v>1.4392925241861398E-4</v>
      </c>
      <c r="AH149" s="8">
        <v>1.2203737790099317E-4</v>
      </c>
      <c r="AI149" s="8">
        <v>1.6628734978084834E-4</v>
      </c>
      <c r="AJ149" s="8">
        <v>1.4063227023954501E-4</v>
      </c>
      <c r="AK149" s="8">
        <v>3.2498544426304646E-4</v>
      </c>
      <c r="AL149" s="8">
        <v>9.3201765443120003E-4</v>
      </c>
      <c r="AM149" s="8">
        <v>6.2924703895523735E-3</v>
      </c>
      <c r="AN149" s="8">
        <v>3.3234594377091797E-4</v>
      </c>
    </row>
    <row r="150" spans="1:40" x14ac:dyDescent="0.2">
      <c r="A150" t="s">
        <v>178</v>
      </c>
      <c r="B150">
        <v>2012</v>
      </c>
      <c r="C150" t="s">
        <v>182</v>
      </c>
      <c r="D150" s="7">
        <v>107</v>
      </c>
      <c r="E150" s="7">
        <v>48</v>
      </c>
      <c r="F150" s="7">
        <v>77</v>
      </c>
      <c r="G150" s="7">
        <v>32</v>
      </c>
      <c r="H150" s="7">
        <v>48</v>
      </c>
      <c r="I150" s="7">
        <v>53</v>
      </c>
      <c r="J150" s="7">
        <v>50</v>
      </c>
      <c r="K150" s="16">
        <f>SUM(D150:J150)</f>
        <v>415</v>
      </c>
      <c r="L150" s="28">
        <v>67</v>
      </c>
      <c r="M150" s="28">
        <v>158</v>
      </c>
      <c r="N150" s="7">
        <v>348</v>
      </c>
      <c r="O150" s="16">
        <f t="shared" si="4"/>
        <v>573</v>
      </c>
      <c r="P150" s="7">
        <v>988</v>
      </c>
      <c r="Q150" s="7">
        <v>207028.12000000008</v>
      </c>
      <c r="R150" s="7">
        <v>409590.11400000018</v>
      </c>
      <c r="S150" s="7">
        <v>419092.97500000009</v>
      </c>
      <c r="T150" s="7">
        <v>385686.72300000006</v>
      </c>
      <c r="U150" s="7">
        <v>359191.4219999999</v>
      </c>
      <c r="V150" s="7">
        <v>413477.13800000021</v>
      </c>
      <c r="W150" s="7">
        <v>342591.45699999999</v>
      </c>
      <c r="X150" s="16">
        <f>SUM(Q150:W150)</f>
        <v>2536657.9490000005</v>
      </c>
      <c r="Y150" s="28">
        <v>199266.71799999994</v>
      </c>
      <c r="Z150" s="28">
        <v>129872.90300000003</v>
      </c>
      <c r="AA150" s="7">
        <v>60893.565000000024</v>
      </c>
      <c r="AB150" s="16">
        <f t="shared" si="5"/>
        <v>390033.18599999999</v>
      </c>
      <c r="AC150" s="7">
        <v>2926691.1350000002</v>
      </c>
      <c r="AD150" s="8">
        <v>5.1683800248970987E-4</v>
      </c>
      <c r="AE150" s="8">
        <v>1.1719032847555491E-4</v>
      </c>
      <c r="AF150" s="8">
        <v>1.8373011382498116E-4</v>
      </c>
      <c r="AG150" s="8">
        <v>8.2968891827785309E-5</v>
      </c>
      <c r="AH150" s="8">
        <v>1.3363348081291322E-4</v>
      </c>
      <c r="AI150" s="8">
        <v>1.2818121034783783E-4</v>
      </c>
      <c r="AJ150" s="8">
        <v>1.4594642971497098E-4</v>
      </c>
      <c r="AK150" s="8">
        <v>3.3623276717991622E-4</v>
      </c>
      <c r="AL150" s="8">
        <v>1.2165740223732426E-3</v>
      </c>
      <c r="AM150" s="8">
        <v>5.7148895782337568E-3</v>
      </c>
      <c r="AN150" s="8">
        <v>3.3758259906028652E-4</v>
      </c>
    </row>
    <row r="151" spans="1:40" x14ac:dyDescent="0.2">
      <c r="A151" t="s">
        <v>178</v>
      </c>
      <c r="B151">
        <v>2013</v>
      </c>
      <c r="C151" t="s">
        <v>183</v>
      </c>
      <c r="D151" s="7">
        <v>108</v>
      </c>
      <c r="E151" s="7">
        <v>51</v>
      </c>
      <c r="F151" s="7">
        <v>51</v>
      </c>
      <c r="G151" s="7">
        <v>43</v>
      </c>
      <c r="H151" s="7">
        <v>50</v>
      </c>
      <c r="I151" s="7">
        <v>50</v>
      </c>
      <c r="J151" s="7">
        <v>37</v>
      </c>
      <c r="K151" s="16">
        <f>SUM(D151:J151)</f>
        <v>390</v>
      </c>
      <c r="L151" s="28">
        <v>69</v>
      </c>
      <c r="M151" s="28">
        <v>130</v>
      </c>
      <c r="N151" s="7">
        <v>403</v>
      </c>
      <c r="O151" s="16">
        <f t="shared" si="4"/>
        <v>602</v>
      </c>
      <c r="P151" s="7">
        <v>992</v>
      </c>
      <c r="Q151" s="7">
        <v>200346.36600000004</v>
      </c>
      <c r="R151" s="7">
        <v>400119.28999999992</v>
      </c>
      <c r="S151" s="7">
        <v>409048.73800000001</v>
      </c>
      <c r="T151" s="7">
        <v>377907.43000000005</v>
      </c>
      <c r="U151" s="7">
        <v>348038.32600000012</v>
      </c>
      <c r="V151" s="7">
        <v>397165.06200000009</v>
      </c>
      <c r="W151" s="7">
        <v>348729.92800000001</v>
      </c>
      <c r="X151" s="16">
        <f>SUM(Q151:W151)</f>
        <v>2481355.14</v>
      </c>
      <c r="Y151" s="28">
        <v>204743.9879999999</v>
      </c>
      <c r="Z151" s="28">
        <v>126134.50700000001</v>
      </c>
      <c r="AA151" s="7">
        <v>60436.242999999988</v>
      </c>
      <c r="AB151" s="16">
        <f t="shared" si="5"/>
        <v>391314.7379999999</v>
      </c>
      <c r="AC151" s="7">
        <v>2872669.878</v>
      </c>
      <c r="AD151" s="8">
        <v>5.3906642858698008E-4</v>
      </c>
      <c r="AE151" s="8">
        <v>1.2746198764873349E-4</v>
      </c>
      <c r="AF151" s="8">
        <v>1.2467951924105436E-4</v>
      </c>
      <c r="AG151" s="8">
        <v>1.1378447891326189E-4</v>
      </c>
      <c r="AH151" s="8">
        <v>1.436623390723928E-4</v>
      </c>
      <c r="AI151" s="8">
        <v>1.2589224175010638E-4</v>
      </c>
      <c r="AJ151" s="8">
        <v>1.0609929641599329E-4</v>
      </c>
      <c r="AK151" s="8">
        <v>3.3700623238812772E-4</v>
      </c>
      <c r="AL151" s="8">
        <v>1.0306458009940135E-3</v>
      </c>
      <c r="AM151" s="8">
        <v>6.6681841887491263E-3</v>
      </c>
      <c r="AN151" s="8">
        <v>3.4532335497270805E-4</v>
      </c>
    </row>
    <row r="152" spans="1:40" x14ac:dyDescent="0.2">
      <c r="A152" t="s">
        <v>178</v>
      </c>
      <c r="B152">
        <v>2014</v>
      </c>
      <c r="C152" t="s">
        <v>184</v>
      </c>
      <c r="D152" s="7">
        <v>108</v>
      </c>
      <c r="E152" s="7">
        <v>51</v>
      </c>
      <c r="F152" s="7">
        <v>53</v>
      </c>
      <c r="G152" s="7">
        <v>69</v>
      </c>
      <c r="H152" s="7">
        <v>53</v>
      </c>
      <c r="I152" s="7">
        <v>61</v>
      </c>
      <c r="J152" s="7">
        <v>62</v>
      </c>
      <c r="K152" s="16">
        <f>SUM(D152:J152)</f>
        <v>457</v>
      </c>
      <c r="L152" s="28">
        <v>73</v>
      </c>
      <c r="M152" s="28">
        <v>143</v>
      </c>
      <c r="N152" s="7">
        <v>307</v>
      </c>
      <c r="O152" s="16">
        <f t="shared" si="4"/>
        <v>523</v>
      </c>
      <c r="P152" s="7">
        <v>980</v>
      </c>
      <c r="Q152" s="7">
        <v>201800.66000000003</v>
      </c>
      <c r="R152" s="7">
        <v>403890.75299999985</v>
      </c>
      <c r="S152" s="7">
        <v>414748.1230000002</v>
      </c>
      <c r="T152" s="7">
        <v>385358.97400000022</v>
      </c>
      <c r="U152" s="7">
        <v>350575.4709999999</v>
      </c>
      <c r="V152" s="7">
        <v>391099.44199999992</v>
      </c>
      <c r="W152" s="7">
        <v>356701.49200000009</v>
      </c>
      <c r="X152" s="16">
        <f>SUM(Q152:W152)</f>
        <v>2504174.915</v>
      </c>
      <c r="Y152" s="28">
        <v>212372.14700000006</v>
      </c>
      <c r="Z152" s="28">
        <v>128891.50899999998</v>
      </c>
      <c r="AA152" s="7">
        <v>60411.58600000001</v>
      </c>
      <c r="AB152" s="16">
        <f t="shared" si="5"/>
        <v>401675.24200000003</v>
      </c>
      <c r="AC152" s="7">
        <v>2905850.1570000001</v>
      </c>
      <c r="AD152" s="8">
        <v>5.3518159950517502E-4</v>
      </c>
      <c r="AE152" s="8">
        <v>1.2627176933659588E-4</v>
      </c>
      <c r="AF152" s="8">
        <v>1.2778840231182908E-4</v>
      </c>
      <c r="AG152" s="8">
        <v>1.7905382943021839E-4</v>
      </c>
      <c r="AH152" s="8">
        <v>1.5118000083924873E-4</v>
      </c>
      <c r="AI152" s="8">
        <v>1.5597056259671169E-4</v>
      </c>
      <c r="AJ152" s="8">
        <v>1.7381480422851717E-4</v>
      </c>
      <c r="AK152" s="8">
        <v>3.4373622450593758E-4</v>
      </c>
      <c r="AL152" s="8">
        <v>1.109460205016298E-3</v>
      </c>
      <c r="AM152" s="8">
        <v>5.0818066587425791E-3</v>
      </c>
      <c r="AN152" s="8">
        <v>3.3725070015714508E-4</v>
      </c>
    </row>
    <row r="153" spans="1:40" x14ac:dyDescent="0.2">
      <c r="A153" t="s">
        <v>178</v>
      </c>
      <c r="B153">
        <v>2015</v>
      </c>
      <c r="C153" t="s">
        <v>185</v>
      </c>
      <c r="D153" s="7">
        <v>121</v>
      </c>
      <c r="E153" s="7">
        <v>48</v>
      </c>
      <c r="F153" s="7">
        <v>63</v>
      </c>
      <c r="G153" s="7">
        <v>40</v>
      </c>
      <c r="H153" s="7">
        <v>60</v>
      </c>
      <c r="I153" s="7">
        <v>53</v>
      </c>
      <c r="J153" s="7">
        <v>63</v>
      </c>
      <c r="K153" s="16">
        <f>SUM(D153:J153)</f>
        <v>448</v>
      </c>
      <c r="L153" s="28">
        <v>67</v>
      </c>
      <c r="M153" s="28">
        <v>142</v>
      </c>
      <c r="N153" s="7">
        <v>360</v>
      </c>
      <c r="O153" s="16">
        <f t="shared" si="4"/>
        <v>569</v>
      </c>
      <c r="P153" s="7">
        <v>1017</v>
      </c>
      <c r="Q153" s="7">
        <v>204158.94200000001</v>
      </c>
      <c r="R153" s="7">
        <v>414157.147</v>
      </c>
      <c r="S153" s="7">
        <v>428799.86100000015</v>
      </c>
      <c r="T153" s="7">
        <v>394319.3240000002</v>
      </c>
      <c r="U153" s="7">
        <v>357585.15600000019</v>
      </c>
      <c r="V153" s="7">
        <v>392629.95500000013</v>
      </c>
      <c r="W153" s="7">
        <v>372704.42199999996</v>
      </c>
      <c r="X153" s="16">
        <f>SUM(Q153:W153)</f>
        <v>2564354.8070000005</v>
      </c>
      <c r="Y153" s="28">
        <v>228016.27699999997</v>
      </c>
      <c r="Z153" s="28">
        <v>131256.19200000004</v>
      </c>
      <c r="AA153" s="7">
        <v>61826.797000000006</v>
      </c>
      <c r="AB153" s="16">
        <f t="shared" si="5"/>
        <v>421099.26600000006</v>
      </c>
      <c r="AC153" s="7">
        <v>2985454.0730000003</v>
      </c>
      <c r="AD153" s="8">
        <v>5.9267548516194792E-4</v>
      </c>
      <c r="AE153" s="8">
        <v>1.1589803616258734E-4</v>
      </c>
      <c r="AF153" s="8">
        <v>1.4692168941724535E-4</v>
      </c>
      <c r="AG153" s="8">
        <v>1.0144062835733604E-4</v>
      </c>
      <c r="AH153" s="8">
        <v>1.6779219996481052E-4</v>
      </c>
      <c r="AI153" s="8">
        <v>1.3498715348909122E-4</v>
      </c>
      <c r="AJ153" s="8">
        <v>1.6903475322865906E-4</v>
      </c>
      <c r="AK153" s="8">
        <v>2.9383867187692046E-4</v>
      </c>
      <c r="AL153" s="8">
        <v>1.0818537231371147E-3</v>
      </c>
      <c r="AM153" s="8">
        <v>5.8227179389545277E-3</v>
      </c>
      <c r="AN153" s="8">
        <v>3.4065169824503273E-4</v>
      </c>
    </row>
    <row r="154" spans="1:40" x14ac:dyDescent="0.2">
      <c r="A154" t="s">
        <v>178</v>
      </c>
      <c r="B154">
        <v>2016</v>
      </c>
      <c r="C154" t="s">
        <v>186</v>
      </c>
      <c r="D154" s="7">
        <v>111</v>
      </c>
      <c r="E154" s="7">
        <v>33</v>
      </c>
      <c r="F154" s="7">
        <v>61</v>
      </c>
      <c r="G154" s="7">
        <v>69</v>
      </c>
      <c r="H154" s="7">
        <v>58</v>
      </c>
      <c r="I154" s="7">
        <v>53</v>
      </c>
      <c r="J154" s="7">
        <v>55</v>
      </c>
      <c r="K154" s="16">
        <f>SUM(D154:J154)</f>
        <v>440</v>
      </c>
      <c r="L154" s="28">
        <v>66</v>
      </c>
      <c r="M154" s="28">
        <v>103</v>
      </c>
      <c r="N154" s="7">
        <v>272</v>
      </c>
      <c r="O154" s="16">
        <f t="shared" si="4"/>
        <v>441</v>
      </c>
      <c r="P154" s="7">
        <v>881</v>
      </c>
      <c r="Q154" s="7">
        <v>198605.98600000009</v>
      </c>
      <c r="R154" s="7">
        <v>404951.08299999987</v>
      </c>
      <c r="S154" s="7">
        <v>421191.16899999994</v>
      </c>
      <c r="T154" s="7">
        <v>387819.07199999999</v>
      </c>
      <c r="U154" s="7">
        <v>350489.97300000006</v>
      </c>
      <c r="V154" s="7">
        <v>374181.576</v>
      </c>
      <c r="W154" s="7">
        <v>366284.67499999999</v>
      </c>
      <c r="X154" s="16">
        <f>SUM(Q154:W154)</f>
        <v>2503523.5339999995</v>
      </c>
      <c r="Y154" s="28">
        <v>229051.86999999988</v>
      </c>
      <c r="Z154" s="28">
        <v>128392.54599999994</v>
      </c>
      <c r="AA154" s="7">
        <v>60522.724999999999</v>
      </c>
      <c r="AB154" s="16">
        <f t="shared" si="5"/>
        <v>417967.14099999983</v>
      </c>
      <c r="AC154" s="7">
        <v>2921490.6749999993</v>
      </c>
      <c r="AD154" s="8">
        <v>5.5889554104376264E-4</v>
      </c>
      <c r="AE154" s="8">
        <v>8.1491324224955853E-5</v>
      </c>
      <c r="AF154" s="8">
        <v>1.4482734798269243E-4</v>
      </c>
      <c r="AG154" s="8">
        <v>1.7791801636820998E-4</v>
      </c>
      <c r="AH154" s="8">
        <v>1.6548262280815661E-4</v>
      </c>
      <c r="AI154" s="8">
        <v>1.4164246290950466E-4</v>
      </c>
      <c r="AJ154" s="8">
        <v>1.5015643228862905E-4</v>
      </c>
      <c r="AK154" s="8">
        <v>2.8814434040638933E-4</v>
      </c>
      <c r="AL154" s="8">
        <v>8.0222725702471887E-4</v>
      </c>
      <c r="AM154" s="8">
        <v>4.4941796655718989E-3</v>
      </c>
      <c r="AN154" s="8">
        <v>3.0155838166418252E-4</v>
      </c>
    </row>
    <row r="155" spans="1:40" x14ac:dyDescent="0.2">
      <c r="A155" t="s">
        <v>178</v>
      </c>
      <c r="B155">
        <v>2017</v>
      </c>
      <c r="C155" t="s">
        <v>187</v>
      </c>
      <c r="D155" s="7">
        <v>120</v>
      </c>
      <c r="E155" s="7">
        <v>53</v>
      </c>
      <c r="F155" s="7">
        <v>57</v>
      </c>
      <c r="G155" s="7">
        <v>61</v>
      </c>
      <c r="H155" s="7">
        <v>55</v>
      </c>
      <c r="I155" s="7">
        <v>71</v>
      </c>
      <c r="J155" s="7">
        <v>65</v>
      </c>
      <c r="K155" s="16">
        <f>SUM(D155:J155)</f>
        <v>482</v>
      </c>
      <c r="L155" s="28">
        <v>75</v>
      </c>
      <c r="M155" s="28">
        <v>103</v>
      </c>
      <c r="N155" s="7">
        <v>287</v>
      </c>
      <c r="O155" s="16">
        <f t="shared" si="4"/>
        <v>465</v>
      </c>
      <c r="P155" s="7">
        <v>947</v>
      </c>
      <c r="Q155" s="7">
        <v>198426</v>
      </c>
      <c r="R155" s="7">
        <v>406807</v>
      </c>
      <c r="S155" s="7">
        <v>424595</v>
      </c>
      <c r="T155" s="7">
        <v>391988</v>
      </c>
      <c r="U155" s="7">
        <v>355782</v>
      </c>
      <c r="V155" s="7">
        <v>367532</v>
      </c>
      <c r="W155" s="7">
        <v>375481</v>
      </c>
      <c r="X155" s="16">
        <f>SUM(Q155:W155)</f>
        <v>2520611</v>
      </c>
      <c r="Y155" s="28">
        <v>245295</v>
      </c>
      <c r="Z155" s="28">
        <v>132767</v>
      </c>
      <c r="AA155" s="7">
        <v>63198</v>
      </c>
      <c r="AB155" s="16">
        <f t="shared" si="5"/>
        <v>441260</v>
      </c>
      <c r="AC155" s="7">
        <v>2961871</v>
      </c>
      <c r="AD155" s="8">
        <v>6.0475945692600773E-4</v>
      </c>
      <c r="AE155" s="8">
        <v>1.3028291056938547E-4</v>
      </c>
      <c r="AF155" s="8">
        <v>1.3424557519518601E-4</v>
      </c>
      <c r="AG155" s="8">
        <v>1.5561700868393929E-4</v>
      </c>
      <c r="AH155" s="8">
        <v>1.5458904610126425E-4</v>
      </c>
      <c r="AI155" s="8">
        <v>1.9318045775605934E-4</v>
      </c>
      <c r="AJ155" s="8">
        <v>1.7311128925298484E-4</v>
      </c>
      <c r="AK155" s="8">
        <v>3.0575429584785667E-4</v>
      </c>
      <c r="AL155" s="8">
        <v>7.7579519006982156E-4</v>
      </c>
      <c r="AM155" s="8">
        <v>4.5412829519921516E-3</v>
      </c>
      <c r="AN155" s="8">
        <v>3.1973033261745702E-4</v>
      </c>
    </row>
    <row r="156" spans="1:40" x14ac:dyDescent="0.2">
      <c r="A156" t="s">
        <v>188</v>
      </c>
      <c r="B156">
        <v>2009</v>
      </c>
      <c r="C156" t="s">
        <v>189</v>
      </c>
      <c r="D156" s="7">
        <v>81</v>
      </c>
      <c r="E156" s="7">
        <v>62</v>
      </c>
      <c r="F156" s="7">
        <v>59</v>
      </c>
      <c r="G156" s="7">
        <v>59</v>
      </c>
      <c r="H156" s="7">
        <v>60</v>
      </c>
      <c r="I156" s="7">
        <v>39</v>
      </c>
      <c r="J156" s="7">
        <v>76</v>
      </c>
      <c r="K156" s="16">
        <f>SUM(D156:J156)</f>
        <v>436</v>
      </c>
      <c r="L156" s="28">
        <v>133</v>
      </c>
      <c r="M156" s="28">
        <v>268</v>
      </c>
      <c r="N156" s="7">
        <v>398</v>
      </c>
      <c r="O156" s="16">
        <f t="shared" si="4"/>
        <v>799</v>
      </c>
      <c r="P156" s="7">
        <v>1235</v>
      </c>
      <c r="Q156" s="7">
        <v>287840.00999999995</v>
      </c>
      <c r="R156" s="7">
        <v>561256.86700000009</v>
      </c>
      <c r="S156" s="7">
        <v>597625.59699999995</v>
      </c>
      <c r="T156" s="7">
        <v>573791.56200000003</v>
      </c>
      <c r="U156" s="7">
        <v>609478.04500000004</v>
      </c>
      <c r="V156" s="7">
        <v>634678.84299999999</v>
      </c>
      <c r="W156" s="7">
        <v>493837.821</v>
      </c>
      <c r="X156" s="16">
        <f>SUM(Q156:W156)</f>
        <v>3758508.7449999996</v>
      </c>
      <c r="Y156" s="28">
        <v>302695.00699999975</v>
      </c>
      <c r="Z156" s="28">
        <v>187921.89999999988</v>
      </c>
      <c r="AA156" s="7">
        <v>68738.39800000003</v>
      </c>
      <c r="AB156" s="16">
        <f t="shared" si="5"/>
        <v>559355.3049999997</v>
      </c>
      <c r="AC156" s="7">
        <v>4317864.0499999989</v>
      </c>
      <c r="AD156" s="8">
        <v>2.8140632707732334E-4</v>
      </c>
      <c r="AE156" s="8">
        <v>1.1046635443660414E-4</v>
      </c>
      <c r="AF156" s="8">
        <v>9.8724017672890954E-5</v>
      </c>
      <c r="AG156" s="8">
        <v>1.0282479546117828E-4</v>
      </c>
      <c r="AH156" s="8">
        <v>9.84448914808736E-5</v>
      </c>
      <c r="AI156" s="8">
        <v>6.1448400919833409E-5</v>
      </c>
      <c r="AJ156" s="8">
        <v>1.5389667775162161E-4</v>
      </c>
      <c r="AK156" s="8">
        <v>4.3938617064800186E-4</v>
      </c>
      <c r="AL156" s="8">
        <v>1.4261243633658461E-3</v>
      </c>
      <c r="AM156" s="8">
        <v>5.7900680199151544E-3</v>
      </c>
      <c r="AN156" s="8">
        <v>2.8602104783729821E-4</v>
      </c>
    </row>
    <row r="157" spans="1:40" x14ac:dyDescent="0.2">
      <c r="A157" t="s">
        <v>188</v>
      </c>
      <c r="B157">
        <v>2010</v>
      </c>
      <c r="C157" t="s">
        <v>190</v>
      </c>
      <c r="D157" s="7">
        <v>115</v>
      </c>
      <c r="E157" s="7">
        <v>40</v>
      </c>
      <c r="F157" s="7">
        <v>68</v>
      </c>
      <c r="G157" s="7">
        <v>57</v>
      </c>
      <c r="H157" s="7">
        <v>47</v>
      </c>
      <c r="I157" s="7">
        <v>56</v>
      </c>
      <c r="J157" s="7">
        <v>52</v>
      </c>
      <c r="K157" s="16">
        <f>SUM(D157:J157)</f>
        <v>435</v>
      </c>
      <c r="L157" s="28">
        <v>106</v>
      </c>
      <c r="M157" s="28">
        <v>266</v>
      </c>
      <c r="N157" s="7">
        <v>407</v>
      </c>
      <c r="O157" s="16">
        <f t="shared" si="4"/>
        <v>779</v>
      </c>
      <c r="P157" s="7">
        <v>1214</v>
      </c>
      <c r="Q157" s="7">
        <v>271305.69099999999</v>
      </c>
      <c r="R157" s="7">
        <v>548657.39300000004</v>
      </c>
      <c r="S157" s="7">
        <v>572587.48900000006</v>
      </c>
      <c r="T157" s="7">
        <v>547258.21900000016</v>
      </c>
      <c r="U157" s="7">
        <v>577546.32299999997</v>
      </c>
      <c r="V157" s="7">
        <v>618410.10100000026</v>
      </c>
      <c r="W157" s="7">
        <v>494926.96099999995</v>
      </c>
      <c r="X157" s="16">
        <f>SUM(Q157:W157)</f>
        <v>3630692.1770000006</v>
      </c>
      <c r="Y157" s="28">
        <v>301594.59999999998</v>
      </c>
      <c r="Z157" s="28">
        <v>178447</v>
      </c>
      <c r="AA157" s="7">
        <v>67738.23</v>
      </c>
      <c r="AB157" s="16">
        <f t="shared" si="5"/>
        <v>547779.82999999996</v>
      </c>
      <c r="AC157" s="7">
        <v>4178472.0070000007</v>
      </c>
      <c r="AD157" s="8">
        <v>4.2387610660183316E-4</v>
      </c>
      <c r="AE157" s="8">
        <v>7.2905241978576602E-5</v>
      </c>
      <c r="AF157" s="8">
        <v>1.1875914389739659E-4</v>
      </c>
      <c r="AG157" s="8">
        <v>1.04155585098668E-4</v>
      </c>
      <c r="AH157" s="8">
        <v>8.1378753752363523E-5</v>
      </c>
      <c r="AI157" s="8">
        <v>9.0554795126155253E-5</v>
      </c>
      <c r="AJ157" s="8">
        <v>1.0506600791141787E-4</v>
      </c>
      <c r="AK157" s="8">
        <v>3.5146517875320053E-4</v>
      </c>
      <c r="AL157" s="8">
        <v>1.4906386770301547E-3</v>
      </c>
      <c r="AM157" s="8">
        <v>6.0084238988825072E-3</v>
      </c>
      <c r="AN157" s="8">
        <v>2.9053682732976122E-4</v>
      </c>
    </row>
    <row r="158" spans="1:40" x14ac:dyDescent="0.2">
      <c r="A158" t="s">
        <v>188</v>
      </c>
      <c r="B158">
        <v>2011</v>
      </c>
      <c r="C158" t="s">
        <v>191</v>
      </c>
      <c r="D158" s="7">
        <v>104</v>
      </c>
      <c r="E158" s="7">
        <v>45</v>
      </c>
      <c r="F158" s="7">
        <v>49</v>
      </c>
      <c r="G158" s="7">
        <v>67</v>
      </c>
      <c r="H158" s="7">
        <v>47</v>
      </c>
      <c r="I158" s="7">
        <v>63</v>
      </c>
      <c r="J158" s="7">
        <v>56</v>
      </c>
      <c r="K158" s="16">
        <f>SUM(D158:J158)</f>
        <v>431</v>
      </c>
      <c r="L158" s="28">
        <v>115</v>
      </c>
      <c r="M158" s="28">
        <v>256</v>
      </c>
      <c r="N158" s="7">
        <v>386</v>
      </c>
      <c r="O158" s="16">
        <f t="shared" si="4"/>
        <v>757</v>
      </c>
      <c r="P158" s="7">
        <v>1188</v>
      </c>
      <c r="Q158" s="7">
        <v>277795.50500000006</v>
      </c>
      <c r="R158" s="7">
        <v>564397.576</v>
      </c>
      <c r="S158" s="7">
        <v>579326.39299999992</v>
      </c>
      <c r="T158" s="7">
        <v>556852.51600000006</v>
      </c>
      <c r="U158" s="7">
        <v>583258.19400000025</v>
      </c>
      <c r="V158" s="7">
        <v>635144.38899999973</v>
      </c>
      <c r="W158" s="7">
        <v>525967.73099999991</v>
      </c>
      <c r="X158" s="16">
        <f>SUM(Q158:W158)</f>
        <v>3722742.3039999995</v>
      </c>
      <c r="Y158" s="28">
        <v>319607.02600000001</v>
      </c>
      <c r="Z158" s="28">
        <v>182548.33100000001</v>
      </c>
      <c r="AA158" s="7">
        <v>71539.250000000015</v>
      </c>
      <c r="AB158" s="16">
        <f t="shared" si="5"/>
        <v>573694.60700000008</v>
      </c>
      <c r="AC158" s="7">
        <v>4296436.9109999994</v>
      </c>
      <c r="AD158" s="8">
        <v>3.7437610806553541E-4</v>
      </c>
      <c r="AE158" s="8">
        <v>7.9731029886634386E-5</v>
      </c>
      <c r="AF158" s="8">
        <v>8.4580990253623763E-5</v>
      </c>
      <c r="AG158" s="8">
        <v>1.2031911156885208E-4</v>
      </c>
      <c r="AH158" s="8">
        <v>8.058180833718383E-5</v>
      </c>
      <c r="AI158" s="8">
        <v>9.9190044171200298E-5</v>
      </c>
      <c r="AJ158" s="8">
        <v>1.0647041006399689E-4</v>
      </c>
      <c r="AK158" s="8">
        <v>3.5981687085940341E-4</v>
      </c>
      <c r="AL158" s="8">
        <v>1.4023683404697904E-3</v>
      </c>
      <c r="AM158" s="8">
        <v>5.3956394566619017E-3</v>
      </c>
      <c r="AN158" s="8">
        <v>2.7650819146405014E-4</v>
      </c>
    </row>
    <row r="159" spans="1:40" x14ac:dyDescent="0.2">
      <c r="A159" t="s">
        <v>188</v>
      </c>
      <c r="B159">
        <v>2012</v>
      </c>
      <c r="C159" t="s">
        <v>192</v>
      </c>
      <c r="D159" s="7">
        <v>110</v>
      </c>
      <c r="E159" s="7">
        <v>68</v>
      </c>
      <c r="F159" s="7">
        <v>61</v>
      </c>
      <c r="G159" s="7">
        <v>53</v>
      </c>
      <c r="H159" s="7">
        <v>52</v>
      </c>
      <c r="I159" s="7">
        <v>46</v>
      </c>
      <c r="J159" s="7">
        <v>76</v>
      </c>
      <c r="K159" s="16">
        <f>SUM(D159:J159)</f>
        <v>466</v>
      </c>
      <c r="L159" s="28">
        <v>113</v>
      </c>
      <c r="M159" s="28">
        <v>244</v>
      </c>
      <c r="N159" s="7">
        <v>357</v>
      </c>
      <c r="O159" s="16">
        <f t="shared" si="4"/>
        <v>714</v>
      </c>
      <c r="P159" s="7">
        <v>1180</v>
      </c>
      <c r="Q159" s="7">
        <v>280983.54500000004</v>
      </c>
      <c r="R159" s="7">
        <v>569887.96600000001</v>
      </c>
      <c r="S159" s="7">
        <v>590115.83299999998</v>
      </c>
      <c r="T159" s="7">
        <v>562860.15700000001</v>
      </c>
      <c r="U159" s="7">
        <v>579350.91399999987</v>
      </c>
      <c r="V159" s="7">
        <v>637822.54100000008</v>
      </c>
      <c r="W159" s="7">
        <v>541909.84900000016</v>
      </c>
      <c r="X159" s="16">
        <f>SUM(Q159:W159)</f>
        <v>3762930.8050000006</v>
      </c>
      <c r="Y159" s="28">
        <v>333015.33100000012</v>
      </c>
      <c r="Z159" s="28">
        <v>184957.26200000008</v>
      </c>
      <c r="AA159" s="7">
        <v>72127.641999999993</v>
      </c>
      <c r="AB159" s="16">
        <f t="shared" si="5"/>
        <v>590100.23500000022</v>
      </c>
      <c r="AC159" s="7">
        <v>4353031.040000001</v>
      </c>
      <c r="AD159" s="8">
        <v>3.9148199941743916E-4</v>
      </c>
      <c r="AE159" s="8">
        <v>1.1932169839852347E-4</v>
      </c>
      <c r="AF159" s="8">
        <v>1.0336953626526404E-4</v>
      </c>
      <c r="AG159" s="8">
        <v>9.4161932303906177E-5</v>
      </c>
      <c r="AH159" s="8">
        <v>8.9755619165209443E-5</v>
      </c>
      <c r="AI159" s="8">
        <v>7.2120373682434653E-5</v>
      </c>
      <c r="AJ159" s="8">
        <v>1.4024472915604821E-4</v>
      </c>
      <c r="AK159" s="8">
        <v>3.393237172014761E-4</v>
      </c>
      <c r="AL159" s="8">
        <v>1.3192236809820416E-3</v>
      </c>
      <c r="AM159" s="8">
        <v>4.9495587281225698E-3</v>
      </c>
      <c r="AN159" s="8">
        <v>2.7107548491085416E-4</v>
      </c>
    </row>
    <row r="160" spans="1:40" x14ac:dyDescent="0.2">
      <c r="A160" t="s">
        <v>188</v>
      </c>
      <c r="B160">
        <v>2013</v>
      </c>
      <c r="C160" t="s">
        <v>193</v>
      </c>
      <c r="D160" s="7">
        <v>97</v>
      </c>
      <c r="E160" s="7">
        <v>60</v>
      </c>
      <c r="F160" s="7">
        <v>64</v>
      </c>
      <c r="G160" s="7">
        <v>51</v>
      </c>
      <c r="H160" s="7">
        <v>49</v>
      </c>
      <c r="I160" s="7">
        <v>62</v>
      </c>
      <c r="J160" s="7">
        <v>60</v>
      </c>
      <c r="K160" s="16">
        <f>SUM(D160:J160)</f>
        <v>443</v>
      </c>
      <c r="L160" s="28">
        <v>142</v>
      </c>
      <c r="M160" s="28">
        <v>228</v>
      </c>
      <c r="N160" s="7">
        <v>377</v>
      </c>
      <c r="O160" s="16">
        <f t="shared" si="4"/>
        <v>747</v>
      </c>
      <c r="P160" s="7">
        <v>1190</v>
      </c>
      <c r="Q160" s="7">
        <v>281101.17300000013</v>
      </c>
      <c r="R160" s="7">
        <v>572716.29699999979</v>
      </c>
      <c r="S160" s="7">
        <v>596220.01800000016</v>
      </c>
      <c r="T160" s="7">
        <v>568753.42100000009</v>
      </c>
      <c r="U160" s="7">
        <v>570817.07299999997</v>
      </c>
      <c r="V160" s="7">
        <v>633787.60800000001</v>
      </c>
      <c r="W160" s="7">
        <v>556968.54200000013</v>
      </c>
      <c r="X160" s="16">
        <f>SUM(Q160:W160)</f>
        <v>3780364.1320000002</v>
      </c>
      <c r="Y160" s="28">
        <v>344312.55599999987</v>
      </c>
      <c r="Z160" s="28">
        <v>187049.63199999998</v>
      </c>
      <c r="AA160" s="7">
        <v>73786.870000000039</v>
      </c>
      <c r="AB160" s="16">
        <f t="shared" si="5"/>
        <v>605149.05799999984</v>
      </c>
      <c r="AC160" s="7">
        <v>4385513.1900000004</v>
      </c>
      <c r="AD160" s="8">
        <v>3.450714878375835E-4</v>
      </c>
      <c r="AE160" s="8">
        <v>1.0476391245419723E-4</v>
      </c>
      <c r="AF160" s="8">
        <v>1.0734292386673938E-4</v>
      </c>
      <c r="AG160" s="8">
        <v>8.9669790311467851E-5</v>
      </c>
      <c r="AH160" s="8">
        <v>8.5841861285743294E-5</v>
      </c>
      <c r="AI160" s="8">
        <v>9.7824569646682015E-5</v>
      </c>
      <c r="AJ160" s="8">
        <v>1.0772601228885918E-4</v>
      </c>
      <c r="AK160" s="8">
        <v>4.1241597939286321E-4</v>
      </c>
      <c r="AL160" s="8">
        <v>1.2189278191148754E-3</v>
      </c>
      <c r="AM160" s="8">
        <v>5.1093100981245013E-3</v>
      </c>
      <c r="AN160" s="8">
        <v>2.7134794685225878E-4</v>
      </c>
    </row>
    <row r="161" spans="1:40" x14ac:dyDescent="0.2">
      <c r="A161" t="s">
        <v>188</v>
      </c>
      <c r="B161">
        <v>2014</v>
      </c>
      <c r="C161" t="s">
        <v>194</v>
      </c>
      <c r="D161" s="7">
        <v>98</v>
      </c>
      <c r="E161" s="7">
        <v>60</v>
      </c>
      <c r="F161" s="7">
        <v>61</v>
      </c>
      <c r="G161" s="7">
        <v>37</v>
      </c>
      <c r="H161" s="7">
        <v>55</v>
      </c>
      <c r="I161" s="7">
        <v>68</v>
      </c>
      <c r="J161" s="7">
        <v>89</v>
      </c>
      <c r="K161" s="16">
        <f>SUM(D161:J161)</f>
        <v>468</v>
      </c>
      <c r="L161" s="28">
        <v>161</v>
      </c>
      <c r="M161" s="28">
        <v>257</v>
      </c>
      <c r="N161" s="7">
        <v>374</v>
      </c>
      <c r="O161" s="16">
        <f t="shared" si="4"/>
        <v>792</v>
      </c>
      <c r="P161" s="7">
        <v>1260</v>
      </c>
      <c r="Q161" s="7">
        <v>277406.63200000004</v>
      </c>
      <c r="R161" s="7">
        <v>571694.69900000002</v>
      </c>
      <c r="S161" s="7">
        <v>597279.95500000007</v>
      </c>
      <c r="T161" s="7">
        <v>565845.80000000016</v>
      </c>
      <c r="U161" s="7">
        <v>565851.77900000033</v>
      </c>
      <c r="V161" s="7">
        <v>625679.93600000022</v>
      </c>
      <c r="W161" s="7">
        <v>566774.86899999995</v>
      </c>
      <c r="X161" s="16">
        <f>SUM(Q161:W161)</f>
        <v>3770533.6700000004</v>
      </c>
      <c r="Y161" s="28">
        <v>356500.4099999998</v>
      </c>
      <c r="Z161" s="28">
        <v>189014.674</v>
      </c>
      <c r="AA161" s="7">
        <v>75515.257999999987</v>
      </c>
      <c r="AB161" s="16">
        <f t="shared" si="5"/>
        <v>621030.34199999983</v>
      </c>
      <c r="AC161" s="7">
        <v>4391564.0120000001</v>
      </c>
      <c r="AD161" s="8">
        <v>3.5327201550105689E-4</v>
      </c>
      <c r="AE161" s="8">
        <v>1.049511218224537E-4</v>
      </c>
      <c r="AF161" s="8">
        <v>1.0212966212803842E-4</v>
      </c>
      <c r="AG161" s="8">
        <v>6.5388839150171284E-5</v>
      </c>
      <c r="AH161" s="8">
        <v>9.7198598716431657E-5</v>
      </c>
      <c r="AI161" s="8">
        <v>1.0868176536829203E-4</v>
      </c>
      <c r="AJ161" s="8">
        <v>1.5702883961144721E-4</v>
      </c>
      <c r="AK161" s="8">
        <v>4.5161238383989541E-4</v>
      </c>
      <c r="AL161" s="8">
        <v>1.3596827937284912E-3</v>
      </c>
      <c r="AM161" s="8">
        <v>4.9526414913394065E-3</v>
      </c>
      <c r="AN161" s="8">
        <v>2.8691372744585645E-4</v>
      </c>
    </row>
    <row r="162" spans="1:40" x14ac:dyDescent="0.2">
      <c r="A162" t="s">
        <v>188</v>
      </c>
      <c r="B162">
        <v>2015</v>
      </c>
      <c r="C162" t="s">
        <v>195</v>
      </c>
      <c r="D162" s="7">
        <v>121</v>
      </c>
      <c r="E162" s="7">
        <v>38</v>
      </c>
      <c r="F162" s="7">
        <v>54</v>
      </c>
      <c r="G162" s="7">
        <v>60</v>
      </c>
      <c r="H162" s="7">
        <v>74</v>
      </c>
      <c r="I162" s="7">
        <v>41</v>
      </c>
      <c r="J162" s="7">
        <v>76</v>
      </c>
      <c r="K162" s="16">
        <f>SUM(D162:J162)</f>
        <v>464</v>
      </c>
      <c r="L162" s="28">
        <v>162</v>
      </c>
      <c r="M162" s="28">
        <v>234</v>
      </c>
      <c r="N162" s="7">
        <v>390</v>
      </c>
      <c r="O162" s="16">
        <f t="shared" si="4"/>
        <v>786</v>
      </c>
      <c r="P162" s="7">
        <v>1250</v>
      </c>
      <c r="Q162" s="7">
        <v>300143.91800000012</v>
      </c>
      <c r="R162" s="7">
        <v>620188.94399999978</v>
      </c>
      <c r="S162" s="7">
        <v>651341.0499999997</v>
      </c>
      <c r="T162" s="7">
        <v>603993.30000000016</v>
      </c>
      <c r="U162" s="7">
        <v>605706.5360000002</v>
      </c>
      <c r="V162" s="7">
        <v>669337.23099999991</v>
      </c>
      <c r="W162" s="7">
        <v>625321.6549999998</v>
      </c>
      <c r="X162" s="16">
        <f>SUM(Q162:W162)</f>
        <v>4076032.6340000001</v>
      </c>
      <c r="Y162" s="28">
        <v>407760.81000000023</v>
      </c>
      <c r="Z162" s="28">
        <v>209375.111</v>
      </c>
      <c r="AA162" s="7">
        <v>84151.072000000015</v>
      </c>
      <c r="AB162" s="16">
        <f t="shared" si="5"/>
        <v>701286.99300000025</v>
      </c>
      <c r="AC162" s="7">
        <v>4777319.6269999994</v>
      </c>
      <c r="AD162" s="8">
        <v>4.0313993635546517E-4</v>
      </c>
      <c r="AE162" s="8">
        <v>6.1271650144089013E-5</v>
      </c>
      <c r="AF162" s="8">
        <v>8.2905875501014452E-5</v>
      </c>
      <c r="AG162" s="8">
        <v>9.9338850281948464E-5</v>
      </c>
      <c r="AH162" s="8">
        <v>1.2217137442281122E-4</v>
      </c>
      <c r="AI162" s="8">
        <v>6.1254623381319133E-5</v>
      </c>
      <c r="AJ162" s="8">
        <v>1.2153745099392092E-4</v>
      </c>
      <c r="AK162" s="8">
        <v>3.9729173580952987E-4</v>
      </c>
      <c r="AL162" s="8">
        <v>1.1176113477976855E-3</v>
      </c>
      <c r="AM162" s="8">
        <v>4.63452206526852E-3</v>
      </c>
      <c r="AN162" s="8">
        <v>2.6165299741205699E-4</v>
      </c>
    </row>
    <row r="163" spans="1:40" x14ac:dyDescent="0.2">
      <c r="A163" t="s">
        <v>188</v>
      </c>
      <c r="B163">
        <v>2016</v>
      </c>
      <c r="C163" t="s">
        <v>196</v>
      </c>
      <c r="D163" s="7">
        <v>117</v>
      </c>
      <c r="E163" s="7">
        <v>63</v>
      </c>
      <c r="F163" s="7">
        <v>62</v>
      </c>
      <c r="G163" s="7">
        <v>41</v>
      </c>
      <c r="H163" s="7">
        <v>59</v>
      </c>
      <c r="I163" s="7">
        <v>55</v>
      </c>
      <c r="J163" s="7">
        <v>91</v>
      </c>
      <c r="K163" s="16">
        <f>SUM(D163:J163)</f>
        <v>488</v>
      </c>
      <c r="L163" s="28">
        <v>166</v>
      </c>
      <c r="M163" s="28">
        <v>222</v>
      </c>
      <c r="N163" s="7">
        <v>318</v>
      </c>
      <c r="O163" s="16">
        <f t="shared" si="4"/>
        <v>706</v>
      </c>
      <c r="P163" s="7">
        <v>1194</v>
      </c>
      <c r="Q163" s="7">
        <v>282408.43000000005</v>
      </c>
      <c r="R163" s="7">
        <v>585779.09600000025</v>
      </c>
      <c r="S163" s="7">
        <v>630362.98499999975</v>
      </c>
      <c r="T163" s="7">
        <v>586383.51899999985</v>
      </c>
      <c r="U163" s="7">
        <v>574373.86500000022</v>
      </c>
      <c r="V163" s="7">
        <v>627713.48899999994</v>
      </c>
      <c r="W163" s="7">
        <v>598034.94200000004</v>
      </c>
      <c r="X163" s="16">
        <f>SUM(Q163:W163)</f>
        <v>3885056.3260000004</v>
      </c>
      <c r="Y163" s="28">
        <v>401652.02900000004</v>
      </c>
      <c r="Z163" s="28">
        <v>203674.41899999994</v>
      </c>
      <c r="AA163" s="7">
        <v>81929.037000000026</v>
      </c>
      <c r="AB163" s="16">
        <f t="shared" si="5"/>
        <v>687255.48499999999</v>
      </c>
      <c r="AC163" s="7">
        <v>4572311.8110000007</v>
      </c>
      <c r="AD163" s="8">
        <v>4.1429358181694498E-4</v>
      </c>
      <c r="AE163" s="8">
        <v>1.0754907512097354E-4</v>
      </c>
      <c r="AF163" s="8">
        <v>9.8356028947353281E-5</v>
      </c>
      <c r="AG163" s="8">
        <v>6.9920109743057098E-5</v>
      </c>
      <c r="AH163" s="8">
        <v>1.0272055118663865E-4</v>
      </c>
      <c r="AI163" s="8">
        <v>8.7619592320087945E-5</v>
      </c>
      <c r="AJ163" s="8">
        <v>1.5216502182242053E-4</v>
      </c>
      <c r="AK163" s="8">
        <v>4.1329306965856257E-4</v>
      </c>
      <c r="AL163" s="8">
        <v>1.0899748779938834E-3</v>
      </c>
      <c r="AM163" s="8">
        <v>3.8814077602303551E-3</v>
      </c>
      <c r="AN163" s="8">
        <v>2.6113704606223317E-4</v>
      </c>
    </row>
    <row r="164" spans="1:40" x14ac:dyDescent="0.2">
      <c r="A164" t="s">
        <v>188</v>
      </c>
      <c r="B164">
        <v>2017</v>
      </c>
      <c r="C164" t="s">
        <v>197</v>
      </c>
      <c r="D164" s="7">
        <v>82</v>
      </c>
      <c r="E164" s="7">
        <v>36</v>
      </c>
      <c r="F164" s="7">
        <v>52</v>
      </c>
      <c r="G164" s="7">
        <v>40</v>
      </c>
      <c r="H164" s="7">
        <v>45</v>
      </c>
      <c r="I164" s="7">
        <v>41</v>
      </c>
      <c r="J164" s="7">
        <v>79</v>
      </c>
      <c r="K164" s="16">
        <f>SUM(D164:J164)</f>
        <v>375</v>
      </c>
      <c r="L164" s="28">
        <v>145</v>
      </c>
      <c r="M164" s="28">
        <v>270</v>
      </c>
      <c r="N164" s="7">
        <v>328</v>
      </c>
      <c r="O164" s="16">
        <f t="shared" si="4"/>
        <v>743</v>
      </c>
      <c r="P164" s="7">
        <v>1118</v>
      </c>
      <c r="Q164" s="7">
        <v>277003</v>
      </c>
      <c r="R164" s="7">
        <v>578395</v>
      </c>
      <c r="S164" s="7">
        <v>606355</v>
      </c>
      <c r="T164" s="7">
        <v>578807</v>
      </c>
      <c r="U164" s="7">
        <v>562976</v>
      </c>
      <c r="V164" s="7">
        <v>609154</v>
      </c>
      <c r="W164" s="7">
        <v>594396</v>
      </c>
      <c r="X164" s="16">
        <f>SUM(Q164:W164)</f>
        <v>3807086</v>
      </c>
      <c r="Y164" s="28">
        <v>408860</v>
      </c>
      <c r="Z164" s="28">
        <v>204285</v>
      </c>
      <c r="AA164" s="7">
        <v>81392</v>
      </c>
      <c r="AB164" s="16">
        <f t="shared" si="5"/>
        <v>694537</v>
      </c>
      <c r="AC164" s="7">
        <v>4501623</v>
      </c>
      <c r="AD164" s="8">
        <v>2.9602567481218616E-4</v>
      </c>
      <c r="AE164" s="8">
        <v>6.2241201946766482E-5</v>
      </c>
      <c r="AF164" s="8">
        <v>8.5758342884943638E-5</v>
      </c>
      <c r="AG164" s="8">
        <v>6.9107664558306999E-5</v>
      </c>
      <c r="AH164" s="8">
        <v>7.9932359461149316E-5</v>
      </c>
      <c r="AI164" s="8">
        <v>6.7306461091940626E-5</v>
      </c>
      <c r="AJ164" s="8">
        <v>1.3290802764486976E-4</v>
      </c>
      <c r="AK164" s="8">
        <v>3.546446216308761E-4</v>
      </c>
      <c r="AL164" s="8">
        <v>1.321682942947353E-3</v>
      </c>
      <c r="AM164" s="8">
        <v>4.029880086494987E-3</v>
      </c>
      <c r="AN164" s="8">
        <v>2.483548711209268E-4</v>
      </c>
    </row>
    <row r="165" spans="1:40" x14ac:dyDescent="0.2">
      <c r="A165" t="s">
        <v>198</v>
      </c>
      <c r="B165">
        <v>2009</v>
      </c>
      <c r="C165" t="s">
        <v>199</v>
      </c>
      <c r="D165" s="7">
        <v>103</v>
      </c>
      <c r="E165" s="7">
        <v>64</v>
      </c>
      <c r="F165" s="7">
        <v>63</v>
      </c>
      <c r="G165" s="7">
        <v>60</v>
      </c>
      <c r="H165" s="7">
        <v>62</v>
      </c>
      <c r="I165" s="7">
        <v>52</v>
      </c>
      <c r="J165" s="7">
        <v>45</v>
      </c>
      <c r="K165" s="16">
        <f>SUM(D165:J165)</f>
        <v>449</v>
      </c>
      <c r="L165" s="28">
        <v>99</v>
      </c>
      <c r="M165" s="28">
        <v>243</v>
      </c>
      <c r="N165" s="7">
        <v>345</v>
      </c>
      <c r="O165" s="16">
        <f t="shared" si="4"/>
        <v>687</v>
      </c>
      <c r="P165" s="7">
        <v>1136</v>
      </c>
      <c r="Q165" s="7">
        <v>311787.08799999999</v>
      </c>
      <c r="R165" s="7">
        <v>612616.33199999982</v>
      </c>
      <c r="S165" s="7">
        <v>680955.34699999983</v>
      </c>
      <c r="T165" s="7">
        <v>587475.32799999998</v>
      </c>
      <c r="U165" s="7">
        <v>591230.99700000009</v>
      </c>
      <c r="V165" s="7">
        <v>638097.74800000002</v>
      </c>
      <c r="W165" s="7">
        <v>477651.12200000015</v>
      </c>
      <c r="X165" s="16">
        <f>SUM(Q165:W165)</f>
        <v>3899813.9619999998</v>
      </c>
      <c r="Y165" s="28">
        <v>288046.58800000005</v>
      </c>
      <c r="Z165" s="28">
        <v>184258.13600000003</v>
      </c>
      <c r="AA165" s="7">
        <v>66061.202000000005</v>
      </c>
      <c r="AB165" s="16">
        <f t="shared" si="5"/>
        <v>538365.92600000009</v>
      </c>
      <c r="AC165" s="7">
        <v>4438179.8879999993</v>
      </c>
      <c r="AD165" s="8">
        <v>3.3035364184164036E-4</v>
      </c>
      <c r="AE165" s="8">
        <v>1.044699539613319E-4</v>
      </c>
      <c r="AF165" s="8">
        <v>9.2517079537669035E-5</v>
      </c>
      <c r="AG165" s="8">
        <v>1.0213194859478423E-4</v>
      </c>
      <c r="AH165" s="8">
        <v>1.0486594971271439E-4</v>
      </c>
      <c r="AI165" s="8">
        <v>8.1492216769271531E-5</v>
      </c>
      <c r="AJ165" s="8">
        <v>9.4211021239891461E-5</v>
      </c>
      <c r="AK165" s="8">
        <v>3.4369440265683682E-4</v>
      </c>
      <c r="AL165" s="8">
        <v>1.3188020093723295E-3</v>
      </c>
      <c r="AM165" s="8">
        <v>5.2224299521525502E-3</v>
      </c>
      <c r="AN165" s="8">
        <v>2.5596078317409568E-4</v>
      </c>
    </row>
    <row r="166" spans="1:40" x14ac:dyDescent="0.2">
      <c r="A166" t="s">
        <v>198</v>
      </c>
      <c r="B166">
        <v>2010</v>
      </c>
      <c r="C166" t="s">
        <v>200</v>
      </c>
      <c r="D166" s="7">
        <v>140</v>
      </c>
      <c r="E166" s="7">
        <v>62</v>
      </c>
      <c r="F166" s="7">
        <v>48</v>
      </c>
      <c r="G166" s="7">
        <v>60</v>
      </c>
      <c r="H166" s="7">
        <v>51</v>
      </c>
      <c r="I166" s="7">
        <v>43</v>
      </c>
      <c r="J166" s="7">
        <v>59</v>
      </c>
      <c r="K166" s="16">
        <f>SUM(D166:J166)</f>
        <v>463</v>
      </c>
      <c r="L166" s="28">
        <v>143</v>
      </c>
      <c r="M166" s="28">
        <v>247</v>
      </c>
      <c r="N166" s="7">
        <v>338</v>
      </c>
      <c r="O166" s="16">
        <f t="shared" si="4"/>
        <v>728</v>
      </c>
      <c r="P166" s="7">
        <v>1191</v>
      </c>
      <c r="Q166" s="7">
        <v>308414.14900000003</v>
      </c>
      <c r="R166" s="7">
        <v>614160.14</v>
      </c>
      <c r="S166" s="7">
        <v>668465.34299999988</v>
      </c>
      <c r="T166" s="7">
        <v>596271.53299999982</v>
      </c>
      <c r="U166" s="7">
        <v>589867.83899999969</v>
      </c>
      <c r="V166" s="7">
        <v>656752.11300000013</v>
      </c>
      <c r="W166" s="7">
        <v>510176.82699999999</v>
      </c>
      <c r="X166" s="16">
        <f>SUM(Q166:W166)</f>
        <v>3944107.9439999997</v>
      </c>
      <c r="Y166" s="28">
        <v>302058.58199999982</v>
      </c>
      <c r="Z166" s="28">
        <v>180695.00499999992</v>
      </c>
      <c r="AA166" s="7">
        <v>64732.740999999995</v>
      </c>
      <c r="AB166" s="16">
        <f t="shared" si="5"/>
        <v>547486.32799999975</v>
      </c>
      <c r="AC166" s="7">
        <v>4491594.2719999999</v>
      </c>
      <c r="AD166" s="8">
        <v>4.5393507546244248E-4</v>
      </c>
      <c r="AE166" s="8">
        <v>1.0095086926351162E-4</v>
      </c>
      <c r="AF166" s="8">
        <v>7.1806265654074473E-5</v>
      </c>
      <c r="AG166" s="8">
        <v>1.0062529683099933E-4</v>
      </c>
      <c r="AH166" s="8">
        <v>8.6460045162760652E-5</v>
      </c>
      <c r="AI166" s="8">
        <v>6.5473713976463429E-5</v>
      </c>
      <c r="AJ166" s="8">
        <v>1.1564617771241891E-4</v>
      </c>
      <c r="AK166" s="8">
        <v>4.7341810006907892E-4</v>
      </c>
      <c r="AL166" s="8">
        <v>1.3669442605787588E-3</v>
      </c>
      <c r="AM166" s="8">
        <v>5.2214689935654052E-3</v>
      </c>
      <c r="AN166" s="8">
        <v>2.6516197320504555E-4</v>
      </c>
    </row>
    <row r="167" spans="1:40" x14ac:dyDescent="0.2">
      <c r="A167" t="s">
        <v>198</v>
      </c>
      <c r="B167">
        <v>2011</v>
      </c>
      <c r="C167" t="s">
        <v>201</v>
      </c>
      <c r="D167" s="7">
        <v>96</v>
      </c>
      <c r="E167" s="7">
        <v>53</v>
      </c>
      <c r="F167" s="7">
        <v>48</v>
      </c>
      <c r="G167" s="7">
        <v>50</v>
      </c>
      <c r="H167" s="7">
        <v>45</v>
      </c>
      <c r="I167" s="7">
        <v>55</v>
      </c>
      <c r="J167" s="7">
        <v>69</v>
      </c>
      <c r="K167" s="16">
        <f>SUM(D167:J167)</f>
        <v>416</v>
      </c>
      <c r="L167" s="28">
        <v>87</v>
      </c>
      <c r="M167" s="28">
        <v>242</v>
      </c>
      <c r="N167" s="7">
        <v>341</v>
      </c>
      <c r="O167" s="16">
        <f t="shared" si="4"/>
        <v>670</v>
      </c>
      <c r="P167" s="7">
        <v>1086</v>
      </c>
      <c r="Q167" s="7">
        <v>314528.50700000004</v>
      </c>
      <c r="R167" s="7">
        <v>617509.75699999998</v>
      </c>
      <c r="S167" s="7">
        <v>672288.32199999993</v>
      </c>
      <c r="T167" s="7">
        <v>612941.64599999972</v>
      </c>
      <c r="U167" s="7">
        <v>578993.21299999999</v>
      </c>
      <c r="V167" s="7">
        <v>657513.40300000017</v>
      </c>
      <c r="W167" s="7">
        <v>527206.91200000001</v>
      </c>
      <c r="X167" s="16">
        <f>SUM(Q167:W167)</f>
        <v>3980981.7600000002</v>
      </c>
      <c r="Y167" s="28">
        <v>309800.55700000003</v>
      </c>
      <c r="Z167" s="28">
        <v>181977.31500000009</v>
      </c>
      <c r="AA167" s="7">
        <v>67099.348999999987</v>
      </c>
      <c r="AB167" s="16">
        <f t="shared" si="5"/>
        <v>558877.22100000014</v>
      </c>
      <c r="AC167" s="7">
        <v>4539858.9810000006</v>
      </c>
      <c r="AD167" s="8">
        <v>3.0521875716658009E-4</v>
      </c>
      <c r="AE167" s="8">
        <v>8.5828603352740225E-5</v>
      </c>
      <c r="AF167" s="8">
        <v>7.1397938100730541E-5</v>
      </c>
      <c r="AG167" s="8">
        <v>8.1573833865418284E-5</v>
      </c>
      <c r="AH167" s="8">
        <v>7.7721118295733801E-5</v>
      </c>
      <c r="AI167" s="8">
        <v>8.3648484957195599E-5</v>
      </c>
      <c r="AJ167" s="8">
        <v>1.3087840547887201E-4</v>
      </c>
      <c r="AK167" s="8">
        <v>2.8082583466755996E-4</v>
      </c>
      <c r="AL167" s="8">
        <v>1.3298360842394002E-3</v>
      </c>
      <c r="AM167" s="8">
        <v>5.082016518520918E-3</v>
      </c>
      <c r="AN167" s="8">
        <v>2.3921447880761825E-4</v>
      </c>
    </row>
    <row r="168" spans="1:40" x14ac:dyDescent="0.2">
      <c r="A168" t="s">
        <v>198</v>
      </c>
      <c r="B168">
        <v>2012</v>
      </c>
      <c r="C168" t="s">
        <v>202</v>
      </c>
      <c r="D168" s="7">
        <v>110</v>
      </c>
      <c r="E168" s="7">
        <v>67</v>
      </c>
      <c r="F168" s="7">
        <v>68</v>
      </c>
      <c r="G168" s="7">
        <v>62</v>
      </c>
      <c r="H168" s="7">
        <v>52</v>
      </c>
      <c r="I168" s="7">
        <v>59</v>
      </c>
      <c r="J168" s="7">
        <v>70</v>
      </c>
      <c r="K168" s="16">
        <f>SUM(D168:J168)</f>
        <v>488</v>
      </c>
      <c r="L168" s="28">
        <v>100</v>
      </c>
      <c r="M168" s="28">
        <v>218</v>
      </c>
      <c r="N168" s="7">
        <v>313</v>
      </c>
      <c r="O168" s="16">
        <f t="shared" si="4"/>
        <v>631</v>
      </c>
      <c r="P168" s="7">
        <v>1119</v>
      </c>
      <c r="Q168" s="7">
        <v>323423.25800000009</v>
      </c>
      <c r="R168" s="7">
        <v>640213.15400000021</v>
      </c>
      <c r="S168" s="7">
        <v>688322.73199999996</v>
      </c>
      <c r="T168" s="7">
        <v>643724.83600000001</v>
      </c>
      <c r="U168" s="7">
        <v>595996.82099999976</v>
      </c>
      <c r="V168" s="7">
        <v>678075.04100000032</v>
      </c>
      <c r="W168" s="7">
        <v>562831.01399999985</v>
      </c>
      <c r="X168" s="16">
        <f>SUM(Q168:W168)</f>
        <v>4132586.8560000001</v>
      </c>
      <c r="Y168" s="28">
        <v>330837.16600000008</v>
      </c>
      <c r="Z168" s="28">
        <v>188348.26800000001</v>
      </c>
      <c r="AA168" s="7">
        <v>70663.903000000006</v>
      </c>
      <c r="AB168" s="16">
        <f t="shared" si="5"/>
        <v>589849.33700000017</v>
      </c>
      <c r="AC168" s="7">
        <v>4722436.193</v>
      </c>
      <c r="AD168" s="8">
        <v>3.4011159457184113E-4</v>
      </c>
      <c r="AE168" s="8">
        <v>1.0465264510950672E-4</v>
      </c>
      <c r="AF168" s="8">
        <v>9.8790867769858867E-5</v>
      </c>
      <c r="AG168" s="8">
        <v>9.6314444515233839E-5</v>
      </c>
      <c r="AH168" s="8">
        <v>8.7248787523314697E-5</v>
      </c>
      <c r="AI168" s="8">
        <v>8.701101859314708E-5</v>
      </c>
      <c r="AJ168" s="8">
        <v>1.2437125577447305E-4</v>
      </c>
      <c r="AK168" s="8">
        <v>3.022635008304961E-4</v>
      </c>
      <c r="AL168" s="8">
        <v>1.157430340692063E-3</v>
      </c>
      <c r="AM168" s="8">
        <v>4.4294185108909138E-3</v>
      </c>
      <c r="AN168" s="8">
        <v>2.3695396915233662E-4</v>
      </c>
    </row>
    <row r="169" spans="1:40" x14ac:dyDescent="0.2">
      <c r="A169" t="s">
        <v>198</v>
      </c>
      <c r="B169">
        <v>2013</v>
      </c>
      <c r="C169" t="s">
        <v>203</v>
      </c>
      <c r="D169" s="7">
        <v>133</v>
      </c>
      <c r="E169" s="7">
        <v>41</v>
      </c>
      <c r="F169" s="7">
        <v>74</v>
      </c>
      <c r="G169" s="7">
        <v>54</v>
      </c>
      <c r="H169" s="7">
        <v>59</v>
      </c>
      <c r="I169" s="7">
        <v>56</v>
      </c>
      <c r="J169" s="7">
        <v>114</v>
      </c>
      <c r="K169" s="16">
        <f>SUM(D169:J169)</f>
        <v>531</v>
      </c>
      <c r="L169" s="28">
        <v>116</v>
      </c>
      <c r="M169" s="28">
        <v>193</v>
      </c>
      <c r="N169" s="7">
        <v>344</v>
      </c>
      <c r="O169" s="16">
        <f t="shared" si="4"/>
        <v>653</v>
      </c>
      <c r="P169" s="7">
        <v>1184</v>
      </c>
      <c r="Q169" s="7">
        <v>304855.06699999992</v>
      </c>
      <c r="R169" s="7">
        <v>602321.21099999989</v>
      </c>
      <c r="S169" s="7">
        <v>646775.96899999981</v>
      </c>
      <c r="T169" s="7">
        <v>625325.99300000002</v>
      </c>
      <c r="U169" s="7">
        <v>553248.03199999977</v>
      </c>
      <c r="V169" s="7">
        <v>627969.6179999999</v>
      </c>
      <c r="W169" s="7">
        <v>543455.56200000027</v>
      </c>
      <c r="X169" s="16">
        <f>SUM(Q169:W169)</f>
        <v>3903951.4519999991</v>
      </c>
      <c r="Y169" s="28">
        <v>321902.55899999995</v>
      </c>
      <c r="Z169" s="28">
        <v>179778.56600000002</v>
      </c>
      <c r="AA169" s="7">
        <v>67547.919000000009</v>
      </c>
      <c r="AB169" s="16">
        <f t="shared" si="5"/>
        <v>569229.04399999999</v>
      </c>
      <c r="AC169" s="7">
        <v>4473180.4959999984</v>
      </c>
      <c r="AD169" s="8">
        <v>4.3627288635487906E-4</v>
      </c>
      <c r="AE169" s="8">
        <v>6.8069991976424032E-5</v>
      </c>
      <c r="AF169" s="8">
        <v>1.1441365101182357E-4</v>
      </c>
      <c r="AG169" s="8">
        <v>8.6354958220967478E-5</v>
      </c>
      <c r="AH169" s="8">
        <v>1.0664294599786308E-4</v>
      </c>
      <c r="AI169" s="8">
        <v>8.9176288780263904E-5</v>
      </c>
      <c r="AJ169" s="8">
        <v>2.0976876118529805E-4</v>
      </c>
      <c r="AK169" s="8">
        <v>3.6035749563581451E-4</v>
      </c>
      <c r="AL169" s="8">
        <v>1.0735428827483248E-3</v>
      </c>
      <c r="AM169" s="8">
        <v>5.0926809455077359E-3</v>
      </c>
      <c r="AN169" s="8">
        <v>2.64688626148387E-4</v>
      </c>
    </row>
    <row r="170" spans="1:40" x14ac:dyDescent="0.2">
      <c r="A170" t="s">
        <v>198</v>
      </c>
      <c r="B170">
        <v>2014</v>
      </c>
      <c r="C170" t="s">
        <v>204</v>
      </c>
      <c r="D170" s="7">
        <v>95</v>
      </c>
      <c r="E170" s="7">
        <v>61</v>
      </c>
      <c r="F170" s="7">
        <v>66</v>
      </c>
      <c r="G170" s="7">
        <v>56</v>
      </c>
      <c r="H170" s="7">
        <v>51</v>
      </c>
      <c r="I170" s="7">
        <v>89</v>
      </c>
      <c r="J170" s="7">
        <v>103</v>
      </c>
      <c r="K170" s="16">
        <f>SUM(D170:J170)</f>
        <v>521</v>
      </c>
      <c r="L170" s="28">
        <v>133</v>
      </c>
      <c r="M170" s="28">
        <v>173</v>
      </c>
      <c r="N170" s="7">
        <v>292</v>
      </c>
      <c r="O170" s="16">
        <f t="shared" si="4"/>
        <v>598</v>
      </c>
      <c r="P170" s="7">
        <v>1119</v>
      </c>
      <c r="Q170" s="7">
        <v>314598.27600000007</v>
      </c>
      <c r="R170" s="7">
        <v>631068.60700000008</v>
      </c>
      <c r="S170" s="7">
        <v>671577.51700000011</v>
      </c>
      <c r="T170" s="7">
        <v>657621.42999999982</v>
      </c>
      <c r="U170" s="7">
        <v>579181.58899999992</v>
      </c>
      <c r="V170" s="7">
        <v>650460.17299999984</v>
      </c>
      <c r="W170" s="7">
        <v>586518.06299999973</v>
      </c>
      <c r="X170" s="16">
        <f>SUM(Q170:W170)</f>
        <v>4091025.6549999993</v>
      </c>
      <c r="Y170" s="28">
        <v>356156.15700000012</v>
      </c>
      <c r="Z170" s="28">
        <v>193540.44900000005</v>
      </c>
      <c r="AA170" s="7">
        <v>74512.044999999984</v>
      </c>
      <c r="AB170" s="16">
        <f t="shared" si="5"/>
        <v>624208.65100000007</v>
      </c>
      <c r="AC170" s="7">
        <v>4715234.3059999989</v>
      </c>
      <c r="AD170" s="8">
        <v>3.0197241131734614E-4</v>
      </c>
      <c r="AE170" s="8">
        <v>9.6661439538221224E-5</v>
      </c>
      <c r="AF170" s="8">
        <v>9.8276071383134151E-5</v>
      </c>
      <c r="AG170" s="8">
        <v>8.5155375791205615E-5</v>
      </c>
      <c r="AH170" s="8">
        <v>8.8055285196574171E-5</v>
      </c>
      <c r="AI170" s="8">
        <v>1.3682620965019488E-4</v>
      </c>
      <c r="AJ170" s="8">
        <v>1.7561266480551691E-4</v>
      </c>
      <c r="AK170" s="8">
        <v>3.7343170231927215E-4</v>
      </c>
      <c r="AL170" s="8">
        <v>8.9386999407033488E-4</v>
      </c>
      <c r="AM170" s="8">
        <v>3.9188294993111527E-3</v>
      </c>
      <c r="AN170" s="8">
        <v>2.373158845099394E-4</v>
      </c>
    </row>
    <row r="171" spans="1:40" x14ac:dyDescent="0.2">
      <c r="A171" t="s">
        <v>198</v>
      </c>
      <c r="B171">
        <v>2015</v>
      </c>
      <c r="C171" t="s">
        <v>205</v>
      </c>
      <c r="D171" s="7">
        <v>95</v>
      </c>
      <c r="E171" s="7">
        <v>58</v>
      </c>
      <c r="F171" s="7">
        <v>78</v>
      </c>
      <c r="G171" s="7">
        <v>75</v>
      </c>
      <c r="H171" s="7">
        <v>38</v>
      </c>
      <c r="I171" s="7">
        <v>30</v>
      </c>
      <c r="J171" s="7">
        <v>55</v>
      </c>
      <c r="K171" s="16">
        <f>SUM(D171:J171)</f>
        <v>429</v>
      </c>
      <c r="L171" s="28">
        <v>97</v>
      </c>
      <c r="M171" s="28">
        <v>190</v>
      </c>
      <c r="N171" s="7">
        <v>291</v>
      </c>
      <c r="O171" s="16">
        <f t="shared" si="4"/>
        <v>578</v>
      </c>
      <c r="P171" s="7">
        <v>1007</v>
      </c>
      <c r="Q171" s="7">
        <v>306051.16199999989</v>
      </c>
      <c r="R171" s="7">
        <v>611289.18400000001</v>
      </c>
      <c r="S171" s="7">
        <v>645802.44899999967</v>
      </c>
      <c r="T171" s="7">
        <v>645142.49399999983</v>
      </c>
      <c r="U171" s="7">
        <v>556146.72</v>
      </c>
      <c r="V171" s="7">
        <v>614972.71799999988</v>
      </c>
      <c r="W171" s="7">
        <v>577402.14600000018</v>
      </c>
      <c r="X171" s="16">
        <f>SUM(Q171:W171)</f>
        <v>3956806.8729999997</v>
      </c>
      <c r="Y171" s="28">
        <v>354598.95699999994</v>
      </c>
      <c r="Z171" s="28">
        <v>186712.745</v>
      </c>
      <c r="AA171" s="7">
        <v>72344.498999999967</v>
      </c>
      <c r="AB171" s="16">
        <f t="shared" si="5"/>
        <v>613656.20099999988</v>
      </c>
      <c r="AC171" s="7">
        <v>4570463.074</v>
      </c>
      <c r="AD171" s="8">
        <v>3.1040561773786057E-4</v>
      </c>
      <c r="AE171" s="8">
        <v>9.4881443215589435E-5</v>
      </c>
      <c r="AF171" s="8">
        <v>1.2077996935561333E-4</v>
      </c>
      <c r="AG171" s="8">
        <v>1.1625338696105177E-4</v>
      </c>
      <c r="AH171" s="8">
        <v>6.8327293200614407E-5</v>
      </c>
      <c r="AI171" s="8">
        <v>4.8782651850906994E-5</v>
      </c>
      <c r="AJ171" s="8">
        <v>9.5254235511622052E-5</v>
      </c>
      <c r="AK171" s="8">
        <v>2.7354846393414526E-4</v>
      </c>
      <c r="AL171" s="8">
        <v>1.0176059486458732E-3</v>
      </c>
      <c r="AM171" s="8">
        <v>4.0224205575050027E-3</v>
      </c>
      <c r="AN171" s="8">
        <v>2.2032778379252693E-4</v>
      </c>
    </row>
    <row r="172" spans="1:40" x14ac:dyDescent="0.2">
      <c r="A172" t="s">
        <v>198</v>
      </c>
      <c r="B172">
        <v>2016</v>
      </c>
      <c r="C172" t="s">
        <v>206</v>
      </c>
      <c r="D172" s="7">
        <v>106</v>
      </c>
      <c r="E172" s="7">
        <v>66</v>
      </c>
      <c r="F172" s="7">
        <v>71</v>
      </c>
      <c r="G172" s="7">
        <v>44</v>
      </c>
      <c r="H172" s="7">
        <v>59</v>
      </c>
      <c r="I172" s="7">
        <v>44</v>
      </c>
      <c r="J172" s="7">
        <v>50</v>
      </c>
      <c r="K172" s="16">
        <f>SUM(D172:J172)</f>
        <v>440</v>
      </c>
      <c r="L172" s="28">
        <v>98</v>
      </c>
      <c r="M172" s="28">
        <v>180</v>
      </c>
      <c r="N172" s="7">
        <v>253</v>
      </c>
      <c r="O172" s="16">
        <f t="shared" si="4"/>
        <v>531</v>
      </c>
      <c r="P172" s="7">
        <v>971</v>
      </c>
      <c r="Q172" s="7">
        <v>322616.96299999999</v>
      </c>
      <c r="R172" s="7">
        <v>652008.51100000017</v>
      </c>
      <c r="S172" s="7">
        <v>677643.07499999972</v>
      </c>
      <c r="T172" s="7">
        <v>694441.07999999984</v>
      </c>
      <c r="U172" s="7">
        <v>599295.41099999996</v>
      </c>
      <c r="V172" s="7">
        <v>649184.45599999989</v>
      </c>
      <c r="W172" s="7">
        <v>641557.14999999991</v>
      </c>
      <c r="X172" s="16">
        <f>SUM(Q172:W172)</f>
        <v>4236746.6459999997</v>
      </c>
      <c r="Y172" s="28">
        <v>421503.93599999987</v>
      </c>
      <c r="Z172" s="28">
        <v>213074.03399999996</v>
      </c>
      <c r="AA172" s="7">
        <v>83537.672999999995</v>
      </c>
      <c r="AB172" s="16">
        <f t="shared" si="5"/>
        <v>718115.64299999981</v>
      </c>
      <c r="AC172" s="7">
        <v>4954862.2889999999</v>
      </c>
      <c r="AD172" s="8">
        <v>3.2856300863510395E-4</v>
      </c>
      <c r="AE172" s="8">
        <v>1.0122567249739472E-4</v>
      </c>
      <c r="AF172" s="8">
        <v>1.0477492151749656E-4</v>
      </c>
      <c r="AG172" s="8">
        <v>6.3360306968015219E-5</v>
      </c>
      <c r="AH172" s="8">
        <v>9.8448943404307165E-5</v>
      </c>
      <c r="AI172" s="8">
        <v>6.7777346782314221E-5</v>
      </c>
      <c r="AJ172" s="8">
        <v>7.7935379568289443E-5</v>
      </c>
      <c r="AK172" s="8">
        <v>2.3250079448842924E-4</v>
      </c>
      <c r="AL172" s="8">
        <v>8.4477679715774302E-4</v>
      </c>
      <c r="AM172" s="8">
        <v>3.0285737070985929E-3</v>
      </c>
      <c r="AN172" s="8">
        <v>1.9596911949614832E-4</v>
      </c>
    </row>
    <row r="173" spans="1:40" x14ac:dyDescent="0.2">
      <c r="A173" t="s">
        <v>198</v>
      </c>
      <c r="B173">
        <v>2017</v>
      </c>
      <c r="C173" t="s">
        <v>207</v>
      </c>
      <c r="D173" s="7">
        <v>120</v>
      </c>
      <c r="E173" s="7">
        <v>53</v>
      </c>
      <c r="F173" s="7">
        <v>66</v>
      </c>
      <c r="G173" s="7">
        <v>62</v>
      </c>
      <c r="H173" s="7">
        <v>48</v>
      </c>
      <c r="I173" s="7">
        <v>44</v>
      </c>
      <c r="J173" s="7">
        <v>94</v>
      </c>
      <c r="K173" s="16">
        <f>SUM(D173:J173)</f>
        <v>487</v>
      </c>
      <c r="L173" s="28">
        <v>136</v>
      </c>
      <c r="M173" s="28">
        <v>185</v>
      </c>
      <c r="N173" s="7">
        <v>269</v>
      </c>
      <c r="O173" s="16">
        <f t="shared" si="4"/>
        <v>590</v>
      </c>
      <c r="P173" s="7">
        <v>1077</v>
      </c>
      <c r="Q173" s="7">
        <v>295918</v>
      </c>
      <c r="R173" s="7">
        <v>586095</v>
      </c>
      <c r="S173" s="7">
        <v>618373</v>
      </c>
      <c r="T173" s="7">
        <v>640936</v>
      </c>
      <c r="U173" s="7">
        <v>543239</v>
      </c>
      <c r="V173" s="7">
        <v>569889</v>
      </c>
      <c r="W173" s="7">
        <v>564752</v>
      </c>
      <c r="X173" s="16">
        <f>SUM(Q173:W173)</f>
        <v>3819202</v>
      </c>
      <c r="Y173" s="28">
        <v>370525</v>
      </c>
      <c r="Z173" s="28">
        <v>183095</v>
      </c>
      <c r="AA173" s="7">
        <v>71512</v>
      </c>
      <c r="AB173" s="16">
        <f t="shared" si="5"/>
        <v>625132</v>
      </c>
      <c r="AC173" s="7">
        <v>4444334</v>
      </c>
      <c r="AD173" s="8">
        <v>4.0551774478064871E-4</v>
      </c>
      <c r="AE173" s="8">
        <v>9.0429026011141535E-5</v>
      </c>
      <c r="AF173" s="8">
        <v>1.0673169753530636E-4</v>
      </c>
      <c r="AG173" s="8">
        <v>9.6733527216445953E-5</v>
      </c>
      <c r="AH173" s="8">
        <v>8.8358899121749354E-5</v>
      </c>
      <c r="AI173" s="8">
        <v>7.7208017701692783E-5</v>
      </c>
      <c r="AJ173" s="8">
        <v>1.6644474034620507E-4</v>
      </c>
      <c r="AK173" s="8">
        <v>3.6704675797854397E-4</v>
      </c>
      <c r="AL173" s="8">
        <v>1.0104044348562221E-3</v>
      </c>
      <c r="AM173" s="8">
        <v>3.7616064436737889E-3</v>
      </c>
      <c r="AN173" s="8">
        <v>2.4233102192589486E-4</v>
      </c>
    </row>
    <row r="174" spans="1:40" x14ac:dyDescent="0.2">
      <c r="A174" t="s">
        <v>208</v>
      </c>
      <c r="B174">
        <v>2009</v>
      </c>
      <c r="C174" t="s">
        <v>209</v>
      </c>
      <c r="D174" s="7">
        <v>126</v>
      </c>
      <c r="E174" s="7">
        <v>54</v>
      </c>
      <c r="F174" s="7">
        <v>52</v>
      </c>
      <c r="G174" s="7">
        <v>57</v>
      </c>
      <c r="H174" s="7">
        <v>54</v>
      </c>
      <c r="I174" s="7">
        <v>69</v>
      </c>
      <c r="J174" s="7">
        <v>47</v>
      </c>
      <c r="K174" s="16">
        <f>SUM(D174:J174)</f>
        <v>459</v>
      </c>
      <c r="L174" s="28">
        <v>66</v>
      </c>
      <c r="M174" s="28">
        <v>66</v>
      </c>
      <c r="N174" s="7">
        <v>111</v>
      </c>
      <c r="O174" s="16">
        <f t="shared" si="4"/>
        <v>243</v>
      </c>
      <c r="P174" s="7">
        <v>702</v>
      </c>
      <c r="Q174" s="7">
        <v>70908.907999999996</v>
      </c>
      <c r="R174" s="7">
        <v>154170.177</v>
      </c>
      <c r="S174" s="7">
        <v>173479.87500000003</v>
      </c>
      <c r="T174" s="7">
        <v>147387.47699999998</v>
      </c>
      <c r="U174" s="7">
        <v>184908.92799999996</v>
      </c>
      <c r="V174" s="7">
        <v>216653.70199999999</v>
      </c>
      <c r="W174" s="7">
        <v>171821.56100000002</v>
      </c>
      <c r="X174" s="16">
        <f>SUM(Q174:W174)</f>
        <v>1119330.628</v>
      </c>
      <c r="Y174" s="28">
        <v>101939.62000000001</v>
      </c>
      <c r="Z174" s="28">
        <v>68907.930999999997</v>
      </c>
      <c r="AA174" s="7">
        <v>26937.315999999992</v>
      </c>
      <c r="AB174" s="16">
        <f t="shared" si="5"/>
        <v>197784.867</v>
      </c>
      <c r="AC174" s="7">
        <v>1317115.4950000001</v>
      </c>
      <c r="AD174" s="8">
        <v>1.776927660485196E-3</v>
      </c>
      <c r="AE174" s="8">
        <v>3.5026229489248104E-4</v>
      </c>
      <c r="AF174" s="8">
        <v>2.9974658443810841E-4</v>
      </c>
      <c r="AG174" s="8">
        <v>3.867357061821474E-4</v>
      </c>
      <c r="AH174" s="8">
        <v>2.920356555201056E-4</v>
      </c>
      <c r="AI174" s="8">
        <v>3.1848059536042453E-4</v>
      </c>
      <c r="AJ174" s="8">
        <v>2.7353959378823239E-4</v>
      </c>
      <c r="AK174" s="8">
        <v>6.4744208385316717E-4</v>
      </c>
      <c r="AL174" s="8">
        <v>9.5779976328123971E-4</v>
      </c>
      <c r="AM174" s="8">
        <v>4.120677798782924E-3</v>
      </c>
      <c r="AN174" s="8">
        <v>5.329828725460404E-4</v>
      </c>
    </row>
    <row r="175" spans="1:40" x14ac:dyDescent="0.2">
      <c r="A175" t="s">
        <v>208</v>
      </c>
      <c r="B175">
        <v>2010</v>
      </c>
      <c r="C175" t="s">
        <v>210</v>
      </c>
      <c r="D175" s="7">
        <v>112</v>
      </c>
      <c r="E175" s="7">
        <v>50</v>
      </c>
      <c r="F175" s="7">
        <v>51</v>
      </c>
      <c r="G175" s="7">
        <v>50</v>
      </c>
      <c r="H175" s="7">
        <v>39</v>
      </c>
      <c r="I175" s="7">
        <v>53</v>
      </c>
      <c r="J175" s="7">
        <v>54</v>
      </c>
      <c r="K175" s="16">
        <f>SUM(D175:J175)</f>
        <v>409</v>
      </c>
      <c r="L175" s="28">
        <v>30</v>
      </c>
      <c r="M175" s="28">
        <v>68</v>
      </c>
      <c r="N175" s="7">
        <v>122</v>
      </c>
      <c r="O175" s="16">
        <f t="shared" si="4"/>
        <v>220</v>
      </c>
      <c r="P175" s="7">
        <v>629</v>
      </c>
      <c r="Q175" s="7">
        <v>69854.609000000011</v>
      </c>
      <c r="R175" s="7">
        <v>156391.02499999999</v>
      </c>
      <c r="S175" s="7">
        <v>171735.96099999998</v>
      </c>
      <c r="T175" s="7">
        <v>144232.56400000001</v>
      </c>
      <c r="U175" s="7">
        <v>182626.19399999999</v>
      </c>
      <c r="V175" s="7">
        <v>218987.40700000001</v>
      </c>
      <c r="W175" s="7">
        <v>180791.66800000001</v>
      </c>
      <c r="X175" s="16">
        <f>SUM(Q175:W175)</f>
        <v>1124619.4280000001</v>
      </c>
      <c r="Y175" s="28">
        <v>106281.59299999999</v>
      </c>
      <c r="Z175" s="28">
        <v>69812.343999999997</v>
      </c>
      <c r="AA175" s="7">
        <v>27321.834999999999</v>
      </c>
      <c r="AB175" s="16">
        <f t="shared" si="5"/>
        <v>203415.77199999997</v>
      </c>
      <c r="AC175" s="7">
        <v>1328035.2000000002</v>
      </c>
      <c r="AD175" s="8">
        <v>1.6033301396046749E-3</v>
      </c>
      <c r="AE175" s="8">
        <v>3.1971144124159299E-4</v>
      </c>
      <c r="AF175" s="8">
        <v>2.9696750583298046E-4</v>
      </c>
      <c r="AG175" s="8">
        <v>3.4666235289279053E-4</v>
      </c>
      <c r="AH175" s="8">
        <v>2.1355096520272443E-4</v>
      </c>
      <c r="AI175" s="8">
        <v>2.4202304929798999E-4</v>
      </c>
      <c r="AJ175" s="8">
        <v>2.9868633105370761E-4</v>
      </c>
      <c r="AK175" s="8">
        <v>2.8226900964873573E-4</v>
      </c>
      <c r="AL175" s="8">
        <v>9.7403977726345933E-4</v>
      </c>
      <c r="AM175" s="8">
        <v>4.465293052241916E-3</v>
      </c>
      <c r="AN175" s="8">
        <v>4.7363202421140635E-4</v>
      </c>
    </row>
    <row r="176" spans="1:40" x14ac:dyDescent="0.2">
      <c r="A176" t="s">
        <v>208</v>
      </c>
      <c r="B176">
        <v>2011</v>
      </c>
      <c r="C176" t="s">
        <v>211</v>
      </c>
      <c r="D176" s="7">
        <v>120</v>
      </c>
      <c r="E176" s="7">
        <v>62</v>
      </c>
      <c r="F176" s="7">
        <v>70</v>
      </c>
      <c r="G176" s="7">
        <v>58</v>
      </c>
      <c r="H176" s="7">
        <v>56</v>
      </c>
      <c r="I176" s="7">
        <v>53</v>
      </c>
      <c r="J176" s="7">
        <v>48</v>
      </c>
      <c r="K176" s="16">
        <f>SUM(D176:J176)</f>
        <v>467</v>
      </c>
      <c r="L176" s="28">
        <v>59</v>
      </c>
      <c r="M176" s="28">
        <v>74</v>
      </c>
      <c r="N176" s="7">
        <v>140</v>
      </c>
      <c r="O176" s="16">
        <f t="shared" si="4"/>
        <v>273</v>
      </c>
      <c r="P176" s="7">
        <v>740</v>
      </c>
      <c r="Q176" s="7">
        <v>75157.97</v>
      </c>
      <c r="R176" s="7">
        <v>166886.80699999997</v>
      </c>
      <c r="S176" s="7">
        <v>181159.72999999995</v>
      </c>
      <c r="T176" s="7">
        <v>155798.01399999997</v>
      </c>
      <c r="U176" s="7">
        <v>188515.22200000001</v>
      </c>
      <c r="V176" s="7">
        <v>232141.93000000008</v>
      </c>
      <c r="W176" s="7">
        <v>198767.24100000004</v>
      </c>
      <c r="X176" s="16">
        <f>SUM(Q176:W176)</f>
        <v>1198426.9140000001</v>
      </c>
      <c r="Y176" s="28">
        <v>117381.60599999999</v>
      </c>
      <c r="Z176" s="28">
        <v>73424.723999999987</v>
      </c>
      <c r="AA176" s="7">
        <v>29012.755000000005</v>
      </c>
      <c r="AB176" s="16">
        <f t="shared" si="5"/>
        <v>219819.08499999996</v>
      </c>
      <c r="AC176" s="7">
        <v>1418245.9989999998</v>
      </c>
      <c r="AD176" s="8">
        <v>1.596637056588942E-3</v>
      </c>
      <c r="AE176" s="8">
        <v>3.7150929491987949E-4</v>
      </c>
      <c r="AF176" s="8">
        <v>3.8639933941168945E-4</v>
      </c>
      <c r="AG176" s="8">
        <v>3.7227688922915287E-4</v>
      </c>
      <c r="AH176" s="8">
        <v>2.9705823967891566E-4</v>
      </c>
      <c r="AI176" s="8">
        <v>2.2830860413713275E-4</v>
      </c>
      <c r="AJ176" s="8">
        <v>2.4148848551960324E-4</v>
      </c>
      <c r="AK176" s="8">
        <v>5.0263411798949151E-4</v>
      </c>
      <c r="AL176" s="8">
        <v>1.0078349085792956E-3</v>
      </c>
      <c r="AM176" s="8">
        <v>4.8254638347857686E-3</v>
      </c>
      <c r="AN176" s="8">
        <v>5.2177125866864518E-4</v>
      </c>
    </row>
    <row r="177" spans="1:40" x14ac:dyDescent="0.2">
      <c r="A177" t="s">
        <v>208</v>
      </c>
      <c r="B177">
        <v>2012</v>
      </c>
      <c r="C177" t="s">
        <v>212</v>
      </c>
      <c r="D177" s="7">
        <v>99</v>
      </c>
      <c r="E177" s="7">
        <v>55</v>
      </c>
      <c r="F177" s="7">
        <v>53</v>
      </c>
      <c r="G177" s="7">
        <v>68</v>
      </c>
      <c r="H177" s="7">
        <v>45</v>
      </c>
      <c r="I177" s="7">
        <v>72</v>
      </c>
      <c r="J177" s="7">
        <v>50</v>
      </c>
      <c r="K177" s="16">
        <f>SUM(D177:J177)</f>
        <v>442</v>
      </c>
      <c r="L177" s="28">
        <v>49</v>
      </c>
      <c r="M177" s="28">
        <v>55</v>
      </c>
      <c r="N177" s="7">
        <v>80</v>
      </c>
      <c r="O177" s="16">
        <f t="shared" si="4"/>
        <v>184</v>
      </c>
      <c r="P177" s="7">
        <v>626</v>
      </c>
      <c r="Q177" s="7">
        <v>67997.368999999992</v>
      </c>
      <c r="R177" s="7">
        <v>151752.61799999999</v>
      </c>
      <c r="S177" s="7">
        <v>166605.57200000001</v>
      </c>
      <c r="T177" s="7">
        <v>143640.47100000002</v>
      </c>
      <c r="U177" s="7">
        <v>169248.83500000002</v>
      </c>
      <c r="V177" s="7">
        <v>213957.14499999999</v>
      </c>
      <c r="W177" s="7">
        <v>189178.64600000001</v>
      </c>
      <c r="X177" s="16">
        <f>SUM(Q177:W177)</f>
        <v>1102380.656</v>
      </c>
      <c r="Y177" s="28">
        <v>112263.77100000001</v>
      </c>
      <c r="Z177" s="28">
        <v>69188.300000000017</v>
      </c>
      <c r="AA177" s="7">
        <v>28274.793000000005</v>
      </c>
      <c r="AB177" s="16">
        <f t="shared" si="5"/>
        <v>209726.86400000003</v>
      </c>
      <c r="AC177" s="7">
        <v>1312107.52</v>
      </c>
      <c r="AD177" s="8">
        <v>1.4559386849217653E-3</v>
      </c>
      <c r="AE177" s="8">
        <v>3.6243196806001727E-4</v>
      </c>
      <c r="AF177" s="8">
        <v>3.1811661136999664E-4</v>
      </c>
      <c r="AG177" s="8">
        <v>4.7340418425667786E-4</v>
      </c>
      <c r="AH177" s="8">
        <v>2.6588070753928673E-4</v>
      </c>
      <c r="AI177" s="8">
        <v>3.3651598781615826E-4</v>
      </c>
      <c r="AJ177" s="8">
        <v>2.6430044329633272E-4</v>
      </c>
      <c r="AK177" s="8">
        <v>4.3647206541814809E-4</v>
      </c>
      <c r="AL177" s="8">
        <v>7.9493209111945208E-4</v>
      </c>
      <c r="AM177" s="8">
        <v>2.8293752672212307E-3</v>
      </c>
      <c r="AN177" s="8">
        <v>4.770950478204713E-4</v>
      </c>
    </row>
    <row r="178" spans="1:40" x14ac:dyDescent="0.2">
      <c r="A178" t="s">
        <v>208</v>
      </c>
      <c r="B178">
        <v>2013</v>
      </c>
      <c r="C178" t="s">
        <v>213</v>
      </c>
      <c r="D178" s="7">
        <v>108</v>
      </c>
      <c r="E178" s="7">
        <v>51</v>
      </c>
      <c r="F178" s="7">
        <v>55</v>
      </c>
      <c r="G178" s="7">
        <v>58</v>
      </c>
      <c r="H178" s="7">
        <v>60</v>
      </c>
      <c r="I178" s="7">
        <v>53</v>
      </c>
      <c r="J178" s="7">
        <v>47</v>
      </c>
      <c r="K178" s="16">
        <f>SUM(D178:J178)</f>
        <v>432</v>
      </c>
      <c r="L178" s="28">
        <v>57</v>
      </c>
      <c r="M178" s="28">
        <v>68</v>
      </c>
      <c r="N178" s="7">
        <v>122</v>
      </c>
      <c r="O178" s="16">
        <f t="shared" si="4"/>
        <v>247</v>
      </c>
      <c r="P178" s="7">
        <v>679</v>
      </c>
      <c r="Q178" s="7">
        <v>67206.489000000001</v>
      </c>
      <c r="R178" s="7">
        <v>151387.834</v>
      </c>
      <c r="S178" s="7">
        <v>166279.99900000001</v>
      </c>
      <c r="T178" s="7">
        <v>146565.72199999998</v>
      </c>
      <c r="U178" s="7">
        <v>166515.97600000002</v>
      </c>
      <c r="V178" s="7">
        <v>214111.89799999999</v>
      </c>
      <c r="W178" s="7">
        <v>197092.21400000001</v>
      </c>
      <c r="X178" s="16">
        <f>SUM(Q178:W178)</f>
        <v>1109160.132</v>
      </c>
      <c r="Y178" s="28">
        <v>120085.683</v>
      </c>
      <c r="Z178" s="28">
        <v>70659.911000000007</v>
      </c>
      <c r="AA178" s="7">
        <v>29655.079000000002</v>
      </c>
      <c r="AB178" s="16">
        <f t="shared" si="5"/>
        <v>220400.67300000001</v>
      </c>
      <c r="AC178" s="7">
        <v>1329560.8049999999</v>
      </c>
      <c r="AD178" s="8">
        <v>1.6069876823947759E-3</v>
      </c>
      <c r="AE178" s="8">
        <v>3.3688308137099046E-4</v>
      </c>
      <c r="AF178" s="8">
        <v>3.307673823115671E-4</v>
      </c>
      <c r="AG178" s="8">
        <v>3.9572690809656029E-4</v>
      </c>
      <c r="AH178" s="8">
        <v>3.6032578639781681E-4</v>
      </c>
      <c r="AI178" s="8">
        <v>2.4753411881856284E-4</v>
      </c>
      <c r="AJ178" s="8">
        <v>2.3846705583204823E-4</v>
      </c>
      <c r="AK178" s="8">
        <v>4.7466108012226568E-4</v>
      </c>
      <c r="AL178" s="8">
        <v>9.6235615128357566E-4</v>
      </c>
      <c r="AM178" s="8">
        <v>4.1139664473664019E-3</v>
      </c>
      <c r="AN178" s="8">
        <v>5.1069495840019147E-4</v>
      </c>
    </row>
    <row r="179" spans="1:40" x14ac:dyDescent="0.2">
      <c r="A179" t="s">
        <v>208</v>
      </c>
      <c r="B179">
        <v>2014</v>
      </c>
      <c r="C179" t="s">
        <v>214</v>
      </c>
      <c r="D179" s="7">
        <v>100</v>
      </c>
      <c r="E179" s="7">
        <v>63</v>
      </c>
      <c r="F179" s="7">
        <v>53</v>
      </c>
      <c r="G179" s="7">
        <v>61</v>
      </c>
      <c r="H179" s="7">
        <v>55</v>
      </c>
      <c r="I179" s="7">
        <v>52</v>
      </c>
      <c r="J179" s="7">
        <v>50</v>
      </c>
      <c r="K179" s="16">
        <f>SUM(D179:J179)</f>
        <v>434</v>
      </c>
      <c r="L179" s="28">
        <v>54</v>
      </c>
      <c r="M179" s="28">
        <v>44</v>
      </c>
      <c r="N179" s="7">
        <v>102</v>
      </c>
      <c r="O179" s="16">
        <f t="shared" si="4"/>
        <v>200</v>
      </c>
      <c r="P179" s="7">
        <v>634</v>
      </c>
      <c r="Q179" s="7">
        <v>66884.795999999988</v>
      </c>
      <c r="R179" s="7">
        <v>151765.29799999995</v>
      </c>
      <c r="S179" s="7">
        <v>166033.07699999999</v>
      </c>
      <c r="T179" s="7">
        <v>150840.17700000003</v>
      </c>
      <c r="U179" s="7">
        <v>164227.603</v>
      </c>
      <c r="V179" s="7">
        <v>212276.18199999997</v>
      </c>
      <c r="W179" s="7">
        <v>203724.00399999996</v>
      </c>
      <c r="X179" s="16">
        <f>SUM(Q179:W179)</f>
        <v>1115751.1369999999</v>
      </c>
      <c r="Y179" s="28">
        <v>128155.88200000001</v>
      </c>
      <c r="Z179" s="28">
        <v>72090.087</v>
      </c>
      <c r="AA179" s="7">
        <v>30317.252999999997</v>
      </c>
      <c r="AB179" s="16">
        <f t="shared" si="5"/>
        <v>230563.22200000001</v>
      </c>
      <c r="AC179" s="7">
        <v>1346314.3589999999</v>
      </c>
      <c r="AD179" s="8">
        <v>1.4951080960163207E-3</v>
      </c>
      <c r="AE179" s="8">
        <v>4.15114659479007E-4</v>
      </c>
      <c r="AF179" s="8">
        <v>3.1921350225895052E-4</v>
      </c>
      <c r="AG179" s="8">
        <v>4.0440154084412131E-4</v>
      </c>
      <c r="AH179" s="8">
        <v>3.349010701934193E-4</v>
      </c>
      <c r="AI179" s="8">
        <v>2.4496389331140321E-4</v>
      </c>
      <c r="AJ179" s="8">
        <v>2.4543008687380799E-4</v>
      </c>
      <c r="AK179" s="8">
        <v>4.2136185368378174E-4</v>
      </c>
      <c r="AL179" s="8">
        <v>6.1034743930881926E-4</v>
      </c>
      <c r="AM179" s="8">
        <v>3.364420912409182E-3</v>
      </c>
      <c r="AN179" s="8">
        <v>4.7091527752174856E-4</v>
      </c>
    </row>
    <row r="180" spans="1:40" x14ac:dyDescent="0.2">
      <c r="A180" t="s">
        <v>208</v>
      </c>
      <c r="B180">
        <v>2015</v>
      </c>
      <c r="C180" t="s">
        <v>215</v>
      </c>
      <c r="D180" s="7">
        <v>90</v>
      </c>
      <c r="E180" s="7">
        <v>63</v>
      </c>
      <c r="F180" s="7">
        <v>48</v>
      </c>
      <c r="G180" s="7">
        <v>56</v>
      </c>
      <c r="H180" s="7">
        <v>50</v>
      </c>
      <c r="I180" s="7">
        <v>53</v>
      </c>
      <c r="J180" s="7">
        <v>52</v>
      </c>
      <c r="K180" s="16">
        <f>SUM(D180:J180)</f>
        <v>412</v>
      </c>
      <c r="L180" s="28">
        <v>52</v>
      </c>
      <c r="M180" s="28">
        <v>74</v>
      </c>
      <c r="N180" s="7">
        <v>168</v>
      </c>
      <c r="O180" s="16">
        <f t="shared" si="4"/>
        <v>294</v>
      </c>
      <c r="P180" s="7">
        <v>706</v>
      </c>
      <c r="Q180" s="7">
        <v>66692.213000000003</v>
      </c>
      <c r="R180" s="7">
        <v>150209.45000000001</v>
      </c>
      <c r="S180" s="7">
        <v>164312.24799999999</v>
      </c>
      <c r="T180" s="7">
        <v>151581.05799999999</v>
      </c>
      <c r="U180" s="7">
        <v>158881.65</v>
      </c>
      <c r="V180" s="7">
        <v>204441.85299999997</v>
      </c>
      <c r="W180" s="7">
        <v>202884.85899999997</v>
      </c>
      <c r="X180" s="16">
        <f>SUM(Q180:W180)</f>
        <v>1099003.331</v>
      </c>
      <c r="Y180" s="28">
        <v>132451.45500000002</v>
      </c>
      <c r="Z180" s="28">
        <v>71818.831000000006</v>
      </c>
      <c r="AA180" s="7">
        <v>30593.990999999995</v>
      </c>
      <c r="AB180" s="16">
        <f t="shared" si="5"/>
        <v>234864.277</v>
      </c>
      <c r="AC180" s="7">
        <v>1333867.608</v>
      </c>
      <c r="AD180" s="8">
        <v>1.3494828849059184E-3</v>
      </c>
      <c r="AE180" s="8">
        <v>4.1941435775179255E-4</v>
      </c>
      <c r="AF180" s="8">
        <v>2.9212673178203978E-4</v>
      </c>
      <c r="AG180" s="8">
        <v>3.6943930025874343E-4</v>
      </c>
      <c r="AH180" s="8">
        <v>3.1469965222541435E-4</v>
      </c>
      <c r="AI180" s="8">
        <v>2.5924241647330405E-4</v>
      </c>
      <c r="AJ180" s="8">
        <v>2.5630300977758032E-4</v>
      </c>
      <c r="AK180" s="8">
        <v>3.925966687191167E-4</v>
      </c>
      <c r="AL180" s="8">
        <v>1.0303704330692877E-3</v>
      </c>
      <c r="AM180" s="8">
        <v>5.4912744139854136E-3</v>
      </c>
      <c r="AN180" s="8">
        <v>5.2928791115827137E-4</v>
      </c>
    </row>
    <row r="181" spans="1:40" x14ac:dyDescent="0.2">
      <c r="A181" t="s">
        <v>208</v>
      </c>
      <c r="B181">
        <v>2016</v>
      </c>
      <c r="C181" t="s">
        <v>216</v>
      </c>
      <c r="D181" s="7">
        <v>102</v>
      </c>
      <c r="E181" s="7">
        <v>49</v>
      </c>
      <c r="F181" s="7">
        <v>44</v>
      </c>
      <c r="G181" s="7">
        <v>73</v>
      </c>
      <c r="H181" s="7">
        <v>59</v>
      </c>
      <c r="I181" s="7">
        <v>35</v>
      </c>
      <c r="J181" s="7">
        <v>52</v>
      </c>
      <c r="K181" s="16">
        <f>SUM(D181:J181)</f>
        <v>414</v>
      </c>
      <c r="L181" s="28">
        <v>59</v>
      </c>
      <c r="M181" s="28">
        <v>63</v>
      </c>
      <c r="N181" s="7">
        <v>105</v>
      </c>
      <c r="O181" s="16">
        <f t="shared" si="4"/>
        <v>227</v>
      </c>
      <c r="P181" s="7">
        <v>641</v>
      </c>
      <c r="Q181" s="7">
        <v>67785.918000000005</v>
      </c>
      <c r="R181" s="7">
        <v>151215.06099999999</v>
      </c>
      <c r="S181" s="7">
        <v>166781.99399999998</v>
      </c>
      <c r="T181" s="7">
        <v>157304.179</v>
      </c>
      <c r="U181" s="7">
        <v>159473.40499999997</v>
      </c>
      <c r="V181" s="7">
        <v>203665.42800000001</v>
      </c>
      <c r="W181" s="7">
        <v>208578.86200000002</v>
      </c>
      <c r="X181" s="16">
        <f>SUM(Q181:W181)</f>
        <v>1114804.8470000001</v>
      </c>
      <c r="Y181" s="28">
        <v>140637.20299999998</v>
      </c>
      <c r="Z181" s="28">
        <v>71882.672999999995</v>
      </c>
      <c r="AA181" s="7">
        <v>31384.695999999996</v>
      </c>
      <c r="AB181" s="16">
        <f t="shared" si="5"/>
        <v>243904.57199999999</v>
      </c>
      <c r="AC181" s="7">
        <v>1358709.419</v>
      </c>
      <c r="AD181" s="8">
        <v>1.5047373113690073E-3</v>
      </c>
      <c r="AE181" s="8">
        <v>3.2404179633932099E-4</v>
      </c>
      <c r="AF181" s="8">
        <v>2.6381744782353429E-4</v>
      </c>
      <c r="AG181" s="8">
        <v>4.6406904421782716E-4</v>
      </c>
      <c r="AH181" s="8">
        <v>3.6996764444830165E-4</v>
      </c>
      <c r="AI181" s="8">
        <v>1.718504723344602E-4</v>
      </c>
      <c r="AJ181" s="8">
        <v>2.4930618328908132E-4</v>
      </c>
      <c r="AK181" s="8">
        <v>4.1951915098880352E-4</v>
      </c>
      <c r="AL181" s="8">
        <v>8.7642817623100912E-4</v>
      </c>
      <c r="AM181" s="8">
        <v>3.3455796417464108E-3</v>
      </c>
      <c r="AN181" s="8">
        <v>4.7177121983284052E-4</v>
      </c>
    </row>
    <row r="182" spans="1:40" x14ac:dyDescent="0.2">
      <c r="A182" t="s">
        <v>208</v>
      </c>
      <c r="B182">
        <v>2017</v>
      </c>
      <c r="C182" t="s">
        <v>217</v>
      </c>
      <c r="D182" s="7">
        <v>96</v>
      </c>
      <c r="E182" s="7">
        <v>55</v>
      </c>
      <c r="F182" s="7">
        <v>61</v>
      </c>
      <c r="G182" s="7">
        <v>73</v>
      </c>
      <c r="H182" s="7">
        <v>58</v>
      </c>
      <c r="I182" s="7">
        <v>53</v>
      </c>
      <c r="J182" s="7">
        <v>68</v>
      </c>
      <c r="K182" s="16">
        <f>SUM(D182:J182)</f>
        <v>464</v>
      </c>
      <c r="L182" s="28">
        <v>54</v>
      </c>
      <c r="M182" s="28">
        <v>68</v>
      </c>
      <c r="N182" s="7">
        <v>148</v>
      </c>
      <c r="O182" s="16">
        <f t="shared" si="4"/>
        <v>270</v>
      </c>
      <c r="P182" s="7">
        <v>734</v>
      </c>
      <c r="Q182" s="7">
        <v>67690</v>
      </c>
      <c r="R182" s="7">
        <v>150936</v>
      </c>
      <c r="S182" s="7">
        <v>166189</v>
      </c>
      <c r="T182" s="7">
        <v>158937</v>
      </c>
      <c r="U182" s="7">
        <v>158271</v>
      </c>
      <c r="V182" s="7">
        <v>198553</v>
      </c>
      <c r="W182" s="7">
        <v>210140</v>
      </c>
      <c r="X182" s="16">
        <f>SUM(Q182:W182)</f>
        <v>1110716</v>
      </c>
      <c r="Y182" s="28">
        <v>148510</v>
      </c>
      <c r="Z182" s="28">
        <v>74485</v>
      </c>
      <c r="AA182" s="7">
        <v>32183</v>
      </c>
      <c r="AB182" s="16">
        <f t="shared" si="5"/>
        <v>255178</v>
      </c>
      <c r="AC182" s="7">
        <v>1365894</v>
      </c>
      <c r="AD182" s="8">
        <v>1.4182301669375093E-3</v>
      </c>
      <c r="AE182" s="8">
        <v>3.6439285524990725E-4</v>
      </c>
      <c r="AF182" s="8">
        <v>3.6705197094873907E-4</v>
      </c>
      <c r="AG182" s="8">
        <v>4.5930148423589223E-4</v>
      </c>
      <c r="AH182" s="8">
        <v>3.6646005901270606E-4</v>
      </c>
      <c r="AI182" s="8">
        <v>2.6693124757621391E-4</v>
      </c>
      <c r="AJ182" s="8">
        <v>3.2359379461311506E-4</v>
      </c>
      <c r="AK182" s="8">
        <v>3.6361187798801428E-4</v>
      </c>
      <c r="AL182" s="8">
        <v>9.1293549036718807E-4</v>
      </c>
      <c r="AM182" s="8">
        <v>4.5987011776403687E-3</v>
      </c>
      <c r="AN182" s="8">
        <v>5.3737698532975474E-4</v>
      </c>
    </row>
    <row r="183" spans="1:40" x14ac:dyDescent="0.2">
      <c r="A183" t="s">
        <v>218</v>
      </c>
      <c r="B183">
        <v>2009</v>
      </c>
      <c r="C183" t="s">
        <v>219</v>
      </c>
      <c r="D183" s="7">
        <v>129</v>
      </c>
      <c r="E183" s="7">
        <v>70</v>
      </c>
      <c r="F183" s="7">
        <v>35</v>
      </c>
      <c r="G183" s="7">
        <v>51</v>
      </c>
      <c r="H183" s="7">
        <v>51</v>
      </c>
      <c r="I183" s="7">
        <v>70</v>
      </c>
      <c r="J183" s="7">
        <v>72</v>
      </c>
      <c r="K183" s="16">
        <f>SUM(D183:J183)</f>
        <v>478</v>
      </c>
      <c r="L183" s="28">
        <v>67</v>
      </c>
      <c r="M183" s="28">
        <v>284</v>
      </c>
      <c r="N183" s="7">
        <v>398</v>
      </c>
      <c r="O183" s="16">
        <f t="shared" si="4"/>
        <v>749</v>
      </c>
      <c r="P183" s="7">
        <v>1227</v>
      </c>
      <c r="Q183" s="7">
        <v>376457.23900000006</v>
      </c>
      <c r="R183" s="7">
        <v>744541.28700000001</v>
      </c>
      <c r="S183" s="7">
        <v>777087.99100000015</v>
      </c>
      <c r="T183" s="7">
        <v>737196.44500000007</v>
      </c>
      <c r="U183" s="7">
        <v>845033.71900000004</v>
      </c>
      <c r="V183" s="7">
        <v>866535.84200000006</v>
      </c>
      <c r="W183" s="7">
        <v>626576.63299999991</v>
      </c>
      <c r="X183" s="16">
        <f>SUM(Q183:W183)</f>
        <v>4973429.1559999995</v>
      </c>
      <c r="Y183" s="28">
        <v>353991.511</v>
      </c>
      <c r="Z183" s="28">
        <v>224763.68699999998</v>
      </c>
      <c r="AA183" s="7">
        <v>84359.324999999997</v>
      </c>
      <c r="AB183" s="16">
        <f t="shared" si="5"/>
        <v>663114.52299999993</v>
      </c>
      <c r="AC183" s="7">
        <v>5636543.6789999995</v>
      </c>
      <c r="AD183" s="8">
        <v>3.426684006466933E-4</v>
      </c>
      <c r="AE183" s="8">
        <v>9.4017620274696736E-5</v>
      </c>
      <c r="AF183" s="8">
        <v>4.5039944517685893E-5</v>
      </c>
      <c r="AG183" s="8">
        <v>6.9181017279593636E-5</v>
      </c>
      <c r="AH183" s="8">
        <v>6.0352621266229021E-5</v>
      </c>
      <c r="AI183" s="8">
        <v>8.078142484959093E-5</v>
      </c>
      <c r="AJ183" s="8">
        <v>1.1491012624468556E-4</v>
      </c>
      <c r="AK183" s="8">
        <v>1.8927007546234631E-4</v>
      </c>
      <c r="AL183" s="8">
        <v>1.2635493027839504E-3</v>
      </c>
      <c r="AM183" s="8">
        <v>4.7179135205266285E-3</v>
      </c>
      <c r="AN183" s="8">
        <v>2.1768659481366545E-4</v>
      </c>
    </row>
    <row r="184" spans="1:40" x14ac:dyDescent="0.2">
      <c r="A184" t="s">
        <v>218</v>
      </c>
      <c r="B184">
        <v>2010</v>
      </c>
      <c r="C184" t="s">
        <v>220</v>
      </c>
      <c r="D184" s="7">
        <v>129</v>
      </c>
      <c r="E184" s="7">
        <v>39</v>
      </c>
      <c r="F184" s="7">
        <v>58</v>
      </c>
      <c r="G184" s="7">
        <v>57</v>
      </c>
      <c r="H184" s="7">
        <v>51</v>
      </c>
      <c r="I184" s="7">
        <v>61</v>
      </c>
      <c r="J184" s="7">
        <v>47</v>
      </c>
      <c r="K184" s="16">
        <f>SUM(D184:J184)</f>
        <v>442</v>
      </c>
      <c r="L184" s="28">
        <v>95</v>
      </c>
      <c r="M184" s="28">
        <v>252</v>
      </c>
      <c r="N184" s="7">
        <v>412</v>
      </c>
      <c r="O184" s="16">
        <f t="shared" si="4"/>
        <v>759</v>
      </c>
      <c r="P184" s="7">
        <v>1201</v>
      </c>
      <c r="Q184" s="7">
        <v>368057.88799999998</v>
      </c>
      <c r="R184" s="7">
        <v>753275.81299999997</v>
      </c>
      <c r="S184" s="7">
        <v>798622.62800000014</v>
      </c>
      <c r="T184" s="7">
        <v>745943.17699999991</v>
      </c>
      <c r="U184" s="7">
        <v>836776.6</v>
      </c>
      <c r="V184" s="7">
        <v>886046.40099999995</v>
      </c>
      <c r="W184" s="7">
        <v>659570.10400000005</v>
      </c>
      <c r="X184" s="16">
        <f>SUM(Q184:W184)</f>
        <v>5048292.6110000005</v>
      </c>
      <c r="Y184" s="28">
        <v>365058.89799999999</v>
      </c>
      <c r="Z184" s="28">
        <v>225907.45400000003</v>
      </c>
      <c r="AA184" s="7">
        <v>89745.956000000006</v>
      </c>
      <c r="AB184" s="16">
        <f t="shared" si="5"/>
        <v>680712.30799999996</v>
      </c>
      <c r="AC184" s="7">
        <v>5729004.9190000007</v>
      </c>
      <c r="AD184" s="8">
        <v>3.5048834492035127E-4</v>
      </c>
      <c r="AE184" s="8">
        <v>5.1773864668080084E-5</v>
      </c>
      <c r="AF184" s="8">
        <v>7.2625039620089493E-5</v>
      </c>
      <c r="AG184" s="8">
        <v>7.6413327123977444E-5</v>
      </c>
      <c r="AH184" s="8">
        <v>6.0948167049604401E-5</v>
      </c>
      <c r="AI184" s="8">
        <v>6.884515295266122E-5</v>
      </c>
      <c r="AJ184" s="8">
        <v>7.1258535999381802E-5</v>
      </c>
      <c r="AK184" s="8">
        <v>2.602319804296347E-4</v>
      </c>
      <c r="AL184" s="8">
        <v>1.1155010405278613E-3</v>
      </c>
      <c r="AM184" s="8">
        <v>4.5907360995742245E-3</v>
      </c>
      <c r="AN184" s="8">
        <v>2.0963500939175924E-4</v>
      </c>
    </row>
    <row r="185" spans="1:40" x14ac:dyDescent="0.2">
      <c r="A185" t="s">
        <v>218</v>
      </c>
      <c r="B185">
        <v>2011</v>
      </c>
      <c r="C185" t="s">
        <v>221</v>
      </c>
      <c r="D185" s="7">
        <v>92</v>
      </c>
      <c r="E185" s="7">
        <v>65</v>
      </c>
      <c r="F185" s="7">
        <v>66</v>
      </c>
      <c r="G185" s="7">
        <v>60</v>
      </c>
      <c r="H185" s="7">
        <v>47</v>
      </c>
      <c r="I185" s="7">
        <v>62</v>
      </c>
      <c r="J185" s="7">
        <v>78</v>
      </c>
      <c r="K185" s="16">
        <f>SUM(D185:J185)</f>
        <v>470</v>
      </c>
      <c r="L185" s="28">
        <v>127</v>
      </c>
      <c r="M185" s="28">
        <v>279</v>
      </c>
      <c r="N185" s="7">
        <v>457</v>
      </c>
      <c r="O185" s="16">
        <f t="shared" si="4"/>
        <v>863</v>
      </c>
      <c r="P185" s="7">
        <v>1333</v>
      </c>
      <c r="Q185" s="7">
        <v>365922.91499999992</v>
      </c>
      <c r="R185" s="7">
        <v>746480.76199999999</v>
      </c>
      <c r="S185" s="7">
        <v>801518.93700000003</v>
      </c>
      <c r="T185" s="7">
        <v>751948.01200000022</v>
      </c>
      <c r="U185" s="7">
        <v>817329.62100000004</v>
      </c>
      <c r="V185" s="7">
        <v>890940.8450000002</v>
      </c>
      <c r="W185" s="7">
        <v>677911.87799999991</v>
      </c>
      <c r="X185" s="16">
        <f>SUM(Q185:W185)</f>
        <v>5052052.97</v>
      </c>
      <c r="Y185" s="28">
        <v>377455.17</v>
      </c>
      <c r="Z185" s="28">
        <v>227253.53900000002</v>
      </c>
      <c r="AA185" s="7">
        <v>93428.729000000021</v>
      </c>
      <c r="AB185" s="16">
        <f t="shared" si="5"/>
        <v>698137.43800000008</v>
      </c>
      <c r="AC185" s="7">
        <v>5750190.4079999998</v>
      </c>
      <c r="AD185" s="8">
        <v>2.5141907278476949E-4</v>
      </c>
      <c r="AE185" s="8">
        <v>8.7075251378012077E-5</v>
      </c>
      <c r="AF185" s="8">
        <v>8.2343656466846521E-5</v>
      </c>
      <c r="AG185" s="8">
        <v>7.9792750353065609E-5</v>
      </c>
      <c r="AH185" s="8">
        <v>5.7504339488510963E-5</v>
      </c>
      <c r="AI185" s="8">
        <v>6.9589356406709566E-5</v>
      </c>
      <c r="AJ185" s="8">
        <v>1.1505920242925734E-4</v>
      </c>
      <c r="AK185" s="8">
        <v>3.3646379780677004E-4</v>
      </c>
      <c r="AL185" s="8">
        <v>1.2277036530551014E-3</v>
      </c>
      <c r="AM185" s="8">
        <v>4.8914290592564939E-3</v>
      </c>
      <c r="AN185" s="8">
        <v>2.3181841042088845E-4</v>
      </c>
    </row>
    <row r="186" spans="1:40" x14ac:dyDescent="0.2">
      <c r="A186" t="s">
        <v>218</v>
      </c>
      <c r="B186">
        <v>2012</v>
      </c>
      <c r="C186" t="s">
        <v>222</v>
      </c>
      <c r="D186" s="7">
        <v>129</v>
      </c>
      <c r="E186" s="7">
        <v>58</v>
      </c>
      <c r="F186" s="7">
        <v>61</v>
      </c>
      <c r="G186" s="7">
        <v>67</v>
      </c>
      <c r="H186" s="7">
        <v>72</v>
      </c>
      <c r="I186" s="7">
        <v>69</v>
      </c>
      <c r="J186" s="7">
        <v>59</v>
      </c>
      <c r="K186" s="16">
        <f>SUM(D186:J186)</f>
        <v>515</v>
      </c>
      <c r="L186" s="28">
        <v>87</v>
      </c>
      <c r="M186" s="28">
        <v>250</v>
      </c>
      <c r="N186" s="7">
        <v>450</v>
      </c>
      <c r="O186" s="16">
        <f t="shared" si="4"/>
        <v>787</v>
      </c>
      <c r="P186" s="7">
        <v>1302</v>
      </c>
      <c r="Q186" s="7">
        <v>365907.95699999994</v>
      </c>
      <c r="R186" s="7">
        <v>743555.66899999999</v>
      </c>
      <c r="S186" s="7">
        <v>800618.59400000016</v>
      </c>
      <c r="T186" s="7">
        <v>765833.20299999986</v>
      </c>
      <c r="U186" s="7">
        <v>799053.04899999988</v>
      </c>
      <c r="V186" s="7">
        <v>894068.85800000024</v>
      </c>
      <c r="W186" s="7">
        <v>698046.43099999987</v>
      </c>
      <c r="X186" s="16">
        <f>SUM(Q186:W186)</f>
        <v>5067083.7609999999</v>
      </c>
      <c r="Y186" s="28">
        <v>392613.01400000002</v>
      </c>
      <c r="Z186" s="28">
        <v>225661.41000000006</v>
      </c>
      <c r="AA186" s="7">
        <v>98018.225000000006</v>
      </c>
      <c r="AB186" s="16">
        <f t="shared" si="5"/>
        <v>716292.64900000009</v>
      </c>
      <c r="AC186" s="7">
        <v>5783376.4100000001</v>
      </c>
      <c r="AD186" s="8">
        <v>3.5254767635457574E-4</v>
      </c>
      <c r="AE186" s="8">
        <v>7.8003574470763675E-5</v>
      </c>
      <c r="AF186" s="8">
        <v>7.6191085814327205E-5</v>
      </c>
      <c r="AG186" s="8">
        <v>8.7486413147850955E-5</v>
      </c>
      <c r="AH186" s="8">
        <v>9.0106658237656026E-5</v>
      </c>
      <c r="AI186" s="8">
        <v>7.7175263831860227E-5</v>
      </c>
      <c r="AJ186" s="8">
        <v>8.4521598248813348E-5</v>
      </c>
      <c r="AK186" s="8">
        <v>2.2159224706698081E-4</v>
      </c>
      <c r="AL186" s="8">
        <v>1.107854462134221E-3</v>
      </c>
      <c r="AM186" s="8">
        <v>4.5909829524050242E-3</v>
      </c>
      <c r="AN186" s="8">
        <v>2.2512800615030347E-4</v>
      </c>
    </row>
    <row r="187" spans="1:40" x14ac:dyDescent="0.2">
      <c r="A187" t="s">
        <v>218</v>
      </c>
      <c r="B187">
        <v>2013</v>
      </c>
      <c r="C187" t="s">
        <v>223</v>
      </c>
      <c r="D187" s="7">
        <v>114</v>
      </c>
      <c r="E187" s="7">
        <v>63</v>
      </c>
      <c r="F187" s="7">
        <v>38</v>
      </c>
      <c r="G187" s="7">
        <v>42</v>
      </c>
      <c r="H187" s="7">
        <v>42</v>
      </c>
      <c r="I187" s="7">
        <v>53</v>
      </c>
      <c r="J187" s="7">
        <v>92</v>
      </c>
      <c r="K187" s="16">
        <f>SUM(D187:J187)</f>
        <v>444</v>
      </c>
      <c r="L187" s="28">
        <v>132</v>
      </c>
      <c r="M187" s="28">
        <v>275</v>
      </c>
      <c r="N187" s="7">
        <v>513</v>
      </c>
      <c r="O187" s="16">
        <f t="shared" si="4"/>
        <v>920</v>
      </c>
      <c r="P187" s="7">
        <v>1364</v>
      </c>
      <c r="Q187" s="7">
        <v>364820.08800000005</v>
      </c>
      <c r="R187" s="7">
        <v>741738.6320000001</v>
      </c>
      <c r="S187" s="7">
        <v>796374.05200000003</v>
      </c>
      <c r="T187" s="7">
        <v>780147.39100000006</v>
      </c>
      <c r="U187" s="7">
        <v>781572.67099999997</v>
      </c>
      <c r="V187" s="7">
        <v>891723.80900000001</v>
      </c>
      <c r="W187" s="7">
        <v>714193.32599999988</v>
      </c>
      <c r="X187" s="16">
        <f>SUM(Q187:W187)</f>
        <v>5070569.9690000005</v>
      </c>
      <c r="Y187" s="28">
        <v>408910.84399999998</v>
      </c>
      <c r="Z187" s="28">
        <v>224541.05300000004</v>
      </c>
      <c r="AA187" s="7">
        <v>100625.353</v>
      </c>
      <c r="AB187" s="16">
        <f t="shared" si="5"/>
        <v>734077.25</v>
      </c>
      <c r="AC187" s="7">
        <v>5804647.2190000005</v>
      </c>
      <c r="AD187" s="8">
        <v>3.1248279288831262E-4</v>
      </c>
      <c r="AE187" s="8">
        <v>8.4935578763275192E-5</v>
      </c>
      <c r="AF187" s="8">
        <v>4.7716270896279775E-5</v>
      </c>
      <c r="AG187" s="8">
        <v>5.3835980847367847E-5</v>
      </c>
      <c r="AH187" s="8">
        <v>5.3737805271852961E-5</v>
      </c>
      <c r="AI187" s="8">
        <v>5.9435443424388817E-5</v>
      </c>
      <c r="AJ187" s="8">
        <v>1.2881666161075275E-4</v>
      </c>
      <c r="AK187" s="8">
        <v>3.2280875388083374E-4</v>
      </c>
      <c r="AL187" s="8">
        <v>1.2247203632736146E-3</v>
      </c>
      <c r="AM187" s="8">
        <v>5.098118761382134E-3</v>
      </c>
      <c r="AN187" s="8">
        <v>2.3498413401167625E-4</v>
      </c>
    </row>
    <row r="188" spans="1:40" x14ac:dyDescent="0.2">
      <c r="A188" t="s">
        <v>218</v>
      </c>
      <c r="B188">
        <v>2014</v>
      </c>
      <c r="C188" t="s">
        <v>224</v>
      </c>
      <c r="D188" s="7">
        <v>90</v>
      </c>
      <c r="E188" s="7">
        <v>42</v>
      </c>
      <c r="F188" s="7">
        <v>43</v>
      </c>
      <c r="G188" s="7">
        <v>33</v>
      </c>
      <c r="H188" s="7">
        <v>55</v>
      </c>
      <c r="I188" s="7">
        <v>67</v>
      </c>
      <c r="J188" s="7">
        <v>75</v>
      </c>
      <c r="K188" s="16">
        <f>SUM(D188:J188)</f>
        <v>405</v>
      </c>
      <c r="L188" s="28">
        <v>154</v>
      </c>
      <c r="M188" s="28">
        <v>242</v>
      </c>
      <c r="N188" s="7">
        <v>418</v>
      </c>
      <c r="O188" s="16">
        <f t="shared" si="4"/>
        <v>814</v>
      </c>
      <c r="P188" s="7">
        <v>1219</v>
      </c>
      <c r="Q188" s="7">
        <v>368589.04200000013</v>
      </c>
      <c r="R188" s="7">
        <v>754125.33600000013</v>
      </c>
      <c r="S188" s="7">
        <v>804358.73300000012</v>
      </c>
      <c r="T188" s="7">
        <v>804549.01399999985</v>
      </c>
      <c r="U188" s="7">
        <v>782217.353</v>
      </c>
      <c r="V188" s="7">
        <v>896821.74999999977</v>
      </c>
      <c r="W188" s="7">
        <v>740652.57099999988</v>
      </c>
      <c r="X188" s="16">
        <f>SUM(Q188:W188)</f>
        <v>5151313.7989999996</v>
      </c>
      <c r="Y188" s="28">
        <v>434183.0089999999</v>
      </c>
      <c r="Z188" s="28">
        <v>230766.65600000002</v>
      </c>
      <c r="AA188" s="7">
        <v>104187.73899999999</v>
      </c>
      <c r="AB188" s="16">
        <f t="shared" si="5"/>
        <v>769137.40399999986</v>
      </c>
      <c r="AC188" s="7">
        <v>5920451.2029999997</v>
      </c>
      <c r="AD188" s="8">
        <v>2.4417437781560519E-4</v>
      </c>
      <c r="AE188" s="8">
        <v>5.5693659919682095E-5</v>
      </c>
      <c r="AF188" s="8">
        <v>5.3458734561908454E-5</v>
      </c>
      <c r="AG188" s="8">
        <v>4.1016767686946674E-5</v>
      </c>
      <c r="AH188" s="8">
        <v>7.0312937688049481E-5</v>
      </c>
      <c r="AI188" s="8">
        <v>7.47082683933569E-5</v>
      </c>
      <c r="AJ188" s="8">
        <v>1.0126205313611207E-4</v>
      </c>
      <c r="AK188" s="8">
        <v>3.5468914445705552E-4</v>
      </c>
      <c r="AL188" s="8">
        <v>1.048678367120768E-3</v>
      </c>
      <c r="AM188" s="8">
        <v>4.0119883972143788E-3</v>
      </c>
      <c r="AN188" s="8">
        <v>2.0589646940799219E-4</v>
      </c>
    </row>
    <row r="189" spans="1:40" x14ac:dyDescent="0.2">
      <c r="A189" t="s">
        <v>218</v>
      </c>
      <c r="B189">
        <v>2015</v>
      </c>
      <c r="C189" t="s">
        <v>225</v>
      </c>
      <c r="D189" s="7">
        <v>120</v>
      </c>
      <c r="E189" s="7">
        <v>58</v>
      </c>
      <c r="F189" s="7">
        <v>56</v>
      </c>
      <c r="G189" s="7">
        <v>68</v>
      </c>
      <c r="H189" s="7">
        <v>50</v>
      </c>
      <c r="I189" s="7">
        <v>59</v>
      </c>
      <c r="J189" s="7">
        <v>77</v>
      </c>
      <c r="K189" s="16">
        <f>SUM(D189:J189)</f>
        <v>488</v>
      </c>
      <c r="L189" s="28">
        <v>170</v>
      </c>
      <c r="M189" s="28">
        <v>305</v>
      </c>
      <c r="N189" s="7">
        <v>518</v>
      </c>
      <c r="O189" s="16">
        <f t="shared" si="4"/>
        <v>993</v>
      </c>
      <c r="P189" s="7">
        <v>1481</v>
      </c>
      <c r="Q189" s="7">
        <v>368713.33399999997</v>
      </c>
      <c r="R189" s="7">
        <v>752675.12899999996</v>
      </c>
      <c r="S189" s="7">
        <v>801897.11100000015</v>
      </c>
      <c r="T189" s="7">
        <v>814911.34600000002</v>
      </c>
      <c r="U189" s="7">
        <v>776559.2570000001</v>
      </c>
      <c r="V189" s="7">
        <v>891909.07200000016</v>
      </c>
      <c r="W189" s="7">
        <v>755818.44599999988</v>
      </c>
      <c r="X189" s="16">
        <f>SUM(Q189:W189)</f>
        <v>5162483.6949999994</v>
      </c>
      <c r="Y189" s="28">
        <v>453442.69599999994</v>
      </c>
      <c r="Z189" s="28">
        <v>231278.23199999996</v>
      </c>
      <c r="AA189" s="7">
        <v>106211.61900000001</v>
      </c>
      <c r="AB189" s="16">
        <f t="shared" si="5"/>
        <v>790932.54699999979</v>
      </c>
      <c r="AC189" s="7">
        <v>5953416.2419999987</v>
      </c>
      <c r="AD189" s="8">
        <v>3.2545608996066306E-4</v>
      </c>
      <c r="AE189" s="8">
        <v>7.7058478173788576E-5</v>
      </c>
      <c r="AF189" s="8">
        <v>6.9834395500147886E-5</v>
      </c>
      <c r="AG189" s="8">
        <v>8.3444659758118034E-5</v>
      </c>
      <c r="AH189" s="8">
        <v>6.4386586792049524E-5</v>
      </c>
      <c r="AI189" s="8">
        <v>6.6150240929492403E-5</v>
      </c>
      <c r="AJ189" s="8">
        <v>1.01876317530361E-4</v>
      </c>
      <c r="AK189" s="8">
        <v>3.7490955637754949E-4</v>
      </c>
      <c r="AL189" s="8">
        <v>1.3187579192494002E-3</v>
      </c>
      <c r="AM189" s="8">
        <v>4.8770558708835796E-3</v>
      </c>
      <c r="AN189" s="8">
        <v>2.4876473268438404E-4</v>
      </c>
    </row>
    <row r="190" spans="1:40" x14ac:dyDescent="0.2">
      <c r="A190" t="s">
        <v>218</v>
      </c>
      <c r="B190">
        <v>2016</v>
      </c>
      <c r="C190" t="s">
        <v>226</v>
      </c>
      <c r="D190" s="7">
        <v>96</v>
      </c>
      <c r="E190" s="7">
        <v>57</v>
      </c>
      <c r="F190" s="7">
        <v>65</v>
      </c>
      <c r="G190" s="7">
        <v>62</v>
      </c>
      <c r="H190" s="7">
        <v>65</v>
      </c>
      <c r="I190" s="7">
        <v>71</v>
      </c>
      <c r="J190" s="7">
        <v>58</v>
      </c>
      <c r="K190" s="16">
        <f>SUM(D190:J190)</f>
        <v>474</v>
      </c>
      <c r="L190" s="28">
        <v>153</v>
      </c>
      <c r="M190" s="28">
        <v>254</v>
      </c>
      <c r="N190" s="7">
        <v>440</v>
      </c>
      <c r="O190" s="16">
        <f t="shared" si="4"/>
        <v>847</v>
      </c>
      <c r="P190" s="7">
        <v>1321</v>
      </c>
      <c r="Q190" s="7">
        <v>364175.89600000001</v>
      </c>
      <c r="R190" s="7">
        <v>741178.08</v>
      </c>
      <c r="S190" s="7">
        <v>785476.52899999998</v>
      </c>
      <c r="T190" s="7">
        <v>815249.61899999995</v>
      </c>
      <c r="U190" s="7">
        <v>762824.96799999988</v>
      </c>
      <c r="V190" s="7">
        <v>868778.43099999998</v>
      </c>
      <c r="W190" s="7">
        <v>759229.08299999998</v>
      </c>
      <c r="X190" s="16">
        <f>SUM(Q190:W190)</f>
        <v>5096912.6059999997</v>
      </c>
      <c r="Y190" s="28">
        <v>470185.53499999997</v>
      </c>
      <c r="Z190" s="28">
        <v>232133.55800000002</v>
      </c>
      <c r="AA190" s="7">
        <v>106491.85500000001</v>
      </c>
      <c r="AB190" s="16">
        <f t="shared" si="5"/>
        <v>808810.94799999997</v>
      </c>
      <c r="AC190" s="7">
        <v>5905723.5540000005</v>
      </c>
      <c r="AD190" s="8">
        <v>2.6360887981449489E-4</v>
      </c>
      <c r="AE190" s="8">
        <v>7.6904594911927237E-5</v>
      </c>
      <c r="AF190" s="8">
        <v>8.2752313532209957E-5</v>
      </c>
      <c r="AG190" s="8">
        <v>7.6050326863139574E-5</v>
      </c>
      <c r="AH190" s="8">
        <v>8.5209586375258777E-5</v>
      </c>
      <c r="AI190" s="8">
        <v>8.1723944180193397E-5</v>
      </c>
      <c r="AJ190" s="8">
        <v>7.6393280103048949E-5</v>
      </c>
      <c r="AK190" s="8">
        <v>3.2540346014685458E-4</v>
      </c>
      <c r="AL190" s="8">
        <v>1.0941976773560674E-3</v>
      </c>
      <c r="AM190" s="8">
        <v>4.1317713922815972E-3</v>
      </c>
      <c r="AN190" s="8">
        <v>2.2368131320763814E-4</v>
      </c>
    </row>
    <row r="191" spans="1:40" x14ac:dyDescent="0.2">
      <c r="A191" t="s">
        <v>218</v>
      </c>
      <c r="B191">
        <v>2017</v>
      </c>
      <c r="C191" t="s">
        <v>227</v>
      </c>
      <c r="D191" s="7">
        <v>104</v>
      </c>
      <c r="E191" s="7">
        <v>50</v>
      </c>
      <c r="F191" s="7">
        <v>53</v>
      </c>
      <c r="G191" s="7">
        <v>63</v>
      </c>
      <c r="H191" s="7">
        <v>39</v>
      </c>
      <c r="I191" s="7">
        <v>44</v>
      </c>
      <c r="J191" s="7">
        <v>65</v>
      </c>
      <c r="K191" s="16">
        <f>SUM(D191:J191)</f>
        <v>418</v>
      </c>
      <c r="L191" s="28">
        <v>155</v>
      </c>
      <c r="M191" s="28">
        <v>235</v>
      </c>
      <c r="N191" s="7">
        <v>442</v>
      </c>
      <c r="O191" s="16">
        <f t="shared" si="4"/>
        <v>832</v>
      </c>
      <c r="P191" s="7">
        <v>1250</v>
      </c>
      <c r="Q191" s="7">
        <v>363031</v>
      </c>
      <c r="R191" s="7">
        <v>741392</v>
      </c>
      <c r="S191" s="7">
        <v>772879</v>
      </c>
      <c r="T191" s="7">
        <v>818802</v>
      </c>
      <c r="U191" s="7">
        <v>759833</v>
      </c>
      <c r="V191" s="7">
        <v>857032</v>
      </c>
      <c r="W191" s="7">
        <v>771764</v>
      </c>
      <c r="X191" s="16">
        <f>SUM(Q191:W191)</f>
        <v>5084733</v>
      </c>
      <c r="Y191" s="28">
        <v>489182</v>
      </c>
      <c r="Z191" s="28">
        <v>240311</v>
      </c>
      <c r="AA191" s="7">
        <v>106981</v>
      </c>
      <c r="AB191" s="16">
        <f t="shared" si="5"/>
        <v>836474</v>
      </c>
      <c r="AC191" s="7">
        <v>5921207</v>
      </c>
      <c r="AD191" s="8">
        <v>2.8647691243998449E-4</v>
      </c>
      <c r="AE191" s="8">
        <v>6.7440706131169478E-5</v>
      </c>
      <c r="AF191" s="8">
        <v>6.8574770436251984E-5</v>
      </c>
      <c r="AG191" s="8">
        <v>7.6941678207918395E-5</v>
      </c>
      <c r="AH191" s="8">
        <v>5.1327067921503801E-5</v>
      </c>
      <c r="AI191" s="8">
        <v>5.1339973303213881E-5</v>
      </c>
      <c r="AJ191" s="8">
        <v>8.422263800851037E-5</v>
      </c>
      <c r="AK191" s="8">
        <v>3.1685548527950744E-4</v>
      </c>
      <c r="AL191" s="8">
        <v>9.7789947193428523E-4</v>
      </c>
      <c r="AM191" s="8">
        <v>4.1315747656125853E-3</v>
      </c>
      <c r="AN191" s="8">
        <v>2.1110560735336563E-4</v>
      </c>
    </row>
    <row r="192" spans="1:40" x14ac:dyDescent="0.2">
      <c r="A192" t="s">
        <v>228</v>
      </c>
      <c r="B192">
        <v>2009</v>
      </c>
      <c r="C192" t="s">
        <v>229</v>
      </c>
      <c r="D192" s="7">
        <v>100</v>
      </c>
      <c r="E192" s="7">
        <v>69</v>
      </c>
      <c r="F192" s="7">
        <v>70</v>
      </c>
      <c r="G192" s="7">
        <v>39</v>
      </c>
      <c r="H192" s="7">
        <v>49</v>
      </c>
      <c r="I192" s="7">
        <v>51</v>
      </c>
      <c r="J192" s="7">
        <v>55</v>
      </c>
      <c r="K192" s="16">
        <f>SUM(D192:J192)</f>
        <v>433</v>
      </c>
      <c r="L192" s="28">
        <v>109</v>
      </c>
      <c r="M192" s="28">
        <v>362</v>
      </c>
      <c r="N192" s="7">
        <v>706</v>
      </c>
      <c r="O192" s="16">
        <f t="shared" si="4"/>
        <v>1177</v>
      </c>
      <c r="P192" s="7">
        <v>1610</v>
      </c>
      <c r="Q192" s="7">
        <v>384502.80899999995</v>
      </c>
      <c r="R192" s="7">
        <v>800466.30099999998</v>
      </c>
      <c r="S192" s="7">
        <v>909982.86399999983</v>
      </c>
      <c r="T192" s="7">
        <v>839232.3339999998</v>
      </c>
      <c r="U192" s="7">
        <v>975467.11399999971</v>
      </c>
      <c r="V192" s="7">
        <v>998066.1379999998</v>
      </c>
      <c r="W192" s="7">
        <v>732768.84299999999</v>
      </c>
      <c r="X192" s="16">
        <f>SUM(Q192:W192)</f>
        <v>5640486.402999999</v>
      </c>
      <c r="Y192" s="28">
        <v>426481.35700000008</v>
      </c>
      <c r="Z192" s="28">
        <v>305548.37599999999</v>
      </c>
      <c r="AA192" s="7">
        <v>136968.65</v>
      </c>
      <c r="AB192" s="16">
        <f t="shared" si="5"/>
        <v>868998.38300000003</v>
      </c>
      <c r="AC192" s="7">
        <v>6509484.7859999994</v>
      </c>
      <c r="AD192" s="8">
        <v>2.6007612339705953E-4</v>
      </c>
      <c r="AE192" s="8">
        <v>8.6199756209349784E-5</v>
      </c>
      <c r="AF192" s="8">
        <v>7.6924525471064269E-5</v>
      </c>
      <c r="AG192" s="8">
        <v>4.6471040759494869E-5</v>
      </c>
      <c r="AH192" s="8">
        <v>5.0232344378141709E-5</v>
      </c>
      <c r="AI192" s="8">
        <v>5.1098818062495983E-5</v>
      </c>
      <c r="AJ192" s="8">
        <v>7.5057776439875186E-5</v>
      </c>
      <c r="AK192" s="8">
        <v>2.5557975327864093E-4</v>
      </c>
      <c r="AL192" s="8">
        <v>1.1847551105949913E-3</v>
      </c>
      <c r="AM192" s="8">
        <v>5.1544641784817182E-3</v>
      </c>
      <c r="AN192" s="8">
        <v>2.4733140224286873E-4</v>
      </c>
    </row>
    <row r="193" spans="1:40" x14ac:dyDescent="0.2">
      <c r="A193" t="s">
        <v>228</v>
      </c>
      <c r="B193">
        <v>2010</v>
      </c>
      <c r="C193" t="s">
        <v>230</v>
      </c>
      <c r="D193" s="7">
        <v>137</v>
      </c>
      <c r="E193" s="7">
        <v>55</v>
      </c>
      <c r="F193" s="7">
        <v>68</v>
      </c>
      <c r="G193" s="7">
        <v>46</v>
      </c>
      <c r="H193" s="7">
        <v>53</v>
      </c>
      <c r="I193" s="7">
        <v>43</v>
      </c>
      <c r="J193" s="7">
        <v>56</v>
      </c>
      <c r="K193" s="16">
        <f>SUM(D193:J193)</f>
        <v>458</v>
      </c>
      <c r="L193" s="28">
        <v>115</v>
      </c>
      <c r="M193" s="28">
        <v>340</v>
      </c>
      <c r="N193" s="7">
        <v>703</v>
      </c>
      <c r="O193" s="16">
        <f t="shared" si="4"/>
        <v>1158</v>
      </c>
      <c r="P193" s="7">
        <v>1616</v>
      </c>
      <c r="Q193" s="7">
        <v>368073.38999999996</v>
      </c>
      <c r="R193" s="7">
        <v>798400.54900000012</v>
      </c>
      <c r="S193" s="7">
        <v>930411.99899999995</v>
      </c>
      <c r="T193" s="7">
        <v>829290.41</v>
      </c>
      <c r="U193" s="7">
        <v>933231.73400000005</v>
      </c>
      <c r="V193" s="7">
        <v>992882.07200000016</v>
      </c>
      <c r="W193" s="7">
        <v>758275.80799999996</v>
      </c>
      <c r="X193" s="16">
        <f>SUM(Q193:W193)</f>
        <v>5610565.9620000012</v>
      </c>
      <c r="Y193" s="28">
        <v>431491.24899999995</v>
      </c>
      <c r="Z193" s="28">
        <v>307583.60399999999</v>
      </c>
      <c r="AA193" s="7">
        <v>138045.89800000002</v>
      </c>
      <c r="AB193" s="16">
        <f t="shared" si="5"/>
        <v>877120.75099999993</v>
      </c>
      <c r="AC193" s="7">
        <v>6487686.7130000014</v>
      </c>
      <c r="AD193" s="8">
        <v>3.7220837942128883E-4</v>
      </c>
      <c r="AE193" s="8">
        <v>6.8887728182160843E-5</v>
      </c>
      <c r="AF193" s="8">
        <v>7.3085901808108558E-5</v>
      </c>
      <c r="AG193" s="8">
        <v>5.5469108825218416E-5</v>
      </c>
      <c r="AH193" s="8">
        <v>5.6791896448733488E-5</v>
      </c>
      <c r="AI193" s="8">
        <v>4.3308265112878373E-5</v>
      </c>
      <c r="AJ193" s="8">
        <v>7.3851756061825988E-5</v>
      </c>
      <c r="AK193" s="8">
        <v>2.6651757194732823E-4</v>
      </c>
      <c r="AL193" s="8">
        <v>1.1053905201006749E-3</v>
      </c>
      <c r="AM193" s="8">
        <v>5.0925091595260576E-3</v>
      </c>
      <c r="AN193" s="8">
        <v>2.490872434949526E-4</v>
      </c>
    </row>
    <row r="194" spans="1:40" x14ac:dyDescent="0.2">
      <c r="A194" t="s">
        <v>228</v>
      </c>
      <c r="B194">
        <v>2011</v>
      </c>
      <c r="C194" t="s">
        <v>231</v>
      </c>
      <c r="D194" s="7">
        <v>97</v>
      </c>
      <c r="E194" s="7">
        <v>58</v>
      </c>
      <c r="F194" s="7">
        <v>52</v>
      </c>
      <c r="G194" s="7">
        <v>43</v>
      </c>
      <c r="H194" s="7">
        <v>52</v>
      </c>
      <c r="I194" s="7">
        <v>53</v>
      </c>
      <c r="J194" s="7">
        <v>62</v>
      </c>
      <c r="K194" s="16">
        <f>SUM(D194:J194)</f>
        <v>417</v>
      </c>
      <c r="L194" s="28">
        <v>106</v>
      </c>
      <c r="M194" s="28">
        <v>318</v>
      </c>
      <c r="N194" s="7">
        <v>838</v>
      </c>
      <c r="O194" s="16">
        <f t="shared" si="4"/>
        <v>1262</v>
      </c>
      <c r="P194" s="7">
        <v>1679</v>
      </c>
      <c r="Q194" s="7">
        <v>367196.82800000004</v>
      </c>
      <c r="R194" s="7">
        <v>793364.946</v>
      </c>
      <c r="S194" s="7">
        <v>935022.05500000017</v>
      </c>
      <c r="T194" s="7">
        <v>837932.33400000015</v>
      </c>
      <c r="U194" s="7">
        <v>911024.14700000011</v>
      </c>
      <c r="V194" s="7">
        <v>999912.67799999996</v>
      </c>
      <c r="W194" s="7">
        <v>782346.53299999994</v>
      </c>
      <c r="X194" s="16">
        <f>SUM(Q194:W194)</f>
        <v>5626799.5210000006</v>
      </c>
      <c r="Y194" s="28">
        <v>447028.52499999997</v>
      </c>
      <c r="Z194" s="28">
        <v>308062.55</v>
      </c>
      <c r="AA194" s="7">
        <v>141922.41499999998</v>
      </c>
      <c r="AB194" s="16">
        <f t="shared" si="5"/>
        <v>897013.49</v>
      </c>
      <c r="AC194" s="7">
        <v>6523813.0110000009</v>
      </c>
      <c r="AD194" s="8">
        <v>2.6416350197883517E-4</v>
      </c>
      <c r="AE194" s="8">
        <v>7.3106330563790751E-5</v>
      </c>
      <c r="AF194" s="8">
        <v>5.5613661433900602E-5</v>
      </c>
      <c r="AG194" s="8">
        <v>5.1316792842606781E-5</v>
      </c>
      <c r="AH194" s="8">
        <v>5.7078618795380833E-5</v>
      </c>
      <c r="AI194" s="8">
        <v>5.3004628470167275E-5</v>
      </c>
      <c r="AJ194" s="8">
        <v>7.9248769419676082E-5</v>
      </c>
      <c r="AK194" s="8">
        <v>2.3712133358827606E-4</v>
      </c>
      <c r="AL194" s="8">
        <v>1.0322578969757929E-3</v>
      </c>
      <c r="AM194" s="8">
        <v>5.9046345850301387E-3</v>
      </c>
      <c r="AN194" s="8">
        <v>2.5736482593369654E-4</v>
      </c>
    </row>
    <row r="195" spans="1:40" x14ac:dyDescent="0.2">
      <c r="A195" t="s">
        <v>228</v>
      </c>
      <c r="B195">
        <v>2012</v>
      </c>
      <c r="C195" t="s">
        <v>232</v>
      </c>
      <c r="D195" s="7">
        <v>110</v>
      </c>
      <c r="E195" s="7">
        <v>44</v>
      </c>
      <c r="F195" s="7">
        <v>65</v>
      </c>
      <c r="G195" s="7">
        <v>52</v>
      </c>
      <c r="H195" s="7">
        <v>64</v>
      </c>
      <c r="I195" s="7">
        <v>37</v>
      </c>
      <c r="J195" s="7">
        <v>54</v>
      </c>
      <c r="K195" s="16">
        <f>SUM(D195:J195)</f>
        <v>426</v>
      </c>
      <c r="L195" s="28">
        <v>119</v>
      </c>
      <c r="M195" s="28">
        <v>329</v>
      </c>
      <c r="N195" s="7">
        <v>762</v>
      </c>
      <c r="O195" s="16">
        <f t="shared" si="4"/>
        <v>1210</v>
      </c>
      <c r="P195" s="7">
        <v>1636</v>
      </c>
      <c r="Q195" s="7">
        <v>367607.68000000005</v>
      </c>
      <c r="R195" s="7">
        <v>789520.01300000004</v>
      </c>
      <c r="S195" s="7">
        <v>936838.90599999996</v>
      </c>
      <c r="T195" s="7">
        <v>852944.37699999998</v>
      </c>
      <c r="U195" s="7">
        <v>888479.78700000001</v>
      </c>
      <c r="V195" s="7">
        <v>1005597.671</v>
      </c>
      <c r="W195" s="7">
        <v>805786.59999999986</v>
      </c>
      <c r="X195" s="16">
        <f>SUM(Q195:W195)</f>
        <v>5646775.0339999991</v>
      </c>
      <c r="Y195" s="28">
        <v>464266.14399999997</v>
      </c>
      <c r="Z195" s="28">
        <v>302477.40399999998</v>
      </c>
      <c r="AA195" s="7">
        <v>144764.25200000001</v>
      </c>
      <c r="AB195" s="16">
        <f t="shared" si="5"/>
        <v>911507.79999999993</v>
      </c>
      <c r="AC195" s="7">
        <v>6558282.8339999998</v>
      </c>
      <c r="AD195" s="8">
        <v>2.9923205086466087E-4</v>
      </c>
      <c r="AE195" s="8">
        <v>5.5730062918620404E-5</v>
      </c>
      <c r="AF195" s="8">
        <v>6.9382259408428109E-5</v>
      </c>
      <c r="AG195" s="8">
        <v>6.096528847859443E-5</v>
      </c>
      <c r="AH195" s="8">
        <v>7.2033152511099269E-5</v>
      </c>
      <c r="AI195" s="8">
        <v>3.6794039074499808E-5</v>
      </c>
      <c r="AJ195" s="8">
        <v>6.7015261857171629E-5</v>
      </c>
      <c r="AK195" s="8">
        <v>2.5631849648722179E-4</v>
      </c>
      <c r="AL195" s="8">
        <v>1.0876845531245039E-3</v>
      </c>
      <c r="AM195" s="8">
        <v>5.26373044085497E-3</v>
      </c>
      <c r="AN195" s="8">
        <v>2.4945554216090096E-4</v>
      </c>
    </row>
    <row r="196" spans="1:40" x14ac:dyDescent="0.2">
      <c r="A196" t="s">
        <v>228</v>
      </c>
      <c r="B196">
        <v>2013</v>
      </c>
      <c r="C196" t="s">
        <v>233</v>
      </c>
      <c r="D196" s="7">
        <v>113</v>
      </c>
      <c r="E196" s="7">
        <v>56</v>
      </c>
      <c r="F196" s="7">
        <v>65</v>
      </c>
      <c r="G196" s="7">
        <v>65</v>
      </c>
      <c r="H196" s="7">
        <v>52</v>
      </c>
      <c r="I196" s="7">
        <v>53</v>
      </c>
      <c r="J196" s="7">
        <v>69</v>
      </c>
      <c r="K196" s="16">
        <f>SUM(D196:J196)</f>
        <v>473</v>
      </c>
      <c r="L196" s="28">
        <v>150</v>
      </c>
      <c r="M196" s="28">
        <v>363</v>
      </c>
      <c r="N196" s="7">
        <v>883</v>
      </c>
      <c r="O196" s="16">
        <f t="shared" ref="O196:O259" si="6">SUM(L196:N196)</f>
        <v>1396</v>
      </c>
      <c r="P196" s="7">
        <v>1869</v>
      </c>
      <c r="Q196" s="7">
        <v>366327.70899999997</v>
      </c>
      <c r="R196" s="7">
        <v>787715.55500000005</v>
      </c>
      <c r="S196" s="7">
        <v>943961.15600000008</v>
      </c>
      <c r="T196" s="7">
        <v>874626.79099999997</v>
      </c>
      <c r="U196" s="7">
        <v>872081.62899999996</v>
      </c>
      <c r="V196" s="7">
        <v>1007271.031</v>
      </c>
      <c r="W196" s="7">
        <v>831204.61</v>
      </c>
      <c r="X196" s="16">
        <f>SUM(Q196:W196)</f>
        <v>5683188.4809999997</v>
      </c>
      <c r="Y196" s="28">
        <v>487405.18900000001</v>
      </c>
      <c r="Z196" s="28">
        <v>301363.74199999991</v>
      </c>
      <c r="AA196" s="7">
        <v>148702.82899999997</v>
      </c>
      <c r="AB196" s="16">
        <f t="shared" ref="AB196:AB259" si="7">SUM(Y196:AA196)</f>
        <v>937471.75999999978</v>
      </c>
      <c r="AC196" s="7">
        <v>6620660.2409999995</v>
      </c>
      <c r="AD196" s="8">
        <v>3.0846697430687668E-4</v>
      </c>
      <c r="AE196" s="8">
        <v>7.1091651859026692E-5</v>
      </c>
      <c r="AF196" s="8">
        <v>6.8858765624885522E-5</v>
      </c>
      <c r="AG196" s="8">
        <v>7.4317412488225515E-5</v>
      </c>
      <c r="AH196" s="8">
        <v>5.9627445723891061E-5</v>
      </c>
      <c r="AI196" s="8">
        <v>5.2617417128915726E-5</v>
      </c>
      <c r="AJ196" s="8">
        <v>8.3012051629501913E-5</v>
      </c>
      <c r="AK196" s="8">
        <v>3.0775216059507316E-4</v>
      </c>
      <c r="AL196" s="8">
        <v>1.2045244646583931E-3</v>
      </c>
      <c r="AM196" s="8">
        <v>5.938017493937524E-3</v>
      </c>
      <c r="AN196" s="8">
        <v>2.8229812918442439E-4</v>
      </c>
    </row>
    <row r="197" spans="1:40" x14ac:dyDescent="0.2">
      <c r="A197" t="s">
        <v>228</v>
      </c>
      <c r="B197">
        <v>2014</v>
      </c>
      <c r="C197" t="s">
        <v>234</v>
      </c>
      <c r="D197" s="7">
        <v>86</v>
      </c>
      <c r="E197" s="7">
        <v>61</v>
      </c>
      <c r="F197" s="7">
        <v>64</v>
      </c>
      <c r="G197" s="7">
        <v>63</v>
      </c>
      <c r="H197" s="7">
        <v>57</v>
      </c>
      <c r="I197" s="7">
        <v>59</v>
      </c>
      <c r="J197" s="7">
        <v>114</v>
      </c>
      <c r="K197" s="16">
        <f>SUM(D197:J197)</f>
        <v>504</v>
      </c>
      <c r="L197" s="28">
        <v>164</v>
      </c>
      <c r="M197" s="28">
        <v>310</v>
      </c>
      <c r="N197" s="7">
        <v>720</v>
      </c>
      <c r="O197" s="16">
        <f t="shared" si="6"/>
        <v>1194</v>
      </c>
      <c r="P197" s="7">
        <v>1698</v>
      </c>
      <c r="Q197" s="7">
        <v>365613.15499999997</v>
      </c>
      <c r="R197" s="7">
        <v>785001.75300000003</v>
      </c>
      <c r="S197" s="7">
        <v>948617.47200000007</v>
      </c>
      <c r="T197" s="7">
        <v>893276.89299999992</v>
      </c>
      <c r="U197" s="7">
        <v>857953.72699999996</v>
      </c>
      <c r="V197" s="7">
        <v>1003495.8690000001</v>
      </c>
      <c r="W197" s="7">
        <v>852347.64300000004</v>
      </c>
      <c r="X197" s="16">
        <f>SUM(Q197:W197)</f>
        <v>5706306.5120000001</v>
      </c>
      <c r="Y197" s="28">
        <v>511106.23400000005</v>
      </c>
      <c r="Z197" s="28">
        <v>300081.23499999993</v>
      </c>
      <c r="AA197" s="7">
        <v>151196.98199999999</v>
      </c>
      <c r="AB197" s="16">
        <f t="shared" si="7"/>
        <v>962384.451</v>
      </c>
      <c r="AC197" s="7">
        <v>6668690.9630000005</v>
      </c>
      <c r="AD197" s="8">
        <v>2.3522129557947664E-4</v>
      </c>
      <c r="AE197" s="8">
        <v>7.7706832840665008E-5</v>
      </c>
      <c r="AF197" s="8">
        <v>6.7466604705336905E-5</v>
      </c>
      <c r="AG197" s="8">
        <v>7.0526843908857274E-5</v>
      </c>
      <c r="AH197" s="8">
        <v>6.6437149471115946E-5</v>
      </c>
      <c r="AI197" s="8">
        <v>5.879446226200658E-5</v>
      </c>
      <c r="AJ197" s="8">
        <v>1.3374824337960889E-4</v>
      </c>
      <c r="AK197" s="8">
        <v>3.2087262703980239E-4</v>
      </c>
      <c r="AL197" s="8">
        <v>1.0330535996361122E-3</v>
      </c>
      <c r="AM197" s="8">
        <v>4.7619998129327743E-3</v>
      </c>
      <c r="AN197" s="8">
        <v>2.5462268523478436E-4</v>
      </c>
    </row>
    <row r="198" spans="1:40" x14ac:dyDescent="0.2">
      <c r="A198" t="s">
        <v>228</v>
      </c>
      <c r="B198">
        <v>2015</v>
      </c>
      <c r="C198" t="s">
        <v>235</v>
      </c>
      <c r="D198" s="7">
        <v>93</v>
      </c>
      <c r="E198" s="7">
        <v>78</v>
      </c>
      <c r="F198" s="7">
        <v>49</v>
      </c>
      <c r="G198" s="7">
        <v>52</v>
      </c>
      <c r="H198" s="7">
        <v>65</v>
      </c>
      <c r="I198" s="7">
        <v>65</v>
      </c>
      <c r="J198" s="7">
        <v>82</v>
      </c>
      <c r="K198" s="16">
        <f>SUM(D198:J198)</f>
        <v>484</v>
      </c>
      <c r="L198" s="28">
        <v>170</v>
      </c>
      <c r="M198" s="28">
        <v>337</v>
      </c>
      <c r="N198" s="7">
        <v>868</v>
      </c>
      <c r="O198" s="16">
        <f t="shared" si="6"/>
        <v>1375</v>
      </c>
      <c r="P198" s="7">
        <v>1859</v>
      </c>
      <c r="Q198" s="7">
        <v>363716.66799999995</v>
      </c>
      <c r="R198" s="7">
        <v>776947.30599999987</v>
      </c>
      <c r="S198" s="7">
        <v>948497.68</v>
      </c>
      <c r="T198" s="7">
        <v>908255.66500000004</v>
      </c>
      <c r="U198" s="7">
        <v>847156.30299999996</v>
      </c>
      <c r="V198" s="7">
        <v>994198.30900000012</v>
      </c>
      <c r="W198" s="7">
        <v>865074.26399999997</v>
      </c>
      <c r="X198" s="16">
        <f>SUM(Q198:W198)</f>
        <v>5703846.1950000003</v>
      </c>
      <c r="Y198" s="28">
        <v>532939.72499999998</v>
      </c>
      <c r="Z198" s="28">
        <v>293687.67</v>
      </c>
      <c r="AA198" s="7">
        <v>153639.87100000001</v>
      </c>
      <c r="AB198" s="16">
        <f t="shared" si="7"/>
        <v>980267.26600000006</v>
      </c>
      <c r="AC198" s="7">
        <v>6684113.4610000001</v>
      </c>
      <c r="AD198" s="8">
        <v>2.5569353340716298E-4</v>
      </c>
      <c r="AE198" s="8">
        <v>1.0039290875667187E-4</v>
      </c>
      <c r="AF198" s="8">
        <v>5.1660642965410307E-5</v>
      </c>
      <c r="AG198" s="8">
        <v>5.7252601887156956E-5</v>
      </c>
      <c r="AH198" s="8">
        <v>7.6727281340902682E-5</v>
      </c>
      <c r="AI198" s="8">
        <v>6.5379310557648512E-5</v>
      </c>
      <c r="AJ198" s="8">
        <v>9.4789549767486787E-5</v>
      </c>
      <c r="AK198" s="8">
        <v>3.1898541622131846E-4</v>
      </c>
      <c r="AL198" s="8">
        <v>1.1474775226348454E-3</v>
      </c>
      <c r="AM198" s="8">
        <v>5.6495751678937558E-3</v>
      </c>
      <c r="AN198" s="8">
        <v>2.7812214901000166E-4</v>
      </c>
    </row>
    <row r="199" spans="1:40" x14ac:dyDescent="0.2">
      <c r="A199" t="s">
        <v>228</v>
      </c>
      <c r="B199">
        <v>2016</v>
      </c>
      <c r="C199" t="s">
        <v>236</v>
      </c>
      <c r="D199" s="7">
        <v>115</v>
      </c>
      <c r="E199" s="7">
        <v>54</v>
      </c>
      <c r="F199" s="7">
        <v>37</v>
      </c>
      <c r="G199" s="7">
        <v>56</v>
      </c>
      <c r="H199" s="7">
        <v>61</v>
      </c>
      <c r="I199" s="7">
        <v>49</v>
      </c>
      <c r="J199" s="7">
        <v>57</v>
      </c>
      <c r="K199" s="16">
        <f>SUM(D199:J199)</f>
        <v>429</v>
      </c>
      <c r="L199" s="28">
        <v>162</v>
      </c>
      <c r="M199" s="28">
        <v>292</v>
      </c>
      <c r="N199" s="7">
        <v>654</v>
      </c>
      <c r="O199" s="16">
        <f t="shared" si="6"/>
        <v>1108</v>
      </c>
      <c r="P199" s="7">
        <v>1537</v>
      </c>
      <c r="Q199" s="7">
        <v>363626.19200000004</v>
      </c>
      <c r="R199" s="7">
        <v>776585.07900000003</v>
      </c>
      <c r="S199" s="7">
        <v>953980.64700000011</v>
      </c>
      <c r="T199" s="7">
        <v>926165.804</v>
      </c>
      <c r="U199" s="7">
        <v>838652.93599999999</v>
      </c>
      <c r="V199" s="7">
        <v>984369.01400000008</v>
      </c>
      <c r="W199" s="7">
        <v>883741.99599999981</v>
      </c>
      <c r="X199" s="16">
        <f>SUM(Q199:W199)</f>
        <v>5727121.6679999996</v>
      </c>
      <c r="Y199" s="28">
        <v>560636.9389999999</v>
      </c>
      <c r="Z199" s="28">
        <v>300953.40399999998</v>
      </c>
      <c r="AA199" s="7">
        <v>155000.51</v>
      </c>
      <c r="AB199" s="16">
        <f t="shared" si="7"/>
        <v>1016590.8529999999</v>
      </c>
      <c r="AC199" s="7">
        <v>6743712.5209999997</v>
      </c>
      <c r="AD199" s="8">
        <v>3.1625884639245128E-4</v>
      </c>
      <c r="AE199" s="8">
        <v>6.9535201564180444E-5</v>
      </c>
      <c r="AF199" s="8">
        <v>3.8784853881841895E-5</v>
      </c>
      <c r="AG199" s="8">
        <v>6.0464335606154597E-5</v>
      </c>
      <c r="AH199" s="8">
        <v>7.2735690035192343E-5</v>
      </c>
      <c r="AI199" s="8">
        <v>4.9778080479075298E-5</v>
      </c>
      <c r="AJ199" s="8">
        <v>6.4498462512807884E-5</v>
      </c>
      <c r="AK199" s="8">
        <v>2.8895705710893239E-4</v>
      </c>
      <c r="AL199" s="8">
        <v>9.7024986632149876E-4</v>
      </c>
      <c r="AM199" s="8">
        <v>4.2193409557168549E-3</v>
      </c>
      <c r="AN199" s="8">
        <v>2.27916002530322E-4</v>
      </c>
    </row>
    <row r="200" spans="1:40" x14ac:dyDescent="0.2">
      <c r="A200" t="s">
        <v>228</v>
      </c>
      <c r="B200">
        <v>2017</v>
      </c>
      <c r="C200" t="s">
        <v>237</v>
      </c>
      <c r="D200" s="7">
        <v>96</v>
      </c>
      <c r="E200" s="7">
        <v>68</v>
      </c>
      <c r="F200" s="7">
        <v>50</v>
      </c>
      <c r="G200" s="7">
        <v>47</v>
      </c>
      <c r="H200" s="7">
        <v>64</v>
      </c>
      <c r="I200" s="7">
        <v>61</v>
      </c>
      <c r="J200" s="7">
        <v>73</v>
      </c>
      <c r="K200" s="16">
        <f>SUM(D200:J200)</f>
        <v>459</v>
      </c>
      <c r="L200" s="28">
        <v>167</v>
      </c>
      <c r="M200" s="28">
        <v>342</v>
      </c>
      <c r="N200" s="7">
        <v>791</v>
      </c>
      <c r="O200" s="16">
        <f t="shared" si="6"/>
        <v>1300</v>
      </c>
      <c r="P200" s="7">
        <v>1759</v>
      </c>
      <c r="Q200" s="7">
        <v>363679</v>
      </c>
      <c r="R200" s="7">
        <v>771609</v>
      </c>
      <c r="S200" s="7">
        <v>950843</v>
      </c>
      <c r="T200" s="7">
        <v>947736</v>
      </c>
      <c r="U200" s="7">
        <v>835419</v>
      </c>
      <c r="V200" s="7">
        <v>972968</v>
      </c>
      <c r="W200" s="7">
        <v>901460</v>
      </c>
      <c r="X200" s="16">
        <f>SUM(Q200:W200)</f>
        <v>5743714</v>
      </c>
      <c r="Y200" s="28">
        <v>588877</v>
      </c>
      <c r="Z200" s="28">
        <v>305080</v>
      </c>
      <c r="AA200" s="7">
        <v>155261</v>
      </c>
      <c r="AB200" s="16">
        <f t="shared" si="7"/>
        <v>1049218</v>
      </c>
      <c r="AC200" s="7">
        <v>6792932</v>
      </c>
      <c r="AD200" s="8">
        <v>2.6396904962893103E-4</v>
      </c>
      <c r="AE200" s="8">
        <v>8.8127536096649988E-5</v>
      </c>
      <c r="AF200" s="8">
        <v>5.2584916752818288E-5</v>
      </c>
      <c r="AG200" s="8">
        <v>4.9591869465758397E-5</v>
      </c>
      <c r="AH200" s="8">
        <v>7.660826483477154E-5</v>
      </c>
      <c r="AI200" s="8">
        <v>6.2694764884353859E-5</v>
      </c>
      <c r="AJ200" s="8">
        <v>8.0979743970891659E-5</v>
      </c>
      <c r="AK200" s="8">
        <v>2.8359063098066319E-4</v>
      </c>
      <c r="AL200" s="8">
        <v>1.1210174380490363E-3</v>
      </c>
      <c r="AM200" s="8">
        <v>5.0946470781458317E-3</v>
      </c>
      <c r="AN200" s="8">
        <v>2.5894562171386378E-4</v>
      </c>
    </row>
    <row r="201" spans="1:40" x14ac:dyDescent="0.2">
      <c r="A201" t="s">
        <v>238</v>
      </c>
      <c r="B201">
        <v>2009</v>
      </c>
      <c r="C201" t="s">
        <v>239</v>
      </c>
      <c r="D201" s="7">
        <v>128</v>
      </c>
      <c r="E201" s="7">
        <v>41</v>
      </c>
      <c r="F201" s="7">
        <v>58</v>
      </c>
      <c r="G201" s="7">
        <v>66</v>
      </c>
      <c r="H201" s="7">
        <v>70</v>
      </c>
      <c r="I201" s="7">
        <v>85</v>
      </c>
      <c r="J201" s="7">
        <v>147</v>
      </c>
      <c r="K201" s="16">
        <f>SUM(D201:J201)</f>
        <v>595</v>
      </c>
      <c r="L201" s="28">
        <v>191</v>
      </c>
      <c r="M201" s="28">
        <v>417</v>
      </c>
      <c r="N201" s="7">
        <v>685</v>
      </c>
      <c r="O201" s="16">
        <f t="shared" si="6"/>
        <v>1293</v>
      </c>
      <c r="P201" s="7">
        <v>1888</v>
      </c>
      <c r="Q201" s="7">
        <v>632465.69899999991</v>
      </c>
      <c r="R201" s="7">
        <v>1354501.9560000002</v>
      </c>
      <c r="S201" s="7">
        <v>1438124.5589999999</v>
      </c>
      <c r="T201" s="7">
        <v>1229114.5209999997</v>
      </c>
      <c r="U201" s="7">
        <v>1418516.9390000002</v>
      </c>
      <c r="V201" s="7">
        <v>1531856.1580000003</v>
      </c>
      <c r="W201" s="7">
        <v>1138515.7709999999</v>
      </c>
      <c r="X201" s="16">
        <f>SUM(Q201:W201)</f>
        <v>8743095.6030000001</v>
      </c>
      <c r="Y201" s="28">
        <v>666764.11699999985</v>
      </c>
      <c r="Z201" s="28">
        <v>445422.81400000013</v>
      </c>
      <c r="AA201" s="7">
        <v>174172.27300000002</v>
      </c>
      <c r="AB201" s="16">
        <f t="shared" si="7"/>
        <v>1286359.2039999999</v>
      </c>
      <c r="AC201" s="7">
        <v>10029454.807</v>
      </c>
      <c r="AD201" s="8">
        <v>2.0238251687385188E-4</v>
      </c>
      <c r="AE201" s="8">
        <v>3.026942841860318E-5</v>
      </c>
      <c r="AF201" s="8">
        <v>4.033030354500747E-5</v>
      </c>
      <c r="AG201" s="8">
        <v>5.3697193282122178E-5</v>
      </c>
      <c r="AH201" s="8">
        <v>4.9347313433808767E-5</v>
      </c>
      <c r="AI201" s="8">
        <v>5.5488238602622104E-5</v>
      </c>
      <c r="AJ201" s="8">
        <v>1.2911547098806066E-4</v>
      </c>
      <c r="AK201" s="8">
        <v>2.8645812684008017E-4</v>
      </c>
      <c r="AL201" s="8">
        <v>9.3618913736196699E-4</v>
      </c>
      <c r="AM201" s="8">
        <v>3.9328877564800448E-3</v>
      </c>
      <c r="AN201" s="8">
        <v>1.8824552643502429E-4</v>
      </c>
    </row>
    <row r="202" spans="1:40" x14ac:dyDescent="0.2">
      <c r="A202" t="s">
        <v>238</v>
      </c>
      <c r="B202">
        <v>2010</v>
      </c>
      <c r="C202" t="s">
        <v>240</v>
      </c>
      <c r="D202" s="7">
        <v>112</v>
      </c>
      <c r="E202" s="7">
        <v>66</v>
      </c>
      <c r="F202" s="7">
        <v>68</v>
      </c>
      <c r="G202" s="7">
        <v>51</v>
      </c>
      <c r="H202" s="7">
        <v>74</v>
      </c>
      <c r="I202" s="7">
        <v>57</v>
      </c>
      <c r="J202" s="7">
        <v>88</v>
      </c>
      <c r="K202" s="16">
        <f>SUM(D202:J202)</f>
        <v>516</v>
      </c>
      <c r="L202" s="28">
        <v>195</v>
      </c>
      <c r="M202" s="28">
        <v>433</v>
      </c>
      <c r="N202" s="7">
        <v>643</v>
      </c>
      <c r="O202" s="16">
        <f t="shared" si="6"/>
        <v>1271</v>
      </c>
      <c r="P202" s="7">
        <v>1787</v>
      </c>
      <c r="Q202" s="7">
        <v>621384.82700000005</v>
      </c>
      <c r="R202" s="7">
        <v>1364195.9559999995</v>
      </c>
      <c r="S202" s="7">
        <v>1442501.2589999998</v>
      </c>
      <c r="T202" s="7">
        <v>1200066.9569999999</v>
      </c>
      <c r="U202" s="7">
        <v>1366887.9439999997</v>
      </c>
      <c r="V202" s="7">
        <v>1529011.8740000003</v>
      </c>
      <c r="W202" s="7">
        <v>1189088.7400000005</v>
      </c>
      <c r="X202" s="16">
        <f>SUM(Q202:W202)</f>
        <v>8713137.557</v>
      </c>
      <c r="Y202" s="28">
        <v>689786.39500000002</v>
      </c>
      <c r="Z202" s="28">
        <v>455675.30899999995</v>
      </c>
      <c r="AA202" s="7">
        <v>180205.74100000001</v>
      </c>
      <c r="AB202" s="16">
        <f t="shared" si="7"/>
        <v>1325667.4449999998</v>
      </c>
      <c r="AC202" s="7">
        <v>10038805.002</v>
      </c>
      <c r="AD202" s="8">
        <v>1.8024257293298857E-4</v>
      </c>
      <c r="AE202" s="8">
        <v>4.8380146349004442E-5</v>
      </c>
      <c r="AF202" s="8">
        <v>4.7140340138864312E-5</v>
      </c>
      <c r="AG202" s="8">
        <v>4.2497628738560466E-5</v>
      </c>
      <c r="AH202" s="8">
        <v>5.4137576035274486E-5</v>
      </c>
      <c r="AI202" s="8">
        <v>3.7278977991769333E-5</v>
      </c>
      <c r="AJ202" s="8">
        <v>7.4006251207121818E-5</v>
      </c>
      <c r="AK202" s="8">
        <v>2.8269621061459177E-4</v>
      </c>
      <c r="AL202" s="8">
        <v>9.502380125669702E-4</v>
      </c>
      <c r="AM202" s="8">
        <v>3.5681438140197762E-3</v>
      </c>
      <c r="AN202" s="8">
        <v>1.7800923512748595E-4</v>
      </c>
    </row>
    <row r="203" spans="1:40" x14ac:dyDescent="0.2">
      <c r="A203" t="s">
        <v>238</v>
      </c>
      <c r="B203">
        <v>2011</v>
      </c>
      <c r="C203" t="s">
        <v>241</v>
      </c>
      <c r="D203" s="7">
        <v>103</v>
      </c>
      <c r="E203" s="7">
        <v>60</v>
      </c>
      <c r="F203" s="7">
        <v>59</v>
      </c>
      <c r="G203" s="7">
        <v>61</v>
      </c>
      <c r="H203" s="7">
        <v>73</v>
      </c>
      <c r="I203" s="7">
        <v>54</v>
      </c>
      <c r="J203" s="7">
        <v>135</v>
      </c>
      <c r="K203" s="16">
        <f>SUM(D203:J203)</f>
        <v>545</v>
      </c>
      <c r="L203" s="28">
        <v>220</v>
      </c>
      <c r="M203" s="28">
        <v>439</v>
      </c>
      <c r="N203" s="7">
        <v>805</v>
      </c>
      <c r="O203" s="16">
        <f t="shared" si="6"/>
        <v>1464</v>
      </c>
      <c r="P203" s="7">
        <v>2009</v>
      </c>
      <c r="Q203" s="7">
        <v>613585.64700000011</v>
      </c>
      <c r="R203" s="7">
        <v>1347431.6160000002</v>
      </c>
      <c r="S203" s="7">
        <v>1434265.916</v>
      </c>
      <c r="T203" s="7">
        <v>1191776.3409999998</v>
      </c>
      <c r="U203" s="7">
        <v>1331187.4980000004</v>
      </c>
      <c r="V203" s="7">
        <v>1528539.6390000002</v>
      </c>
      <c r="W203" s="7">
        <v>1235166.145</v>
      </c>
      <c r="X203" s="16">
        <f>SUM(Q203:W203)</f>
        <v>8681952.8020000011</v>
      </c>
      <c r="Y203" s="28">
        <v>713450.27299999993</v>
      </c>
      <c r="Z203" s="28">
        <v>456158.45699999988</v>
      </c>
      <c r="AA203" s="7">
        <v>186450.40599999993</v>
      </c>
      <c r="AB203" s="16">
        <f t="shared" si="7"/>
        <v>1356059.1359999997</v>
      </c>
      <c r="AC203" s="7">
        <v>10038011.938000001</v>
      </c>
      <c r="AD203" s="8">
        <v>1.6786572584218218E-4</v>
      </c>
      <c r="AE203" s="8">
        <v>4.4529161471004102E-5</v>
      </c>
      <c r="AF203" s="8">
        <v>4.1136025991989066E-5</v>
      </c>
      <c r="AG203" s="8">
        <v>5.1184100490546667E-5</v>
      </c>
      <c r="AH203" s="8">
        <v>5.4838255399541006E-5</v>
      </c>
      <c r="AI203" s="8">
        <v>3.5327837513803584E-5</v>
      </c>
      <c r="AJ203" s="8">
        <v>1.0929703712045961E-4</v>
      </c>
      <c r="AK203" s="8">
        <v>3.0836066412157645E-4</v>
      </c>
      <c r="AL203" s="8">
        <v>9.6238487583274188E-4</v>
      </c>
      <c r="AM203" s="8">
        <v>4.3175019956781446E-3</v>
      </c>
      <c r="AN203" s="8">
        <v>2.0013923199221442E-4</v>
      </c>
    </row>
    <row r="204" spans="1:40" x14ac:dyDescent="0.2">
      <c r="A204" t="s">
        <v>238</v>
      </c>
      <c r="B204">
        <v>2012</v>
      </c>
      <c r="C204" t="s">
        <v>242</v>
      </c>
      <c r="D204" s="7">
        <v>116</v>
      </c>
      <c r="E204" s="7">
        <v>65</v>
      </c>
      <c r="F204" s="7">
        <v>61</v>
      </c>
      <c r="G204" s="7">
        <v>43</v>
      </c>
      <c r="H204" s="7">
        <v>44</v>
      </c>
      <c r="I204" s="7">
        <v>53</v>
      </c>
      <c r="J204" s="7">
        <v>117</v>
      </c>
      <c r="K204" s="16">
        <f>SUM(D204:J204)</f>
        <v>499</v>
      </c>
      <c r="L204" s="28">
        <v>181</v>
      </c>
      <c r="M204" s="28">
        <v>435</v>
      </c>
      <c r="N204" s="7">
        <v>717</v>
      </c>
      <c r="O204" s="16">
        <f t="shared" si="6"/>
        <v>1333</v>
      </c>
      <c r="P204" s="7">
        <v>1832</v>
      </c>
      <c r="Q204" s="7">
        <v>599910.55200000014</v>
      </c>
      <c r="R204" s="7">
        <v>1319454.4460000002</v>
      </c>
      <c r="S204" s="7">
        <v>1426900.5529999998</v>
      </c>
      <c r="T204" s="7">
        <v>1186222.6420000002</v>
      </c>
      <c r="U204" s="7">
        <v>1289746.9780000001</v>
      </c>
      <c r="V204" s="7">
        <v>1504700.1200000006</v>
      </c>
      <c r="W204" s="7">
        <v>1261431.676</v>
      </c>
      <c r="X204" s="16">
        <f>SUM(Q204:W204)</f>
        <v>8588366.9670000002</v>
      </c>
      <c r="Y204" s="28">
        <v>734819.66399999987</v>
      </c>
      <c r="Z204" s="28">
        <v>450351.77500000008</v>
      </c>
      <c r="AA204" s="7">
        <v>192076.19600000011</v>
      </c>
      <c r="AB204" s="16">
        <f t="shared" si="7"/>
        <v>1377247.6350000002</v>
      </c>
      <c r="AC204" s="7">
        <v>9965614.6020000018</v>
      </c>
      <c r="AD204" s="8">
        <v>1.9336215976411091E-4</v>
      </c>
      <c r="AE204" s="8">
        <v>4.9262784476607836E-5</v>
      </c>
      <c r="AF204" s="8">
        <v>4.2750000952589166E-5</v>
      </c>
      <c r="AG204" s="8">
        <v>3.624951883189563E-5</v>
      </c>
      <c r="AH204" s="8">
        <v>3.4115218527769246E-5</v>
      </c>
      <c r="AI204" s="8">
        <v>3.5222965224459464E-5</v>
      </c>
      <c r="AJ204" s="8">
        <v>9.2751753603498378E-5</v>
      </c>
      <c r="AK204" s="8">
        <v>2.463189390097759E-4</v>
      </c>
      <c r="AL204" s="8">
        <v>9.6591159211041177E-4</v>
      </c>
      <c r="AM204" s="8">
        <v>3.7328935856268185E-3</v>
      </c>
      <c r="AN204" s="8">
        <v>1.8383211404064686E-4</v>
      </c>
    </row>
    <row r="205" spans="1:40" x14ac:dyDescent="0.2">
      <c r="A205" t="s">
        <v>238</v>
      </c>
      <c r="B205">
        <v>2013</v>
      </c>
      <c r="C205" t="s">
        <v>243</v>
      </c>
      <c r="D205" s="7">
        <v>115</v>
      </c>
      <c r="E205" s="7">
        <v>49</v>
      </c>
      <c r="F205" s="7">
        <v>39</v>
      </c>
      <c r="G205" s="7">
        <v>47</v>
      </c>
      <c r="H205" s="7">
        <v>53</v>
      </c>
      <c r="I205" s="7">
        <v>69</v>
      </c>
      <c r="J205" s="7">
        <v>161</v>
      </c>
      <c r="K205" s="16">
        <f>SUM(D205:J205)</f>
        <v>533</v>
      </c>
      <c r="L205" s="28">
        <v>267</v>
      </c>
      <c r="M205" s="28">
        <v>472</v>
      </c>
      <c r="N205" s="7">
        <v>847</v>
      </c>
      <c r="O205" s="16">
        <f t="shared" si="6"/>
        <v>1586</v>
      </c>
      <c r="P205" s="7">
        <v>2119</v>
      </c>
      <c r="Q205" s="7">
        <v>592084.32299999997</v>
      </c>
      <c r="R205" s="7">
        <v>1311111.5900000001</v>
      </c>
      <c r="S205" s="7">
        <v>1431368.5860000006</v>
      </c>
      <c r="T205" s="7">
        <v>1186764.9839999999</v>
      </c>
      <c r="U205" s="7">
        <v>1265565.0380000004</v>
      </c>
      <c r="V205" s="7">
        <v>1493002.1159999999</v>
      </c>
      <c r="W205" s="7">
        <v>1305025.889</v>
      </c>
      <c r="X205" s="16">
        <f>SUM(Q205:W205)</f>
        <v>8584922.5260000024</v>
      </c>
      <c r="Y205" s="28">
        <v>771336.26499999966</v>
      </c>
      <c r="Z205" s="28">
        <v>448408.83600000001</v>
      </c>
      <c r="AA205" s="7">
        <v>197211.83099999992</v>
      </c>
      <c r="AB205" s="16">
        <f t="shared" si="7"/>
        <v>1416956.9319999998</v>
      </c>
      <c r="AC205" s="7">
        <v>10001879.458000001</v>
      </c>
      <c r="AD205" s="8">
        <v>1.9422909125057177E-4</v>
      </c>
      <c r="AE205" s="8">
        <v>3.7372867705333909E-5</v>
      </c>
      <c r="AF205" s="8">
        <v>2.7246650779857191E-5</v>
      </c>
      <c r="AG205" s="8">
        <v>3.960346035959551E-5</v>
      </c>
      <c r="AH205" s="8">
        <v>4.1878527304892236E-5</v>
      </c>
      <c r="AI205" s="8">
        <v>4.621560764084008E-5</v>
      </c>
      <c r="AJ205" s="8">
        <v>1.2336920007262783E-4</v>
      </c>
      <c r="AK205" s="8">
        <v>3.4615253050496739E-4</v>
      </c>
      <c r="AL205" s="8">
        <v>1.0526108365982332E-3</v>
      </c>
      <c r="AM205" s="8">
        <v>4.2948741751705575E-3</v>
      </c>
      <c r="AN205" s="8">
        <v>2.1186018176864933E-4</v>
      </c>
    </row>
    <row r="206" spans="1:40" x14ac:dyDescent="0.2">
      <c r="A206" t="s">
        <v>238</v>
      </c>
      <c r="B206">
        <v>2014</v>
      </c>
      <c r="C206" t="s">
        <v>244</v>
      </c>
      <c r="D206" s="7">
        <v>121</v>
      </c>
      <c r="E206" s="7">
        <v>59</v>
      </c>
      <c r="F206" s="7">
        <v>50</v>
      </c>
      <c r="G206" s="7">
        <v>40</v>
      </c>
      <c r="H206" s="7">
        <v>58</v>
      </c>
      <c r="I206" s="7">
        <v>81</v>
      </c>
      <c r="J206" s="7">
        <v>145</v>
      </c>
      <c r="K206" s="16">
        <f>SUM(D206:J206)</f>
        <v>554</v>
      </c>
      <c r="L206" s="28">
        <v>267</v>
      </c>
      <c r="M206" s="28">
        <v>457</v>
      </c>
      <c r="N206" s="7">
        <v>829</v>
      </c>
      <c r="O206" s="16">
        <f t="shared" si="6"/>
        <v>1553</v>
      </c>
      <c r="P206" s="7">
        <v>2107</v>
      </c>
      <c r="Q206" s="7">
        <v>601956.16099999996</v>
      </c>
      <c r="R206" s="7">
        <v>1321074.5979999998</v>
      </c>
      <c r="S206" s="7">
        <v>1462378.2209999999</v>
      </c>
      <c r="T206" s="7">
        <v>1225757.7560000003</v>
      </c>
      <c r="U206" s="7">
        <v>1265753.4470000004</v>
      </c>
      <c r="V206" s="7">
        <v>1497350.6650000005</v>
      </c>
      <c r="W206" s="7">
        <v>1357621.2179999996</v>
      </c>
      <c r="X206" s="16">
        <f>SUM(Q206:W206)</f>
        <v>8731892.0660000015</v>
      </c>
      <c r="Y206" s="28">
        <v>816396.00699999998</v>
      </c>
      <c r="Z206" s="28">
        <v>459371.41400000005</v>
      </c>
      <c r="AA206" s="7">
        <v>206073.80799999999</v>
      </c>
      <c r="AB206" s="16">
        <f t="shared" si="7"/>
        <v>1481841.2290000001</v>
      </c>
      <c r="AC206" s="7">
        <v>10213733.295000002</v>
      </c>
      <c r="AD206" s="8">
        <v>2.0101131583899514E-4</v>
      </c>
      <c r="AE206" s="8">
        <v>4.4660611966440985E-5</v>
      </c>
      <c r="AF206" s="8">
        <v>3.4190881183808331E-5</v>
      </c>
      <c r="AG206" s="8">
        <v>3.2632875300362358E-5</v>
      </c>
      <c r="AH206" s="8">
        <v>4.5822510013674078E-5</v>
      </c>
      <c r="AI206" s="8">
        <v>5.4095544813478927E-5</v>
      </c>
      <c r="AJ206" s="8">
        <v>1.0680445920962325E-4</v>
      </c>
      <c r="AK206" s="8">
        <v>3.2704716548178806E-4</v>
      </c>
      <c r="AL206" s="8">
        <v>9.9483769793302793E-4</v>
      </c>
      <c r="AM206" s="8">
        <v>4.0228304996431184E-3</v>
      </c>
      <c r="AN206" s="8">
        <v>2.0629087711066961E-4</v>
      </c>
    </row>
    <row r="207" spans="1:40" x14ac:dyDescent="0.2">
      <c r="A207" t="s">
        <v>238</v>
      </c>
      <c r="B207">
        <v>2015</v>
      </c>
      <c r="C207" t="s">
        <v>245</v>
      </c>
      <c r="D207" s="7">
        <v>114</v>
      </c>
      <c r="E207" s="7">
        <v>66</v>
      </c>
      <c r="F207" s="7">
        <v>41</v>
      </c>
      <c r="G207" s="7">
        <v>52</v>
      </c>
      <c r="H207" s="7">
        <v>58</v>
      </c>
      <c r="I207" s="7">
        <v>75</v>
      </c>
      <c r="J207" s="7">
        <v>155</v>
      </c>
      <c r="K207" s="16">
        <f>SUM(D207:J207)</f>
        <v>561</v>
      </c>
      <c r="L207" s="28">
        <v>269</v>
      </c>
      <c r="M207" s="28">
        <v>438</v>
      </c>
      <c r="N207" s="7">
        <v>900</v>
      </c>
      <c r="O207" s="16">
        <f t="shared" si="6"/>
        <v>1607</v>
      </c>
      <c r="P207" s="7">
        <v>2168</v>
      </c>
      <c r="Q207" s="7">
        <v>572513.86199999985</v>
      </c>
      <c r="R207" s="7">
        <v>1258892.4949999999</v>
      </c>
      <c r="S207" s="7">
        <v>1405404.1150000002</v>
      </c>
      <c r="T207" s="7">
        <v>1182813.0049999999</v>
      </c>
      <c r="U207" s="7">
        <v>1200096.3590000002</v>
      </c>
      <c r="V207" s="7">
        <v>1415202.6569999997</v>
      </c>
      <c r="W207" s="7">
        <v>1333383.9770000002</v>
      </c>
      <c r="X207" s="16">
        <f>SUM(Q207:W207)</f>
        <v>8368306.4699999997</v>
      </c>
      <c r="Y207" s="28">
        <v>821139.54900000012</v>
      </c>
      <c r="Z207" s="28">
        <v>446294.15200000012</v>
      </c>
      <c r="AA207" s="7">
        <v>200909.89499999999</v>
      </c>
      <c r="AB207" s="16">
        <f t="shared" si="7"/>
        <v>1468343.5960000004</v>
      </c>
      <c r="AC207" s="7">
        <v>9836650.0659999996</v>
      </c>
      <c r="AD207" s="8">
        <v>1.9912181619805046E-4</v>
      </c>
      <c r="AE207" s="8">
        <v>5.2427034287784842E-5</v>
      </c>
      <c r="AF207" s="8">
        <v>2.9173103709035314E-5</v>
      </c>
      <c r="AG207" s="8">
        <v>4.3962993119102543E-5</v>
      </c>
      <c r="AH207" s="8">
        <v>4.8329452518570627E-5</v>
      </c>
      <c r="AI207" s="8">
        <v>5.2995943463664666E-5</v>
      </c>
      <c r="AJ207" s="8">
        <v>1.1624558467301875E-4</v>
      </c>
      <c r="AK207" s="8">
        <v>3.2759352576257409E-4</v>
      </c>
      <c r="AL207" s="8">
        <v>9.8141550373709546E-4</v>
      </c>
      <c r="AM207" s="8">
        <v>4.4796200804345654E-3</v>
      </c>
      <c r="AN207" s="8">
        <v>2.204002364070679E-4</v>
      </c>
    </row>
    <row r="208" spans="1:40" x14ac:dyDescent="0.2">
      <c r="A208" t="s">
        <v>238</v>
      </c>
      <c r="B208">
        <v>2016</v>
      </c>
      <c r="C208" t="s">
        <v>246</v>
      </c>
      <c r="D208" s="7">
        <v>121</v>
      </c>
      <c r="E208" s="7">
        <v>60</v>
      </c>
      <c r="F208" s="7">
        <v>42</v>
      </c>
      <c r="G208" s="7">
        <v>29</v>
      </c>
      <c r="H208" s="7">
        <v>35</v>
      </c>
      <c r="I208" s="7">
        <v>78</v>
      </c>
      <c r="J208" s="7">
        <v>141</v>
      </c>
      <c r="K208" s="16">
        <f>SUM(D208:J208)</f>
        <v>506</v>
      </c>
      <c r="L208" s="28">
        <v>272</v>
      </c>
      <c r="M208" s="28">
        <v>442</v>
      </c>
      <c r="N208" s="7">
        <v>640</v>
      </c>
      <c r="O208" s="16">
        <f t="shared" si="6"/>
        <v>1354</v>
      </c>
      <c r="P208" s="7">
        <v>1860</v>
      </c>
      <c r="Q208" s="7">
        <v>584275.99300000002</v>
      </c>
      <c r="R208" s="7">
        <v>1272806.7109999997</v>
      </c>
      <c r="S208" s="7">
        <v>1429864.6650000003</v>
      </c>
      <c r="T208" s="7">
        <v>1227820.1890000002</v>
      </c>
      <c r="U208" s="7">
        <v>1209749.5760000004</v>
      </c>
      <c r="V208" s="7">
        <v>1413351.9710000001</v>
      </c>
      <c r="W208" s="7">
        <v>1368971.5559999996</v>
      </c>
      <c r="X208" s="16">
        <f>SUM(Q208:W208)</f>
        <v>8506840.6610000003</v>
      </c>
      <c r="Y208" s="28">
        <v>872459.91600000008</v>
      </c>
      <c r="Z208" s="28">
        <v>453483.04499999998</v>
      </c>
      <c r="AA208" s="7">
        <v>205856.769</v>
      </c>
      <c r="AB208" s="16">
        <f t="shared" si="7"/>
        <v>1531799.7300000002</v>
      </c>
      <c r="AC208" s="7">
        <v>10038640.390999999</v>
      </c>
      <c r="AD208" s="8">
        <v>2.0709391015488805E-4</v>
      </c>
      <c r="AE208" s="8">
        <v>4.7139914868032165E-5</v>
      </c>
      <c r="AF208" s="8">
        <v>2.9373409265974129E-5</v>
      </c>
      <c r="AG208" s="8">
        <v>2.3619093626094459E-5</v>
      </c>
      <c r="AH208" s="8">
        <v>2.8931607577600002E-5</v>
      </c>
      <c r="AI208" s="8">
        <v>5.5187951480204919E-5</v>
      </c>
      <c r="AJ208" s="8">
        <v>1.029970267694883E-4</v>
      </c>
      <c r="AK208" s="8">
        <v>3.1176217383951422E-4</v>
      </c>
      <c r="AL208" s="8">
        <v>9.7467811613552175E-4</v>
      </c>
      <c r="AM208" s="8">
        <v>3.1089577627636815E-3</v>
      </c>
      <c r="AN208" s="8">
        <v>1.8528405516623114E-4</v>
      </c>
    </row>
    <row r="209" spans="1:40" x14ac:dyDescent="0.2">
      <c r="A209" t="s">
        <v>238</v>
      </c>
      <c r="B209">
        <v>2017</v>
      </c>
      <c r="C209" t="s">
        <v>247</v>
      </c>
      <c r="D209" s="7">
        <v>114</v>
      </c>
      <c r="E209" s="7">
        <v>59</v>
      </c>
      <c r="F209" s="7">
        <v>47</v>
      </c>
      <c r="G209" s="7">
        <v>62</v>
      </c>
      <c r="H209" s="7">
        <v>42</v>
      </c>
      <c r="I209" s="7">
        <v>62</v>
      </c>
      <c r="J209" s="7">
        <v>177</v>
      </c>
      <c r="K209" s="16">
        <f>SUM(D209:J209)</f>
        <v>563</v>
      </c>
      <c r="L209" s="28">
        <v>270</v>
      </c>
      <c r="M209" s="28">
        <v>441</v>
      </c>
      <c r="N209" s="7">
        <v>784</v>
      </c>
      <c r="O209" s="16">
        <f t="shared" si="6"/>
        <v>1495</v>
      </c>
      <c r="P209" s="7">
        <v>2058</v>
      </c>
      <c r="Q209" s="7">
        <v>572076</v>
      </c>
      <c r="R209" s="7">
        <v>1235768</v>
      </c>
      <c r="S209" s="7">
        <v>1385654</v>
      </c>
      <c r="T209" s="7">
        <v>1214309</v>
      </c>
      <c r="U209" s="7">
        <v>1173696</v>
      </c>
      <c r="V209" s="7">
        <v>1353847</v>
      </c>
      <c r="W209" s="7">
        <v>1355360</v>
      </c>
      <c r="X209" s="16">
        <f>SUM(Q209:W209)</f>
        <v>8290710</v>
      </c>
      <c r="Y209" s="28">
        <v>891473</v>
      </c>
      <c r="Z209" s="28">
        <v>450898</v>
      </c>
      <c r="AA209" s="7">
        <v>202620</v>
      </c>
      <c r="AB209" s="16">
        <f t="shared" si="7"/>
        <v>1544991</v>
      </c>
      <c r="AC209" s="7">
        <v>9835701</v>
      </c>
      <c r="AD209" s="8">
        <v>1.9927422230612716E-4</v>
      </c>
      <c r="AE209" s="8">
        <v>4.7743589411604769E-5</v>
      </c>
      <c r="AF209" s="8">
        <v>3.3919001424598061E-5</v>
      </c>
      <c r="AG209" s="8">
        <v>5.1057844420159944E-5</v>
      </c>
      <c r="AH209" s="8">
        <v>3.5784393914608209E-5</v>
      </c>
      <c r="AI209" s="8">
        <v>4.5795425923313347E-5</v>
      </c>
      <c r="AJ209" s="8">
        <v>1.3059261008145436E-4</v>
      </c>
      <c r="AK209" s="8">
        <v>3.0286952044537526E-4</v>
      </c>
      <c r="AL209" s="8">
        <v>9.7804825038035211E-4</v>
      </c>
      <c r="AM209" s="8">
        <v>3.8693120126344883E-3</v>
      </c>
      <c r="AN209" s="8">
        <v>2.0923775539740381E-4</v>
      </c>
    </row>
    <row r="210" spans="1:40" x14ac:dyDescent="0.2">
      <c r="A210" t="s">
        <v>248</v>
      </c>
      <c r="B210">
        <v>2009</v>
      </c>
      <c r="C210" t="s">
        <v>249</v>
      </c>
      <c r="D210" s="7">
        <v>108</v>
      </c>
      <c r="E210" s="7">
        <v>68</v>
      </c>
      <c r="F210" s="7">
        <v>53</v>
      </c>
      <c r="G210" s="7">
        <v>48</v>
      </c>
      <c r="H210" s="7">
        <v>31</v>
      </c>
      <c r="I210" s="7">
        <v>54</v>
      </c>
      <c r="J210" s="7">
        <v>45</v>
      </c>
      <c r="K210" s="16">
        <f>SUM(D210:J210)</f>
        <v>407</v>
      </c>
      <c r="L210" s="28">
        <v>62</v>
      </c>
      <c r="M210" s="28">
        <v>113</v>
      </c>
      <c r="N210" s="7">
        <v>348</v>
      </c>
      <c r="O210" s="16">
        <f t="shared" si="6"/>
        <v>523</v>
      </c>
      <c r="P210" s="7">
        <v>930</v>
      </c>
      <c r="Q210" s="7">
        <v>355376.36499999987</v>
      </c>
      <c r="R210" s="7">
        <v>682853.10900000005</v>
      </c>
      <c r="S210" s="7">
        <v>744504.18099999998</v>
      </c>
      <c r="T210" s="7">
        <v>674692.80800000019</v>
      </c>
      <c r="U210" s="7">
        <v>732412.09800000011</v>
      </c>
      <c r="V210" s="7">
        <v>793111.63500000001</v>
      </c>
      <c r="W210" s="7">
        <v>555629.36899999995</v>
      </c>
      <c r="X210" s="16">
        <f>SUM(Q210:W210)</f>
        <v>4538579.5650000004</v>
      </c>
      <c r="Y210" s="28">
        <v>322401.67600000015</v>
      </c>
      <c r="Z210" s="28">
        <v>220317.405</v>
      </c>
      <c r="AA210" s="7">
        <v>98963.991999999955</v>
      </c>
      <c r="AB210" s="16">
        <f t="shared" si="7"/>
        <v>641683.07300000009</v>
      </c>
      <c r="AC210" s="7">
        <v>5180262.6380000003</v>
      </c>
      <c r="AD210" s="8">
        <v>3.039031591197688E-4</v>
      </c>
      <c r="AE210" s="8">
        <v>9.9582178222168709E-5</v>
      </c>
      <c r="AF210" s="8">
        <v>7.1188317477024348E-5</v>
      </c>
      <c r="AG210" s="8">
        <v>7.1143488460010361E-5</v>
      </c>
      <c r="AH210" s="8">
        <v>4.2325898335993889E-5</v>
      </c>
      <c r="AI210" s="8">
        <v>6.8086253708785898E-5</v>
      </c>
      <c r="AJ210" s="8">
        <v>8.0989239429494602E-5</v>
      </c>
      <c r="AK210" s="8">
        <v>1.9230669259920338E-4</v>
      </c>
      <c r="AL210" s="8">
        <v>5.1289638238068386E-4</v>
      </c>
      <c r="AM210" s="8">
        <v>3.5164305013079926E-3</v>
      </c>
      <c r="AN210" s="8">
        <v>1.7952757707262795E-4</v>
      </c>
    </row>
    <row r="211" spans="1:40" x14ac:dyDescent="0.2">
      <c r="A211" t="s">
        <v>248</v>
      </c>
      <c r="B211">
        <v>2010</v>
      </c>
      <c r="C211" t="s">
        <v>250</v>
      </c>
      <c r="D211" s="7">
        <v>105</v>
      </c>
      <c r="E211" s="7">
        <v>45</v>
      </c>
      <c r="F211" s="7">
        <v>56</v>
      </c>
      <c r="G211" s="7">
        <v>55</v>
      </c>
      <c r="H211" s="7">
        <v>44</v>
      </c>
      <c r="I211" s="7">
        <v>54</v>
      </c>
      <c r="J211" s="7">
        <v>56</v>
      </c>
      <c r="K211" s="16">
        <f>SUM(D211:J211)</f>
        <v>415</v>
      </c>
      <c r="L211" s="28">
        <v>59</v>
      </c>
      <c r="M211" s="28">
        <v>118</v>
      </c>
      <c r="N211" s="7">
        <v>355</v>
      </c>
      <c r="O211" s="16">
        <f t="shared" si="6"/>
        <v>532</v>
      </c>
      <c r="P211" s="7">
        <v>947</v>
      </c>
      <c r="Q211" s="7">
        <v>356355.61899999989</v>
      </c>
      <c r="R211" s="7">
        <v>709364.80800000019</v>
      </c>
      <c r="S211" s="7">
        <v>742480.63799999992</v>
      </c>
      <c r="T211" s="7">
        <v>699481.02399999986</v>
      </c>
      <c r="U211" s="7">
        <v>721482.24600000004</v>
      </c>
      <c r="V211" s="7">
        <v>808402.24</v>
      </c>
      <c r="W211" s="7">
        <v>591692.90199999989</v>
      </c>
      <c r="X211" s="16">
        <f>SUM(Q211:W211)</f>
        <v>4629259.477</v>
      </c>
      <c r="Y211" s="28">
        <v>337083.14199999976</v>
      </c>
      <c r="Z211" s="28">
        <v>227163.02700000003</v>
      </c>
      <c r="AA211" s="7">
        <v>99927.941999999981</v>
      </c>
      <c r="AB211" s="16">
        <f t="shared" si="7"/>
        <v>664174.1109999998</v>
      </c>
      <c r="AC211" s="7">
        <v>5293433.5879999995</v>
      </c>
      <c r="AD211" s="8">
        <v>2.9464948607980284E-4</v>
      </c>
      <c r="AE211" s="8">
        <v>6.3437034784505391E-5</v>
      </c>
      <c r="AF211" s="8">
        <v>7.5422842204809132E-5</v>
      </c>
      <c r="AG211" s="8">
        <v>7.8629724199637483E-5</v>
      </c>
      <c r="AH211" s="8">
        <v>6.0985561659960789E-5</v>
      </c>
      <c r="AI211" s="8">
        <v>6.6798429455118785E-5</v>
      </c>
      <c r="AJ211" s="8">
        <v>9.4643690689397543E-5</v>
      </c>
      <c r="AK211" s="8">
        <v>1.7503100169868489E-4</v>
      </c>
      <c r="AL211" s="8">
        <v>5.1945072910126338E-4</v>
      </c>
      <c r="AM211" s="8">
        <v>3.5525599036153478E-3</v>
      </c>
      <c r="AN211" s="8">
        <v>1.7890089376899161E-4</v>
      </c>
    </row>
    <row r="212" spans="1:40" x14ac:dyDescent="0.2">
      <c r="A212" t="s">
        <v>248</v>
      </c>
      <c r="B212">
        <v>2011</v>
      </c>
      <c r="C212" t="s">
        <v>251</v>
      </c>
      <c r="D212" s="7">
        <v>87</v>
      </c>
      <c r="E212" s="7">
        <v>56</v>
      </c>
      <c r="F212" s="7">
        <v>50</v>
      </c>
      <c r="G212" s="7">
        <v>50</v>
      </c>
      <c r="H212" s="7">
        <v>41</v>
      </c>
      <c r="I212" s="7">
        <v>44</v>
      </c>
      <c r="J212" s="7">
        <v>58</v>
      </c>
      <c r="K212" s="16">
        <f>SUM(D212:J212)</f>
        <v>386</v>
      </c>
      <c r="L212" s="28">
        <v>69</v>
      </c>
      <c r="M212" s="28">
        <v>115</v>
      </c>
      <c r="N212" s="7">
        <v>394</v>
      </c>
      <c r="O212" s="16">
        <f t="shared" si="6"/>
        <v>578</v>
      </c>
      <c r="P212" s="7">
        <v>964</v>
      </c>
      <c r="Q212" s="7">
        <v>347049.34499999986</v>
      </c>
      <c r="R212" s="7">
        <v>692633.50999999978</v>
      </c>
      <c r="S212" s="7">
        <v>717509.92899999989</v>
      </c>
      <c r="T212" s="7">
        <v>693966.83900000004</v>
      </c>
      <c r="U212" s="7">
        <v>688189.31</v>
      </c>
      <c r="V212" s="7">
        <v>789209.65899999999</v>
      </c>
      <c r="W212" s="7">
        <v>597251.11299999978</v>
      </c>
      <c r="X212" s="16">
        <f>SUM(Q212:W212)</f>
        <v>4525809.7049999991</v>
      </c>
      <c r="Y212" s="28">
        <v>335296.88500000007</v>
      </c>
      <c r="Z212" s="28">
        <v>217665.36299999995</v>
      </c>
      <c r="AA212" s="7">
        <v>98867.529999999984</v>
      </c>
      <c r="AB212" s="16">
        <f t="shared" si="7"/>
        <v>651829.77800000005</v>
      </c>
      <c r="AC212" s="7">
        <v>5177639.4829999991</v>
      </c>
      <c r="AD212" s="8">
        <v>2.506848125588597E-4</v>
      </c>
      <c r="AE212" s="8">
        <v>8.0850838418141242E-5</v>
      </c>
      <c r="AF212" s="8">
        <v>6.9685446819788899E-5</v>
      </c>
      <c r="AG212" s="8">
        <v>7.204955221210505E-5</v>
      </c>
      <c r="AH212" s="8">
        <v>5.9576630157187411E-5</v>
      </c>
      <c r="AI212" s="8">
        <v>5.5751978575315434E-5</v>
      </c>
      <c r="AJ212" s="8">
        <v>9.7111581272180941E-5</v>
      </c>
      <c r="AK212" s="8">
        <v>2.057877752130026E-4</v>
      </c>
      <c r="AL212" s="8">
        <v>5.2833394535078157E-4</v>
      </c>
      <c r="AM212" s="8">
        <v>3.9851304063123665E-3</v>
      </c>
      <c r="AN212" s="8">
        <v>1.8618523038638535E-4</v>
      </c>
    </row>
    <row r="213" spans="1:40" x14ac:dyDescent="0.2">
      <c r="A213" t="s">
        <v>248</v>
      </c>
      <c r="B213">
        <v>2012</v>
      </c>
      <c r="C213" t="s">
        <v>252</v>
      </c>
      <c r="D213" s="7">
        <v>122</v>
      </c>
      <c r="E213" s="7">
        <v>64</v>
      </c>
      <c r="F213" s="7">
        <v>85</v>
      </c>
      <c r="G213" s="7">
        <v>51</v>
      </c>
      <c r="H213" s="7">
        <v>53</v>
      </c>
      <c r="I213" s="7">
        <v>58</v>
      </c>
      <c r="J213" s="7">
        <v>45</v>
      </c>
      <c r="K213" s="16">
        <f>SUM(D213:J213)</f>
        <v>478</v>
      </c>
      <c r="L213" s="28">
        <v>48</v>
      </c>
      <c r="M213" s="28">
        <v>140</v>
      </c>
      <c r="N213" s="7">
        <v>366</v>
      </c>
      <c r="O213" s="16">
        <f t="shared" si="6"/>
        <v>554</v>
      </c>
      <c r="P213" s="7">
        <v>1032</v>
      </c>
      <c r="Q213" s="7">
        <v>341047.29699999996</v>
      </c>
      <c r="R213" s="7">
        <v>683350.68899999955</v>
      </c>
      <c r="S213" s="7">
        <v>704983.55799999996</v>
      </c>
      <c r="T213" s="7">
        <v>696394.72499999986</v>
      </c>
      <c r="U213" s="7">
        <v>664139.21500000032</v>
      </c>
      <c r="V213" s="7">
        <v>769391.46200000029</v>
      </c>
      <c r="W213" s="7">
        <v>603527.45099999977</v>
      </c>
      <c r="X213" s="16">
        <f>SUM(Q213:W213)</f>
        <v>4462834.3969999999</v>
      </c>
      <c r="Y213" s="28">
        <v>339427.64200000011</v>
      </c>
      <c r="Z213" s="28">
        <v>210267.85400000002</v>
      </c>
      <c r="AA213" s="7">
        <v>96863.700999999943</v>
      </c>
      <c r="AB213" s="16">
        <f t="shared" si="7"/>
        <v>646559.19700000016</v>
      </c>
      <c r="AC213" s="7">
        <v>5109393.5940000005</v>
      </c>
      <c r="AD213" s="8">
        <v>3.5772164469023785E-4</v>
      </c>
      <c r="AE213" s="8">
        <v>9.3656157856014162E-5</v>
      </c>
      <c r="AF213" s="8">
        <v>1.2057018782273502E-4</v>
      </c>
      <c r="AG213" s="8">
        <v>7.3234328419130416E-5</v>
      </c>
      <c r="AH213" s="8">
        <v>7.9802545615379719E-5</v>
      </c>
      <c r="AI213" s="8">
        <v>7.5384252184488077E-5</v>
      </c>
      <c r="AJ213" s="8">
        <v>7.4561645746914037E-5</v>
      </c>
      <c r="AK213" s="8">
        <v>1.4141452863759393E-4</v>
      </c>
      <c r="AL213" s="8">
        <v>6.6581741971837494E-4</v>
      </c>
      <c r="AM213" s="8">
        <v>3.778505221476105E-3</v>
      </c>
      <c r="AN213" s="8">
        <v>2.019809163286785E-4</v>
      </c>
    </row>
    <row r="214" spans="1:40" x14ac:dyDescent="0.2">
      <c r="A214" t="s">
        <v>248</v>
      </c>
      <c r="B214">
        <v>2013</v>
      </c>
      <c r="C214" t="s">
        <v>253</v>
      </c>
      <c r="D214" s="7">
        <v>119</v>
      </c>
      <c r="E214" s="7">
        <v>47</v>
      </c>
      <c r="F214" s="7">
        <v>42</v>
      </c>
      <c r="G214" s="7">
        <v>45</v>
      </c>
      <c r="H214" s="7">
        <v>50</v>
      </c>
      <c r="I214" s="7">
        <v>64</v>
      </c>
      <c r="J214" s="7">
        <v>50</v>
      </c>
      <c r="K214" s="16">
        <f>SUM(D214:J214)</f>
        <v>417</v>
      </c>
      <c r="L214" s="28">
        <v>67</v>
      </c>
      <c r="M214" s="28">
        <v>145</v>
      </c>
      <c r="N214" s="7">
        <v>420</v>
      </c>
      <c r="O214" s="16">
        <f t="shared" si="6"/>
        <v>632</v>
      </c>
      <c r="P214" s="7">
        <v>1049</v>
      </c>
      <c r="Q214" s="7">
        <v>370790.61</v>
      </c>
      <c r="R214" s="7">
        <v>753943.83000000007</v>
      </c>
      <c r="S214" s="7">
        <v>764498.21400000004</v>
      </c>
      <c r="T214" s="7">
        <v>764300.41999999993</v>
      </c>
      <c r="U214" s="7">
        <v>719802.03999999969</v>
      </c>
      <c r="V214" s="7">
        <v>846048.28800000006</v>
      </c>
      <c r="W214" s="7">
        <v>709239.2559999997</v>
      </c>
      <c r="X214" s="16">
        <f>SUM(Q214:W214)</f>
        <v>4928622.6579999998</v>
      </c>
      <c r="Y214" s="28">
        <v>423452.25099999999</v>
      </c>
      <c r="Z214" s="28">
        <v>256021.48199999993</v>
      </c>
      <c r="AA214" s="7">
        <v>115688.09699999999</v>
      </c>
      <c r="AB214" s="16">
        <f t="shared" si="7"/>
        <v>795161.82999999984</v>
      </c>
      <c r="AC214" s="7">
        <v>5723784.4879999999</v>
      </c>
      <c r="AD214" s="8">
        <v>3.2093585109935766E-4</v>
      </c>
      <c r="AE214" s="8">
        <v>6.233886150378072E-5</v>
      </c>
      <c r="AF214" s="8">
        <v>5.4937996231865624E-5</v>
      </c>
      <c r="AG214" s="8">
        <v>5.887737180623295E-5</v>
      </c>
      <c r="AH214" s="8">
        <v>6.9463543059700164E-5</v>
      </c>
      <c r="AI214" s="8">
        <v>7.5645800491236256E-5</v>
      </c>
      <c r="AJ214" s="8">
        <v>7.0498071810057875E-5</v>
      </c>
      <c r="AK214" s="8">
        <v>1.5822327037293279E-4</v>
      </c>
      <c r="AL214" s="8">
        <v>5.6635872453859176E-4</v>
      </c>
      <c r="AM214" s="8">
        <v>3.630451281431313E-3</v>
      </c>
      <c r="AN214" s="8">
        <v>1.8327035236900415E-4</v>
      </c>
    </row>
    <row r="215" spans="1:40" x14ac:dyDescent="0.2">
      <c r="A215" t="s">
        <v>248</v>
      </c>
      <c r="B215">
        <v>2014</v>
      </c>
      <c r="C215" t="s">
        <v>254</v>
      </c>
      <c r="D215" s="7">
        <v>123</v>
      </c>
      <c r="E215" s="7">
        <v>72</v>
      </c>
      <c r="F215" s="7">
        <v>52</v>
      </c>
      <c r="G215" s="7">
        <v>65</v>
      </c>
      <c r="H215" s="7">
        <v>52</v>
      </c>
      <c r="I215" s="7">
        <v>60</v>
      </c>
      <c r="J215" s="7">
        <v>36</v>
      </c>
      <c r="K215" s="16">
        <f>SUM(D215:J215)</f>
        <v>460</v>
      </c>
      <c r="L215" s="28">
        <v>64</v>
      </c>
      <c r="M215" s="28">
        <v>110</v>
      </c>
      <c r="N215" s="7">
        <v>337</v>
      </c>
      <c r="O215" s="16">
        <f t="shared" si="6"/>
        <v>511</v>
      </c>
      <c r="P215" s="7">
        <v>971</v>
      </c>
      <c r="Q215" s="7">
        <v>351684.38299999997</v>
      </c>
      <c r="R215" s="7">
        <v>716041.5419999999</v>
      </c>
      <c r="S215" s="7">
        <v>724881.31200000027</v>
      </c>
      <c r="T215" s="7">
        <v>740832.29500000074</v>
      </c>
      <c r="U215" s="7">
        <v>676225.7080000001</v>
      </c>
      <c r="V215" s="7">
        <v>782852.24499999976</v>
      </c>
      <c r="W215" s="7">
        <v>670177.74699999974</v>
      </c>
      <c r="X215" s="16">
        <f>SUM(Q215:W215)</f>
        <v>4662695.2320000008</v>
      </c>
      <c r="Y215" s="28">
        <v>390400.53500000009</v>
      </c>
      <c r="Z215" s="28">
        <v>224499.34299999996</v>
      </c>
      <c r="AA215" s="7">
        <v>104745.98300000002</v>
      </c>
      <c r="AB215" s="16">
        <f t="shared" si="7"/>
        <v>719645.86100000003</v>
      </c>
      <c r="AC215" s="7">
        <v>5382341.0930000013</v>
      </c>
      <c r="AD215" s="8">
        <v>3.4974541363128997E-4</v>
      </c>
      <c r="AE215" s="8">
        <v>1.0055282518789952E-4</v>
      </c>
      <c r="AF215" s="8">
        <v>7.1735881639062012E-5</v>
      </c>
      <c r="AG215" s="8">
        <v>8.773915559391203E-5</v>
      </c>
      <c r="AH215" s="8">
        <v>7.6897401836133669E-5</v>
      </c>
      <c r="AI215" s="8">
        <v>7.664281527352587E-5</v>
      </c>
      <c r="AJ215" s="8">
        <v>5.3717092459651623E-5</v>
      </c>
      <c r="AK215" s="8">
        <v>1.6393420157582517E-4</v>
      </c>
      <c r="AL215" s="8">
        <v>4.8997916221073311E-4</v>
      </c>
      <c r="AM215" s="8">
        <v>3.217307149621193E-3</v>
      </c>
      <c r="AN215" s="8">
        <v>1.8040476870981534E-4</v>
      </c>
    </row>
    <row r="216" spans="1:40" x14ac:dyDescent="0.2">
      <c r="A216" t="s">
        <v>248</v>
      </c>
      <c r="B216">
        <v>2015</v>
      </c>
      <c r="C216" t="s">
        <v>255</v>
      </c>
      <c r="D216" s="7">
        <v>91</v>
      </c>
      <c r="E216" s="7">
        <v>48</v>
      </c>
      <c r="F216" s="7">
        <v>50</v>
      </c>
      <c r="G216" s="7">
        <v>36</v>
      </c>
      <c r="H216" s="7">
        <v>32</v>
      </c>
      <c r="I216" s="7">
        <v>47</v>
      </c>
      <c r="J216" s="7">
        <v>82</v>
      </c>
      <c r="K216" s="16">
        <f>SUM(D216:J216)</f>
        <v>386</v>
      </c>
      <c r="L216" s="28">
        <v>73</v>
      </c>
      <c r="M216" s="28">
        <v>132</v>
      </c>
      <c r="N216" s="7">
        <v>415</v>
      </c>
      <c r="O216" s="16">
        <f t="shared" si="6"/>
        <v>620</v>
      </c>
      <c r="P216" s="7">
        <v>1006</v>
      </c>
      <c r="Q216" s="7">
        <v>351162.272</v>
      </c>
      <c r="R216" s="7">
        <v>720982.77500000002</v>
      </c>
      <c r="S216" s="7">
        <v>721008.71300000022</v>
      </c>
      <c r="T216" s="7">
        <v>747053.98499999999</v>
      </c>
      <c r="U216" s="7">
        <v>678468.00100000005</v>
      </c>
      <c r="V216" s="7">
        <v>778905.10699999996</v>
      </c>
      <c r="W216" s="7">
        <v>699630.71300000011</v>
      </c>
      <c r="X216" s="16">
        <f>SUM(Q216:W216)</f>
        <v>4697211.5660000006</v>
      </c>
      <c r="Y216" s="28">
        <v>414257.79600000003</v>
      </c>
      <c r="Z216" s="28">
        <v>231028.60099999991</v>
      </c>
      <c r="AA216" s="7">
        <v>109606.97599999998</v>
      </c>
      <c r="AB216" s="16">
        <f t="shared" si="7"/>
        <v>754893.37299999991</v>
      </c>
      <c r="AC216" s="7">
        <v>5452104.9390000002</v>
      </c>
      <c r="AD216" s="8">
        <v>2.5913945561896809E-4</v>
      </c>
      <c r="AE216" s="8">
        <v>6.6575793020852685E-5</v>
      </c>
      <c r="AF216" s="8">
        <v>6.9347289565972259E-5</v>
      </c>
      <c r="AG216" s="8">
        <v>4.8189288488970447E-5</v>
      </c>
      <c r="AH216" s="8">
        <v>4.7165083619028334E-5</v>
      </c>
      <c r="AI216" s="8">
        <v>6.0341111616308871E-5</v>
      </c>
      <c r="AJ216" s="8">
        <v>1.1720468881131007E-4</v>
      </c>
      <c r="AK216" s="8">
        <v>1.7621877175245725E-4</v>
      </c>
      <c r="AL216" s="8">
        <v>5.7135782941437647E-4</v>
      </c>
      <c r="AM216" s="8">
        <v>3.7862553565933621E-3</v>
      </c>
      <c r="AN216" s="8">
        <v>1.8451589088168134E-4</v>
      </c>
    </row>
    <row r="217" spans="1:40" x14ac:dyDescent="0.2">
      <c r="A217" t="s">
        <v>248</v>
      </c>
      <c r="B217">
        <v>2016</v>
      </c>
      <c r="C217" t="s">
        <v>256</v>
      </c>
      <c r="D217" s="7">
        <v>122</v>
      </c>
      <c r="E217" s="7">
        <v>59</v>
      </c>
      <c r="F217" s="7">
        <v>51</v>
      </c>
      <c r="G217" s="7">
        <v>67</v>
      </c>
      <c r="H217" s="7">
        <v>59</v>
      </c>
      <c r="I217" s="7">
        <v>70</v>
      </c>
      <c r="J217" s="7">
        <v>56</v>
      </c>
      <c r="K217" s="16">
        <f>SUM(D217:J217)</f>
        <v>484</v>
      </c>
      <c r="L217" s="28">
        <v>70</v>
      </c>
      <c r="M217" s="28">
        <v>89</v>
      </c>
      <c r="N217" s="7">
        <v>275</v>
      </c>
      <c r="O217" s="16">
        <f t="shared" si="6"/>
        <v>434</v>
      </c>
      <c r="P217" s="7">
        <v>918</v>
      </c>
      <c r="Q217" s="7">
        <v>349408.21800000011</v>
      </c>
      <c r="R217" s="7">
        <v>721585.48000000021</v>
      </c>
      <c r="S217" s="7">
        <v>714904.05</v>
      </c>
      <c r="T217" s="7">
        <v>745732.64899999951</v>
      </c>
      <c r="U217" s="7">
        <v>673195.2899999998</v>
      </c>
      <c r="V217" s="7">
        <v>758629.84099999978</v>
      </c>
      <c r="W217" s="7">
        <v>709636.79099999974</v>
      </c>
      <c r="X217" s="16">
        <f>SUM(Q217:W217)</f>
        <v>4673092.3190000001</v>
      </c>
      <c r="Y217" s="28">
        <v>431223.72999999981</v>
      </c>
      <c r="Z217" s="28">
        <v>231958.28800000009</v>
      </c>
      <c r="AA217" s="7">
        <v>112451.28400000001</v>
      </c>
      <c r="AB217" s="16">
        <f t="shared" si="7"/>
        <v>775633.30199999991</v>
      </c>
      <c r="AC217" s="7">
        <v>5448725.6209999993</v>
      </c>
      <c r="AD217" s="8">
        <v>3.4916179332679565E-4</v>
      </c>
      <c r="AE217" s="8">
        <v>8.1764394704837999E-5</v>
      </c>
      <c r="AF217" s="8">
        <v>7.1338244621778265E-5</v>
      </c>
      <c r="AG217" s="8">
        <v>8.9844530864840872E-5</v>
      </c>
      <c r="AH217" s="8">
        <v>8.7641730232545178E-5</v>
      </c>
      <c r="AI217" s="8">
        <v>9.2271614187662858E-5</v>
      </c>
      <c r="AJ217" s="8">
        <v>7.891360863785883E-5</v>
      </c>
      <c r="AK217" s="8">
        <v>1.6232872898715484E-4</v>
      </c>
      <c r="AL217" s="8">
        <v>3.8368967441249595E-4</v>
      </c>
      <c r="AM217" s="8">
        <v>2.4455034235091521E-3</v>
      </c>
      <c r="AN217" s="8">
        <v>1.6847976276542997E-4</v>
      </c>
    </row>
    <row r="218" spans="1:40" x14ac:dyDescent="0.2">
      <c r="A218" t="s">
        <v>248</v>
      </c>
      <c r="B218">
        <v>2017</v>
      </c>
      <c r="C218" t="s">
        <v>257</v>
      </c>
      <c r="D218" s="7">
        <v>120</v>
      </c>
      <c r="E218" s="7">
        <v>58</v>
      </c>
      <c r="F218" s="7">
        <v>54</v>
      </c>
      <c r="G218" s="7">
        <v>66</v>
      </c>
      <c r="H218" s="7">
        <v>60</v>
      </c>
      <c r="I218" s="7">
        <v>51</v>
      </c>
      <c r="J218" s="7">
        <v>58</v>
      </c>
      <c r="K218" s="16">
        <f>SUM(D218:J218)</f>
        <v>467</v>
      </c>
      <c r="L218" s="28">
        <v>74</v>
      </c>
      <c r="M218" s="28">
        <v>123</v>
      </c>
      <c r="N218" s="7">
        <v>377</v>
      </c>
      <c r="O218" s="16">
        <f t="shared" si="6"/>
        <v>574</v>
      </c>
      <c r="P218" s="7">
        <v>1041</v>
      </c>
      <c r="Q218" s="7">
        <v>339385</v>
      </c>
      <c r="R218" s="7">
        <v>702142</v>
      </c>
      <c r="S218" s="7">
        <v>687775</v>
      </c>
      <c r="T218" s="7">
        <v>727777</v>
      </c>
      <c r="U218" s="7">
        <v>659606</v>
      </c>
      <c r="V218" s="7">
        <v>722635</v>
      </c>
      <c r="W218" s="7">
        <v>700935</v>
      </c>
      <c r="X218" s="16">
        <f>SUM(Q218:W218)</f>
        <v>4540255</v>
      </c>
      <c r="Y218" s="28">
        <v>437517</v>
      </c>
      <c r="Z218" s="28">
        <v>227864</v>
      </c>
      <c r="AA218" s="7">
        <v>108553</v>
      </c>
      <c r="AB218" s="16">
        <f t="shared" si="7"/>
        <v>773934</v>
      </c>
      <c r="AC218" s="7">
        <v>5314189</v>
      </c>
      <c r="AD218" s="8">
        <v>3.5358074163560556E-4</v>
      </c>
      <c r="AE218" s="8">
        <v>8.2604373474311465E-5</v>
      </c>
      <c r="AF218" s="8">
        <v>7.8514048925884192E-5</v>
      </c>
      <c r="AG218" s="8">
        <v>9.0687119818295986E-5</v>
      </c>
      <c r="AH218" s="8">
        <v>9.0963393298423603E-5</v>
      </c>
      <c r="AI218" s="8">
        <v>7.0575048260878591E-5</v>
      </c>
      <c r="AJ218" s="8">
        <v>8.2746617018696455E-5</v>
      </c>
      <c r="AK218" s="8">
        <v>1.6913628499006897E-4</v>
      </c>
      <c r="AL218" s="8">
        <v>5.3979566759119471E-4</v>
      </c>
      <c r="AM218" s="8">
        <v>3.4729579099610328E-3</v>
      </c>
      <c r="AN218" s="8">
        <v>1.9589066177360271E-4</v>
      </c>
    </row>
    <row r="219" spans="1:40" x14ac:dyDescent="0.2">
      <c r="A219" t="s">
        <v>258</v>
      </c>
      <c r="B219">
        <v>2009</v>
      </c>
      <c r="C219" t="s">
        <v>259</v>
      </c>
      <c r="D219" s="7">
        <v>117</v>
      </c>
      <c r="E219" s="7">
        <v>55</v>
      </c>
      <c r="F219" s="7">
        <v>41</v>
      </c>
      <c r="G219" s="7">
        <v>73</v>
      </c>
      <c r="H219" s="7">
        <v>62</v>
      </c>
      <c r="I219" s="7">
        <v>58</v>
      </c>
      <c r="J219" s="7">
        <v>55</v>
      </c>
      <c r="K219" s="16">
        <f>SUM(D219:J219)</f>
        <v>461</v>
      </c>
      <c r="L219" s="28">
        <v>76</v>
      </c>
      <c r="M219" s="28">
        <v>165</v>
      </c>
      <c r="N219" s="7">
        <v>219</v>
      </c>
      <c r="O219" s="16">
        <f t="shared" si="6"/>
        <v>460</v>
      </c>
      <c r="P219" s="7">
        <v>921</v>
      </c>
      <c r="Q219" s="7">
        <v>219349.74400000001</v>
      </c>
      <c r="R219" s="7">
        <v>425342.53299999994</v>
      </c>
      <c r="S219" s="7">
        <v>455545.85800000001</v>
      </c>
      <c r="T219" s="7">
        <v>389162.83099999995</v>
      </c>
      <c r="U219" s="7">
        <v>392664.90899999999</v>
      </c>
      <c r="V219" s="7">
        <v>413097.86300000007</v>
      </c>
      <c r="W219" s="7">
        <v>318894.9659999999</v>
      </c>
      <c r="X219" s="16">
        <f>SUM(Q219:W219)</f>
        <v>2614058.7039999999</v>
      </c>
      <c r="Y219" s="28">
        <v>199681.30100000001</v>
      </c>
      <c r="Z219" s="28">
        <v>127688.69000000002</v>
      </c>
      <c r="AA219" s="7">
        <v>47582.691999999995</v>
      </c>
      <c r="AB219" s="16">
        <f t="shared" si="7"/>
        <v>374952.68300000002</v>
      </c>
      <c r="AC219" s="7">
        <v>2989011.3869999996</v>
      </c>
      <c r="AD219" s="8">
        <v>5.333947415046903E-4</v>
      </c>
      <c r="AE219" s="8">
        <v>1.2930754799450072E-4</v>
      </c>
      <c r="AF219" s="8">
        <v>9.0001915899320939E-5</v>
      </c>
      <c r="AG219" s="8">
        <v>1.875821486148044E-4</v>
      </c>
      <c r="AH219" s="8">
        <v>1.5789544361856893E-4</v>
      </c>
      <c r="AI219" s="8">
        <v>1.4040256606217299E-4</v>
      </c>
      <c r="AJ219" s="8">
        <v>1.7247058079932192E-4</v>
      </c>
      <c r="AK219" s="8">
        <v>3.806064945460266E-4</v>
      </c>
      <c r="AL219" s="8">
        <v>1.2922052845870686E-3</v>
      </c>
      <c r="AM219" s="8">
        <v>4.6025138720608748E-3</v>
      </c>
      <c r="AN219" s="8">
        <v>3.0812863544303387E-4</v>
      </c>
    </row>
    <row r="220" spans="1:40" x14ac:dyDescent="0.2">
      <c r="A220" t="s">
        <v>258</v>
      </c>
      <c r="B220">
        <v>2010</v>
      </c>
      <c r="C220" t="s">
        <v>260</v>
      </c>
      <c r="D220" s="7">
        <v>128</v>
      </c>
      <c r="E220" s="7">
        <v>38</v>
      </c>
      <c r="F220" s="7">
        <v>63</v>
      </c>
      <c r="G220" s="7">
        <v>59</v>
      </c>
      <c r="H220" s="7">
        <v>51</v>
      </c>
      <c r="I220" s="7">
        <v>58</v>
      </c>
      <c r="J220" s="7">
        <v>64</v>
      </c>
      <c r="K220" s="16">
        <f>SUM(D220:J220)</f>
        <v>461</v>
      </c>
      <c r="L220" s="28">
        <v>91</v>
      </c>
      <c r="M220" s="28">
        <v>138</v>
      </c>
      <c r="N220" s="7">
        <v>220</v>
      </c>
      <c r="O220" s="16">
        <f t="shared" si="6"/>
        <v>449</v>
      </c>
      <c r="P220" s="7">
        <v>910</v>
      </c>
      <c r="Q220" s="7">
        <v>200468.73899999997</v>
      </c>
      <c r="R220" s="7">
        <v>399212.23199999996</v>
      </c>
      <c r="S220" s="7">
        <v>425775.75299999997</v>
      </c>
      <c r="T220" s="7">
        <v>365293.18999999983</v>
      </c>
      <c r="U220" s="7">
        <v>370778.00299999991</v>
      </c>
      <c r="V220" s="7">
        <v>398368.76799999992</v>
      </c>
      <c r="W220" s="7">
        <v>317045.12699999998</v>
      </c>
      <c r="X220" s="16">
        <f>SUM(Q220:W220)</f>
        <v>2476941.8119999995</v>
      </c>
      <c r="Y220" s="28">
        <v>196534.02500000002</v>
      </c>
      <c r="Z220" s="28">
        <v>114209.88999999997</v>
      </c>
      <c r="AA220" s="7">
        <v>41514.02399999999</v>
      </c>
      <c r="AB220" s="16">
        <f t="shared" si="7"/>
        <v>352257.93899999995</v>
      </c>
      <c r="AC220" s="7">
        <v>2829199.7509999997</v>
      </c>
      <c r="AD220" s="8">
        <v>6.3850354244010098E-4</v>
      </c>
      <c r="AE220" s="8">
        <v>9.5187464095539039E-5</v>
      </c>
      <c r="AF220" s="8">
        <v>1.4796521304020804E-4</v>
      </c>
      <c r="AG220" s="8">
        <v>1.6151409775802289E-4</v>
      </c>
      <c r="AH220" s="8">
        <v>1.3754861288251777E-4</v>
      </c>
      <c r="AI220" s="8">
        <v>1.4559374293117279E-4</v>
      </c>
      <c r="AJ220" s="8">
        <v>2.0186400783255061E-4</v>
      </c>
      <c r="AK220" s="8">
        <v>4.6302415065279404E-4</v>
      </c>
      <c r="AL220" s="8">
        <v>1.2083016628419835E-3</v>
      </c>
      <c r="AM220" s="8">
        <v>5.2994140004351317E-3</v>
      </c>
      <c r="AN220" s="8">
        <v>3.2164572320436349E-4</v>
      </c>
    </row>
    <row r="221" spans="1:40" x14ac:dyDescent="0.2">
      <c r="A221" t="s">
        <v>258</v>
      </c>
      <c r="B221">
        <v>2011</v>
      </c>
      <c r="C221" t="s">
        <v>261</v>
      </c>
      <c r="D221" s="7">
        <v>99</v>
      </c>
      <c r="E221" s="7">
        <v>65</v>
      </c>
      <c r="F221" s="7">
        <v>41</v>
      </c>
      <c r="G221" s="7">
        <v>74</v>
      </c>
      <c r="H221" s="7">
        <v>70</v>
      </c>
      <c r="I221" s="7">
        <v>43</v>
      </c>
      <c r="J221" s="7">
        <v>58</v>
      </c>
      <c r="K221" s="16">
        <f>SUM(D221:J221)</f>
        <v>450</v>
      </c>
      <c r="L221" s="28">
        <v>63</v>
      </c>
      <c r="M221" s="28">
        <v>201</v>
      </c>
      <c r="N221" s="7">
        <v>217</v>
      </c>
      <c r="O221" s="16">
        <f t="shared" si="6"/>
        <v>481</v>
      </c>
      <c r="P221" s="7">
        <v>931</v>
      </c>
      <c r="Q221" s="7">
        <v>209032.37600000002</v>
      </c>
      <c r="R221" s="7">
        <v>417945.47700000007</v>
      </c>
      <c r="S221" s="7">
        <v>439581.86399999994</v>
      </c>
      <c r="T221" s="7">
        <v>382884.11</v>
      </c>
      <c r="U221" s="7">
        <v>387000.36099999998</v>
      </c>
      <c r="V221" s="7">
        <v>420773.35799999983</v>
      </c>
      <c r="W221" s="7">
        <v>346064.88700000005</v>
      </c>
      <c r="X221" s="16">
        <f>SUM(Q221:W221)</f>
        <v>2603282.4330000002</v>
      </c>
      <c r="Y221" s="28">
        <v>214910.85500000001</v>
      </c>
      <c r="Z221" s="28">
        <v>122847.64200000001</v>
      </c>
      <c r="AA221" s="7">
        <v>44281.085000000006</v>
      </c>
      <c r="AB221" s="16">
        <f t="shared" si="7"/>
        <v>382039.58200000005</v>
      </c>
      <c r="AC221" s="7">
        <v>2985322.0150000001</v>
      </c>
      <c r="AD221" s="8">
        <v>4.7361084390104238E-4</v>
      </c>
      <c r="AE221" s="8">
        <v>1.5552267838036681E-4</v>
      </c>
      <c r="AF221" s="8">
        <v>9.3270453942112598E-5</v>
      </c>
      <c r="AG221" s="8">
        <v>1.932699688164129E-4</v>
      </c>
      <c r="AH221" s="8">
        <v>1.8087838424522815E-4</v>
      </c>
      <c r="AI221" s="8">
        <v>1.0219278189186117E-4</v>
      </c>
      <c r="AJ221" s="8">
        <v>1.6759862724819E-4</v>
      </c>
      <c r="AK221" s="8">
        <v>2.9314480182957719E-4</v>
      </c>
      <c r="AL221" s="8">
        <v>1.636173041074732E-3</v>
      </c>
      <c r="AM221" s="8">
        <v>4.9005122616123786E-3</v>
      </c>
      <c r="AN221" s="8">
        <v>3.1185915466476065E-4</v>
      </c>
    </row>
    <row r="222" spans="1:40" x14ac:dyDescent="0.2">
      <c r="A222" t="s">
        <v>258</v>
      </c>
      <c r="B222">
        <v>2012</v>
      </c>
      <c r="C222" t="s">
        <v>262</v>
      </c>
      <c r="D222" s="7">
        <v>142</v>
      </c>
      <c r="E222" s="7">
        <v>48</v>
      </c>
      <c r="F222" s="7">
        <v>61</v>
      </c>
      <c r="G222" s="7">
        <v>54</v>
      </c>
      <c r="H222" s="7">
        <v>65</v>
      </c>
      <c r="I222" s="7">
        <v>47</v>
      </c>
      <c r="J222" s="7">
        <v>66</v>
      </c>
      <c r="K222" s="16">
        <f>SUM(D222:J222)</f>
        <v>483</v>
      </c>
      <c r="L222" s="28">
        <v>93</v>
      </c>
      <c r="M222" s="28">
        <v>124</v>
      </c>
      <c r="N222" s="7">
        <v>237</v>
      </c>
      <c r="O222" s="16">
        <f t="shared" si="6"/>
        <v>454</v>
      </c>
      <c r="P222" s="7">
        <v>937</v>
      </c>
      <c r="Q222" s="7">
        <v>209073.97199999983</v>
      </c>
      <c r="R222" s="7">
        <v>418486.05200000003</v>
      </c>
      <c r="S222" s="7">
        <v>440157.78500000009</v>
      </c>
      <c r="T222" s="7">
        <v>385335.04900000006</v>
      </c>
      <c r="U222" s="7">
        <v>379232.7950000001</v>
      </c>
      <c r="V222" s="7">
        <v>418050.90099999984</v>
      </c>
      <c r="W222" s="7">
        <v>354997.50200000004</v>
      </c>
      <c r="X222" s="16">
        <f>SUM(Q222:W222)</f>
        <v>2605334.0559999999</v>
      </c>
      <c r="Y222" s="28">
        <v>221139.69699999981</v>
      </c>
      <c r="Z222" s="28">
        <v>123269.31499999994</v>
      </c>
      <c r="AA222" s="7">
        <v>45571.674999999988</v>
      </c>
      <c r="AB222" s="16">
        <f t="shared" si="7"/>
        <v>389980.68699999974</v>
      </c>
      <c r="AC222" s="7">
        <v>2995314.7429999993</v>
      </c>
      <c r="AD222" s="8">
        <v>6.7918545116653795E-4</v>
      </c>
      <c r="AE222" s="8">
        <v>1.1469916325908993E-4</v>
      </c>
      <c r="AF222" s="8">
        <v>1.3858666614291506E-4</v>
      </c>
      <c r="AG222" s="8">
        <v>1.401377843519238E-4</v>
      </c>
      <c r="AH222" s="8">
        <v>1.7139867874559737E-4</v>
      </c>
      <c r="AI222" s="8">
        <v>1.1242650090592681E-4</v>
      </c>
      <c r="AJ222" s="8">
        <v>1.8591680118357565E-4</v>
      </c>
      <c r="AK222" s="8">
        <v>4.2054864532079048E-4</v>
      </c>
      <c r="AL222" s="8">
        <v>1.0059275497718151E-3</v>
      </c>
      <c r="AM222" s="8">
        <v>5.2005988368871688E-3</v>
      </c>
      <c r="AN222" s="8">
        <v>3.1282188364002597E-4</v>
      </c>
    </row>
    <row r="223" spans="1:40" x14ac:dyDescent="0.2">
      <c r="A223" t="s">
        <v>258</v>
      </c>
      <c r="B223">
        <v>2013</v>
      </c>
      <c r="C223" t="s">
        <v>263</v>
      </c>
      <c r="D223" s="7">
        <v>113</v>
      </c>
      <c r="E223" s="7">
        <v>77</v>
      </c>
      <c r="F223" s="7">
        <v>56</v>
      </c>
      <c r="G223" s="7">
        <v>63</v>
      </c>
      <c r="H223" s="7">
        <v>45</v>
      </c>
      <c r="I223" s="7">
        <v>38</v>
      </c>
      <c r="J223" s="7">
        <v>80</v>
      </c>
      <c r="K223" s="16">
        <f>SUM(D223:J223)</f>
        <v>472</v>
      </c>
      <c r="L223" s="28">
        <v>108</v>
      </c>
      <c r="M223" s="28">
        <v>203</v>
      </c>
      <c r="N223" s="7">
        <v>282</v>
      </c>
      <c r="O223" s="16">
        <f t="shared" si="6"/>
        <v>593</v>
      </c>
      <c r="P223" s="7">
        <v>1065</v>
      </c>
      <c r="Q223" s="7">
        <v>210790.39999999999</v>
      </c>
      <c r="R223" s="7">
        <v>426022.76199999976</v>
      </c>
      <c r="S223" s="7">
        <v>444607.38900000014</v>
      </c>
      <c r="T223" s="7">
        <v>395529.87399999995</v>
      </c>
      <c r="U223" s="7">
        <v>382023.15499999997</v>
      </c>
      <c r="V223" s="7">
        <v>417874.68299999996</v>
      </c>
      <c r="W223" s="7">
        <v>367097.98399999982</v>
      </c>
      <c r="X223" s="16">
        <f>SUM(Q223:W223)</f>
        <v>2643946.2469999995</v>
      </c>
      <c r="Y223" s="28">
        <v>232284.32399999994</v>
      </c>
      <c r="Z223" s="28">
        <v>127789.63500000001</v>
      </c>
      <c r="AA223" s="7">
        <v>48332.784</v>
      </c>
      <c r="AB223" s="16">
        <f t="shared" si="7"/>
        <v>408406.7429999999</v>
      </c>
      <c r="AC223" s="7">
        <v>3052352.9899999993</v>
      </c>
      <c r="AD223" s="8">
        <v>5.3607754432839446E-4</v>
      </c>
      <c r="AE223" s="8">
        <v>1.8074151634179595E-4</v>
      </c>
      <c r="AF223" s="8">
        <v>1.2595382214846632E-4</v>
      </c>
      <c r="AG223" s="8">
        <v>1.5928000422036392E-4</v>
      </c>
      <c r="AH223" s="8">
        <v>1.177939070211595E-4</v>
      </c>
      <c r="AI223" s="8">
        <v>9.093635375847836E-5</v>
      </c>
      <c r="AJ223" s="8">
        <v>2.1792546809518856E-4</v>
      </c>
      <c r="AK223" s="8">
        <v>4.6494743226839545E-4</v>
      </c>
      <c r="AL223" s="8">
        <v>1.588548241803805E-3</v>
      </c>
      <c r="AM223" s="8">
        <v>5.8345490712887549E-3</v>
      </c>
      <c r="AN223" s="8">
        <v>3.4891115263834547E-4</v>
      </c>
    </row>
    <row r="224" spans="1:40" x14ac:dyDescent="0.2">
      <c r="A224" t="s">
        <v>258</v>
      </c>
      <c r="B224">
        <v>2014</v>
      </c>
      <c r="C224" t="s">
        <v>264</v>
      </c>
      <c r="D224" s="7">
        <v>110</v>
      </c>
      <c r="E224" s="7">
        <v>61</v>
      </c>
      <c r="F224" s="7">
        <v>41</v>
      </c>
      <c r="G224" s="7">
        <v>49</v>
      </c>
      <c r="H224" s="7">
        <v>65</v>
      </c>
      <c r="I224" s="7">
        <v>56</v>
      </c>
      <c r="J224" s="7">
        <v>117</v>
      </c>
      <c r="K224" s="16">
        <f>SUM(D224:J224)</f>
        <v>499</v>
      </c>
      <c r="L224" s="28">
        <v>117</v>
      </c>
      <c r="M224" s="28">
        <v>197</v>
      </c>
      <c r="N224" s="7">
        <v>242</v>
      </c>
      <c r="O224" s="16">
        <f t="shared" si="6"/>
        <v>556</v>
      </c>
      <c r="P224" s="7">
        <v>1055</v>
      </c>
      <c r="Q224" s="7">
        <v>200907.73800000007</v>
      </c>
      <c r="R224" s="7">
        <v>418776.57000000012</v>
      </c>
      <c r="S224" s="7">
        <v>428191.39799999987</v>
      </c>
      <c r="T224" s="7">
        <v>389924.33900000009</v>
      </c>
      <c r="U224" s="7">
        <v>377958.24100000004</v>
      </c>
      <c r="V224" s="7">
        <v>413092.03199999995</v>
      </c>
      <c r="W224" s="7">
        <v>375578.74699999997</v>
      </c>
      <c r="X224" s="16">
        <f>SUM(Q224:W224)</f>
        <v>2604429.0650000004</v>
      </c>
      <c r="Y224" s="28">
        <v>241427.43200000006</v>
      </c>
      <c r="Z224" s="28">
        <v>132553.93400000004</v>
      </c>
      <c r="AA224" s="7">
        <v>49481.268000000011</v>
      </c>
      <c r="AB224" s="16">
        <f t="shared" si="7"/>
        <v>423462.63400000008</v>
      </c>
      <c r="AC224" s="7">
        <v>3027891.6990000005</v>
      </c>
      <c r="AD224" s="8">
        <v>5.4751499914851439E-4</v>
      </c>
      <c r="AE224" s="8">
        <v>1.4566239940309931E-4</v>
      </c>
      <c r="AF224" s="8">
        <v>9.575157322520527E-5</v>
      </c>
      <c r="AG224" s="8">
        <v>1.2566540505182464E-4</v>
      </c>
      <c r="AH224" s="8">
        <v>1.7197667083015128E-4</v>
      </c>
      <c r="AI224" s="8">
        <v>1.355630117794187E-4</v>
      </c>
      <c r="AJ224" s="8">
        <v>3.1151922448902574E-4</v>
      </c>
      <c r="AK224" s="8">
        <v>4.8461767178139051E-4</v>
      </c>
      <c r="AL224" s="8">
        <v>1.4861875016097218E-3</v>
      </c>
      <c r="AM224" s="8">
        <v>4.8907396633408821E-3</v>
      </c>
      <c r="AN224" s="8">
        <v>3.4842725727225553E-4</v>
      </c>
    </row>
    <row r="225" spans="1:40" x14ac:dyDescent="0.2">
      <c r="A225" t="s">
        <v>258</v>
      </c>
      <c r="B225">
        <v>2015</v>
      </c>
      <c r="C225" t="s">
        <v>265</v>
      </c>
      <c r="D225" s="7">
        <v>110</v>
      </c>
      <c r="E225" s="7">
        <v>45</v>
      </c>
      <c r="F225" s="7">
        <v>65</v>
      </c>
      <c r="G225" s="7">
        <v>66</v>
      </c>
      <c r="H225" s="7">
        <v>56</v>
      </c>
      <c r="I225" s="7">
        <v>58</v>
      </c>
      <c r="J225" s="7">
        <v>67</v>
      </c>
      <c r="K225" s="16">
        <f>SUM(D225:J225)</f>
        <v>467</v>
      </c>
      <c r="L225" s="28">
        <v>134</v>
      </c>
      <c r="M225" s="28">
        <v>210</v>
      </c>
      <c r="N225" s="7">
        <v>290</v>
      </c>
      <c r="O225" s="16">
        <f t="shared" si="6"/>
        <v>634</v>
      </c>
      <c r="P225" s="7">
        <v>1101</v>
      </c>
      <c r="Q225" s="7">
        <v>193171.98900000006</v>
      </c>
      <c r="R225" s="7">
        <v>406368.29299999995</v>
      </c>
      <c r="S225" s="7">
        <v>423658.79300000018</v>
      </c>
      <c r="T225" s="7">
        <v>381518.62900000007</v>
      </c>
      <c r="U225" s="7">
        <v>366536.23</v>
      </c>
      <c r="V225" s="7">
        <v>391082.69199999992</v>
      </c>
      <c r="W225" s="7">
        <v>363154.08499999996</v>
      </c>
      <c r="X225" s="16">
        <f>SUM(Q225:W225)</f>
        <v>2525490.7110000001</v>
      </c>
      <c r="Y225" s="28">
        <v>238063.43100000004</v>
      </c>
      <c r="Z225" s="28">
        <v>124108.67700000001</v>
      </c>
      <c r="AA225" s="7">
        <v>46470.573999999993</v>
      </c>
      <c r="AB225" s="16">
        <f t="shared" si="7"/>
        <v>408642.68200000003</v>
      </c>
      <c r="AC225" s="7">
        <v>2934133.3930000002</v>
      </c>
      <c r="AD225" s="8">
        <v>5.6944073811860979E-4</v>
      </c>
      <c r="AE225" s="8">
        <v>1.1073698606697153E-4</v>
      </c>
      <c r="AF225" s="8">
        <v>1.5342535331256532E-4</v>
      </c>
      <c r="AG225" s="8">
        <v>1.7299286321350245E-4</v>
      </c>
      <c r="AH225" s="8">
        <v>1.5278162270616468E-4</v>
      </c>
      <c r="AI225" s="8">
        <v>1.4830623084695349E-4</v>
      </c>
      <c r="AJ225" s="8">
        <v>1.8449468907943032E-4</v>
      </c>
      <c r="AK225" s="8">
        <v>5.6287519438464272E-4</v>
      </c>
      <c r="AL225" s="8">
        <v>1.692065414572101E-3</v>
      </c>
      <c r="AM225" s="8">
        <v>6.2405082407632848E-3</v>
      </c>
      <c r="AN225" s="8">
        <v>3.7523856366812423E-4</v>
      </c>
    </row>
    <row r="226" spans="1:40" x14ac:dyDescent="0.2">
      <c r="A226" t="s">
        <v>258</v>
      </c>
      <c r="B226">
        <v>2016</v>
      </c>
      <c r="C226" t="s">
        <v>266</v>
      </c>
      <c r="D226" s="7">
        <v>109</v>
      </c>
      <c r="E226" s="7">
        <v>71</v>
      </c>
      <c r="F226" s="7">
        <v>62</v>
      </c>
      <c r="G226" s="7">
        <v>56</v>
      </c>
      <c r="H226" s="7">
        <v>45</v>
      </c>
      <c r="I226" s="7">
        <v>58</v>
      </c>
      <c r="J226" s="7">
        <v>93</v>
      </c>
      <c r="K226" s="16">
        <f>SUM(D226:J226)</f>
        <v>494</v>
      </c>
      <c r="L226" s="28">
        <v>148</v>
      </c>
      <c r="M226" s="28">
        <v>206</v>
      </c>
      <c r="N226" s="7">
        <v>263</v>
      </c>
      <c r="O226" s="16">
        <f t="shared" si="6"/>
        <v>617</v>
      </c>
      <c r="P226" s="7">
        <v>1111</v>
      </c>
      <c r="Q226" s="7">
        <v>194407.17699999991</v>
      </c>
      <c r="R226" s="7">
        <v>418485.33800000005</v>
      </c>
      <c r="S226" s="7">
        <v>435389.42199999996</v>
      </c>
      <c r="T226" s="7">
        <v>393907.49699999992</v>
      </c>
      <c r="U226" s="7">
        <v>377374.99</v>
      </c>
      <c r="V226" s="7">
        <v>400183.25999999989</v>
      </c>
      <c r="W226" s="7">
        <v>383252.85999999981</v>
      </c>
      <c r="X226" s="16">
        <f>SUM(Q226:W226)</f>
        <v>2603000.5439999998</v>
      </c>
      <c r="Y226" s="28">
        <v>256740.465</v>
      </c>
      <c r="Z226" s="28">
        <v>131125.56999999998</v>
      </c>
      <c r="AA226" s="7">
        <v>51020.494999999981</v>
      </c>
      <c r="AB226" s="16">
        <f t="shared" si="7"/>
        <v>438886.52999999997</v>
      </c>
      <c r="AC226" s="7">
        <v>3041887.0739999996</v>
      </c>
      <c r="AD226" s="8">
        <v>5.6067888892805671E-4</v>
      </c>
      <c r="AE226" s="8">
        <v>1.6965946845191502E-4</v>
      </c>
      <c r="AF226" s="8">
        <v>1.4240125475533489E-4</v>
      </c>
      <c r="AG226" s="8">
        <v>1.4216535716252187E-4</v>
      </c>
      <c r="AH226" s="8">
        <v>1.1924478620059056E-4</v>
      </c>
      <c r="AI226" s="8">
        <v>1.4493359867176857E-4</v>
      </c>
      <c r="AJ226" s="8">
        <v>2.4265963729533564E-4</v>
      </c>
      <c r="AK226" s="8">
        <v>5.7645763008180265E-4</v>
      </c>
      <c r="AL226" s="8">
        <v>1.5710131898759338E-3</v>
      </c>
      <c r="AM226" s="8">
        <v>5.1547912265453343E-3</v>
      </c>
      <c r="AN226" s="8">
        <v>3.6523380815023647E-4</v>
      </c>
    </row>
    <row r="227" spans="1:40" x14ac:dyDescent="0.2">
      <c r="A227" t="s">
        <v>258</v>
      </c>
      <c r="B227">
        <v>2017</v>
      </c>
      <c r="C227" t="s">
        <v>267</v>
      </c>
      <c r="D227" s="7">
        <v>99</v>
      </c>
      <c r="E227" s="7">
        <v>66</v>
      </c>
      <c r="F227" s="7">
        <v>55</v>
      </c>
      <c r="G227" s="7">
        <v>38</v>
      </c>
      <c r="H227" s="7">
        <v>44</v>
      </c>
      <c r="I227" s="7">
        <v>25</v>
      </c>
      <c r="J227" s="7">
        <v>108</v>
      </c>
      <c r="K227" s="16">
        <f>SUM(D227:J227)</f>
        <v>435</v>
      </c>
      <c r="L227" s="28">
        <v>157</v>
      </c>
      <c r="M227" s="28">
        <v>212</v>
      </c>
      <c r="N227" s="7">
        <v>219</v>
      </c>
      <c r="O227" s="16">
        <f t="shared" si="6"/>
        <v>588</v>
      </c>
      <c r="P227" s="7">
        <v>1023</v>
      </c>
      <c r="Q227" s="7">
        <v>167025</v>
      </c>
      <c r="R227" s="7">
        <v>362158</v>
      </c>
      <c r="S227" s="7">
        <v>375183</v>
      </c>
      <c r="T227" s="7">
        <v>343218</v>
      </c>
      <c r="U227" s="7">
        <v>330638</v>
      </c>
      <c r="V227" s="7">
        <v>349128</v>
      </c>
      <c r="W227" s="7">
        <v>346668</v>
      </c>
      <c r="X227" s="16">
        <f>SUM(Q227:W227)</f>
        <v>2274018</v>
      </c>
      <c r="Y227" s="28">
        <v>238831</v>
      </c>
      <c r="Z227" s="28">
        <v>121400</v>
      </c>
      <c r="AA227" s="7">
        <v>45104</v>
      </c>
      <c r="AB227" s="16">
        <f t="shared" si="7"/>
        <v>405335</v>
      </c>
      <c r="AC227" s="7">
        <v>2679353</v>
      </c>
      <c r="AD227" s="8">
        <v>5.9272563987427032E-4</v>
      </c>
      <c r="AE227" s="8">
        <v>1.822409003804969E-4</v>
      </c>
      <c r="AF227" s="8">
        <v>1.4659512824408355E-4</v>
      </c>
      <c r="AG227" s="8">
        <v>1.107168038972315E-4</v>
      </c>
      <c r="AH227" s="8">
        <v>1.3307605296426908E-4</v>
      </c>
      <c r="AI227" s="8">
        <v>7.1606975092229784E-5</v>
      </c>
      <c r="AJ227" s="8">
        <v>3.11537263318218E-4</v>
      </c>
      <c r="AK227" s="8">
        <v>6.573685995536593E-4</v>
      </c>
      <c r="AL227" s="8">
        <v>1.7462932454695222E-3</v>
      </c>
      <c r="AM227" s="8">
        <v>4.8554451933309683E-3</v>
      </c>
      <c r="AN227" s="8">
        <v>3.8180859334324371E-4</v>
      </c>
    </row>
    <row r="228" spans="1:40" x14ac:dyDescent="0.2">
      <c r="A228" t="s">
        <v>268</v>
      </c>
      <c r="B228">
        <v>2009</v>
      </c>
      <c r="C228" t="s">
        <v>269</v>
      </c>
      <c r="D228" s="7">
        <v>93</v>
      </c>
      <c r="E228" s="7">
        <v>55</v>
      </c>
      <c r="F228" s="7">
        <v>58</v>
      </c>
      <c r="G228" s="7">
        <v>58</v>
      </c>
      <c r="H228" s="7">
        <v>49</v>
      </c>
      <c r="I228" s="7">
        <v>78</v>
      </c>
      <c r="J228" s="7">
        <v>94</v>
      </c>
      <c r="K228" s="16">
        <f>SUM(D228:J228)</f>
        <v>485</v>
      </c>
      <c r="L228" s="28">
        <v>149</v>
      </c>
      <c r="M228" s="28">
        <v>346</v>
      </c>
      <c r="N228" s="7">
        <v>620</v>
      </c>
      <c r="O228" s="16">
        <f t="shared" si="6"/>
        <v>1115</v>
      </c>
      <c r="P228" s="7">
        <v>1600</v>
      </c>
      <c r="Q228" s="7">
        <v>387831.1779999999</v>
      </c>
      <c r="R228" s="7">
        <v>765931.51899999997</v>
      </c>
      <c r="S228" s="7">
        <v>823917.65599999996</v>
      </c>
      <c r="T228" s="7">
        <v>743732.13800000004</v>
      </c>
      <c r="U228" s="7">
        <v>785589.5950000002</v>
      </c>
      <c r="V228" s="7">
        <v>855733.82600000047</v>
      </c>
      <c r="W228" s="7">
        <v>643494.84899999993</v>
      </c>
      <c r="X228" s="16">
        <f>SUM(Q228:W228)</f>
        <v>5006230.7609999999</v>
      </c>
      <c r="Y228" s="28">
        <v>399549.63699999987</v>
      </c>
      <c r="Z228" s="28">
        <v>269276.93200000015</v>
      </c>
      <c r="AA228" s="7">
        <v>108359.32899999998</v>
      </c>
      <c r="AB228" s="16">
        <f t="shared" si="7"/>
        <v>777185.89800000004</v>
      </c>
      <c r="AC228" s="7">
        <v>5783416.659</v>
      </c>
      <c r="AD228" s="8">
        <v>2.3979505845711049E-4</v>
      </c>
      <c r="AE228" s="8">
        <v>7.1807986269853451E-5</v>
      </c>
      <c r="AF228" s="8">
        <v>7.0395384268837663E-5</v>
      </c>
      <c r="AG228" s="8">
        <v>7.7985066177145625E-5</v>
      </c>
      <c r="AH228" s="8">
        <v>6.2373534873511131E-5</v>
      </c>
      <c r="AI228" s="8">
        <v>9.1149838454556968E-5</v>
      </c>
      <c r="AJ228" s="8">
        <v>1.4607731537568221E-4</v>
      </c>
      <c r="AK228" s="8">
        <v>3.729198732822276E-4</v>
      </c>
      <c r="AL228" s="8">
        <v>1.28492254212106E-3</v>
      </c>
      <c r="AM228" s="8">
        <v>5.7217039429987623E-3</v>
      </c>
      <c r="AN228" s="8">
        <v>2.766530745299359E-4</v>
      </c>
    </row>
    <row r="229" spans="1:40" x14ac:dyDescent="0.2">
      <c r="A229" t="s">
        <v>268</v>
      </c>
      <c r="B229">
        <v>2010</v>
      </c>
      <c r="C229" t="s">
        <v>270</v>
      </c>
      <c r="D229" s="7">
        <v>127</v>
      </c>
      <c r="E229" s="7">
        <v>39</v>
      </c>
      <c r="F229" s="7">
        <v>61</v>
      </c>
      <c r="G229" s="7">
        <v>56</v>
      </c>
      <c r="H229" s="7">
        <v>36</v>
      </c>
      <c r="I229" s="7">
        <v>61</v>
      </c>
      <c r="J229" s="7">
        <v>65</v>
      </c>
      <c r="K229" s="16">
        <f>SUM(D229:J229)</f>
        <v>445</v>
      </c>
      <c r="L229" s="28">
        <v>121</v>
      </c>
      <c r="M229" s="28">
        <v>312</v>
      </c>
      <c r="N229" s="7">
        <v>568</v>
      </c>
      <c r="O229" s="16">
        <f t="shared" si="6"/>
        <v>1001</v>
      </c>
      <c r="P229" s="7">
        <v>1446</v>
      </c>
      <c r="Q229" s="7">
        <v>383073.32999999996</v>
      </c>
      <c r="R229" s="7">
        <v>779332.81099999999</v>
      </c>
      <c r="S229" s="7">
        <v>834426.31500000018</v>
      </c>
      <c r="T229" s="7">
        <v>747361.97999999986</v>
      </c>
      <c r="U229" s="7">
        <v>773101.66400000022</v>
      </c>
      <c r="V229" s="7">
        <v>871703.2300000001</v>
      </c>
      <c r="W229" s="7">
        <v>676562.73299999989</v>
      </c>
      <c r="X229" s="16">
        <f>SUM(Q229:W229)</f>
        <v>5065562.0630000001</v>
      </c>
      <c r="Y229" s="28">
        <v>425435.41999999987</v>
      </c>
      <c r="Z229" s="28">
        <v>271516.38299999991</v>
      </c>
      <c r="AA229" s="7">
        <v>110521.743</v>
      </c>
      <c r="AB229" s="16">
        <f t="shared" si="7"/>
        <v>807473.54599999986</v>
      </c>
      <c r="AC229" s="7">
        <v>5873035.6090000002</v>
      </c>
      <c r="AD229" s="8">
        <v>3.3152921400192496E-4</v>
      </c>
      <c r="AE229" s="8">
        <v>5.0042805139895489E-5</v>
      </c>
      <c r="AF229" s="8">
        <v>7.3104118246798092E-5</v>
      </c>
      <c r="AG229" s="8">
        <v>7.4930223236670417E-5</v>
      </c>
      <c r="AH229" s="8">
        <v>4.6565673929269912E-5</v>
      </c>
      <c r="AI229" s="8">
        <v>6.9977944213881125E-5</v>
      </c>
      <c r="AJ229" s="8">
        <v>9.607386991562246E-5</v>
      </c>
      <c r="AK229" s="8">
        <v>2.8441449468405813E-4</v>
      </c>
      <c r="AL229" s="8">
        <v>1.1491019309873471E-3</v>
      </c>
      <c r="AM229" s="8">
        <v>5.1392602449275527E-3</v>
      </c>
      <c r="AN229" s="8">
        <v>2.4620998343413925E-4</v>
      </c>
    </row>
    <row r="230" spans="1:40" x14ac:dyDescent="0.2">
      <c r="A230" t="s">
        <v>268</v>
      </c>
      <c r="B230">
        <v>2011</v>
      </c>
      <c r="C230" t="s">
        <v>271</v>
      </c>
      <c r="D230" s="7">
        <v>111</v>
      </c>
      <c r="E230" s="7">
        <v>57</v>
      </c>
      <c r="F230" s="7">
        <v>36</v>
      </c>
      <c r="G230" s="7">
        <v>57</v>
      </c>
      <c r="H230" s="7">
        <v>62</v>
      </c>
      <c r="I230" s="7">
        <v>63</v>
      </c>
      <c r="J230" s="7">
        <v>66</v>
      </c>
      <c r="K230" s="16">
        <f>SUM(D230:J230)</f>
        <v>452</v>
      </c>
      <c r="L230" s="28">
        <v>131</v>
      </c>
      <c r="M230" s="28">
        <v>310</v>
      </c>
      <c r="N230" s="7">
        <v>562</v>
      </c>
      <c r="O230" s="16">
        <f t="shared" si="6"/>
        <v>1003</v>
      </c>
      <c r="P230" s="7">
        <v>1455</v>
      </c>
      <c r="Q230" s="7">
        <v>382036.5959999999</v>
      </c>
      <c r="R230" s="7">
        <v>774861.33199999994</v>
      </c>
      <c r="S230" s="7">
        <v>830373.95599999977</v>
      </c>
      <c r="T230" s="7">
        <v>760079.88400000019</v>
      </c>
      <c r="U230" s="7">
        <v>756612.52299999993</v>
      </c>
      <c r="V230" s="7">
        <v>871226.80800000008</v>
      </c>
      <c r="W230" s="7">
        <v>698274.00099999981</v>
      </c>
      <c r="X230" s="16">
        <f>SUM(Q230:W230)</f>
        <v>5073465.0999999996</v>
      </c>
      <c r="Y230" s="28">
        <v>431679.55900000007</v>
      </c>
      <c r="Z230" s="28">
        <v>269178.20000000013</v>
      </c>
      <c r="AA230" s="7">
        <v>110950.84600000003</v>
      </c>
      <c r="AB230" s="16">
        <f t="shared" si="7"/>
        <v>811808.60500000021</v>
      </c>
      <c r="AC230" s="7">
        <v>5885273.7050000001</v>
      </c>
      <c r="AD230" s="8">
        <v>2.9054808141992772E-4</v>
      </c>
      <c r="AE230" s="8">
        <v>7.3561549203748379E-5</v>
      </c>
      <c r="AF230" s="8">
        <v>4.3353960874948262E-5</v>
      </c>
      <c r="AG230" s="8">
        <v>7.4992117539055911E-5</v>
      </c>
      <c r="AH230" s="8">
        <v>8.1944189549186202E-5</v>
      </c>
      <c r="AI230" s="8">
        <v>7.2311824454327392E-5</v>
      </c>
      <c r="AJ230" s="8">
        <v>9.4518770433212824E-5</v>
      </c>
      <c r="AK230" s="8">
        <v>3.034658400399264E-4</v>
      </c>
      <c r="AL230" s="8">
        <v>1.1516534399888248E-3</v>
      </c>
      <c r="AM230" s="8">
        <v>5.0653061266427825E-3</v>
      </c>
      <c r="AN230" s="8">
        <v>2.4722724429347503E-4</v>
      </c>
    </row>
    <row r="231" spans="1:40" x14ac:dyDescent="0.2">
      <c r="A231" t="s">
        <v>268</v>
      </c>
      <c r="B231">
        <v>2012</v>
      </c>
      <c r="C231" t="s">
        <v>272</v>
      </c>
      <c r="D231" s="7">
        <v>116</v>
      </c>
      <c r="E231" s="7">
        <v>43</v>
      </c>
      <c r="F231" s="7">
        <v>52</v>
      </c>
      <c r="G231" s="7">
        <v>64</v>
      </c>
      <c r="H231" s="7">
        <v>58</v>
      </c>
      <c r="I231" s="7">
        <v>46</v>
      </c>
      <c r="J231" s="7">
        <v>94</v>
      </c>
      <c r="K231" s="16">
        <f>SUM(D231:J231)</f>
        <v>473</v>
      </c>
      <c r="L231" s="28">
        <v>137</v>
      </c>
      <c r="M231" s="28">
        <v>317</v>
      </c>
      <c r="N231" s="7">
        <v>573</v>
      </c>
      <c r="O231" s="16">
        <f t="shared" si="6"/>
        <v>1027</v>
      </c>
      <c r="P231" s="7">
        <v>1500</v>
      </c>
      <c r="Q231" s="7">
        <v>386226.3079999999</v>
      </c>
      <c r="R231" s="7">
        <v>787302.22999999963</v>
      </c>
      <c r="S231" s="7">
        <v>832268.21099999978</v>
      </c>
      <c r="T231" s="7">
        <v>774684.652</v>
      </c>
      <c r="U231" s="7">
        <v>750444.79899999988</v>
      </c>
      <c r="V231" s="7">
        <v>875618.71999999974</v>
      </c>
      <c r="W231" s="7">
        <v>726089.48899999994</v>
      </c>
      <c r="X231" s="16">
        <f>SUM(Q231:W231)</f>
        <v>5132634.4089999991</v>
      </c>
      <c r="Y231" s="28">
        <v>453953.90599999984</v>
      </c>
      <c r="Z231" s="28">
        <v>272169.86</v>
      </c>
      <c r="AA231" s="7">
        <v>115386.40999999999</v>
      </c>
      <c r="AB231" s="16">
        <f t="shared" si="7"/>
        <v>841510.17599999986</v>
      </c>
      <c r="AC231" s="7">
        <v>5974144.584999999</v>
      </c>
      <c r="AD231" s="8">
        <v>3.0034204712952911E-4</v>
      </c>
      <c r="AE231" s="8">
        <v>5.4616890898429207E-5</v>
      </c>
      <c r="AF231" s="8">
        <v>6.2479858431118204E-5</v>
      </c>
      <c r="AG231" s="8">
        <v>8.2614260957373405E-5</v>
      </c>
      <c r="AH231" s="8">
        <v>7.7287496798282167E-5</v>
      </c>
      <c r="AI231" s="8">
        <v>5.2534281130947056E-5</v>
      </c>
      <c r="AJ231" s="8">
        <v>1.2946062630580238E-4</v>
      </c>
      <c r="AK231" s="8">
        <v>3.0179275514373487E-4</v>
      </c>
      <c r="AL231" s="8">
        <v>1.1647138298120153E-3</v>
      </c>
      <c r="AM231" s="8">
        <v>4.9659227633479545E-3</v>
      </c>
      <c r="AN231" s="8">
        <v>2.5108197142838321E-4</v>
      </c>
    </row>
    <row r="232" spans="1:40" x14ac:dyDescent="0.2">
      <c r="A232" t="s">
        <v>268</v>
      </c>
      <c r="B232">
        <v>2013</v>
      </c>
      <c r="C232" t="s">
        <v>273</v>
      </c>
      <c r="D232" s="7">
        <v>118</v>
      </c>
      <c r="E232" s="7">
        <v>36</v>
      </c>
      <c r="F232" s="7">
        <v>42</v>
      </c>
      <c r="G232" s="7">
        <v>37</v>
      </c>
      <c r="H232" s="7">
        <v>58</v>
      </c>
      <c r="I232" s="7">
        <v>58</v>
      </c>
      <c r="J232" s="7">
        <v>96</v>
      </c>
      <c r="K232" s="16">
        <f>SUM(D232:J232)</f>
        <v>445</v>
      </c>
      <c r="L232" s="28">
        <v>173</v>
      </c>
      <c r="M232" s="28">
        <v>318</v>
      </c>
      <c r="N232" s="7">
        <v>647</v>
      </c>
      <c r="O232" s="16">
        <f t="shared" si="6"/>
        <v>1138</v>
      </c>
      <c r="P232" s="7">
        <v>1583</v>
      </c>
      <c r="Q232" s="7">
        <v>366852.93899999984</v>
      </c>
      <c r="R232" s="7">
        <v>757854.42200000025</v>
      </c>
      <c r="S232" s="7">
        <v>806260.0079999998</v>
      </c>
      <c r="T232" s="7">
        <v>764542.24400000006</v>
      </c>
      <c r="U232" s="7">
        <v>718110.08699999994</v>
      </c>
      <c r="V232" s="7">
        <v>837058.55900000001</v>
      </c>
      <c r="W232" s="7">
        <v>715109.80899999978</v>
      </c>
      <c r="X232" s="16">
        <f>SUM(Q232:W232)</f>
        <v>4965788.067999999</v>
      </c>
      <c r="Y232" s="28">
        <v>446154.56099999987</v>
      </c>
      <c r="Z232" s="28">
        <v>262112.67100000006</v>
      </c>
      <c r="AA232" s="7">
        <v>111869.84799999994</v>
      </c>
      <c r="AB232" s="16">
        <f t="shared" si="7"/>
        <v>820137.07999999984</v>
      </c>
      <c r="AC232" s="7">
        <v>5785925.1479999991</v>
      </c>
      <c r="AD232" s="8">
        <v>3.2165477622083343E-4</v>
      </c>
      <c r="AE232" s="8">
        <v>4.7502526811145251E-5</v>
      </c>
      <c r="AF232" s="8">
        <v>5.209237663193138E-5</v>
      </c>
      <c r="AG232" s="8">
        <v>4.8394971357527756E-5</v>
      </c>
      <c r="AH232" s="8">
        <v>8.076756064282941E-5</v>
      </c>
      <c r="AI232" s="8">
        <v>6.929025380170564E-5</v>
      </c>
      <c r="AJ232" s="8">
        <v>1.342451170320893E-4</v>
      </c>
      <c r="AK232" s="8">
        <v>3.8775799940774349E-4</v>
      </c>
      <c r="AL232" s="8">
        <v>1.2132187230277011E-3</v>
      </c>
      <c r="AM232" s="8">
        <v>5.7835065620183944E-3</v>
      </c>
      <c r="AN232" s="8">
        <v>2.7359496701183389E-4</v>
      </c>
    </row>
    <row r="233" spans="1:40" x14ac:dyDescent="0.2">
      <c r="A233" t="s">
        <v>268</v>
      </c>
      <c r="B233">
        <v>2014</v>
      </c>
      <c r="C233" t="s">
        <v>274</v>
      </c>
      <c r="D233" s="7">
        <v>130</v>
      </c>
      <c r="E233" s="7">
        <v>63</v>
      </c>
      <c r="F233" s="7">
        <v>58</v>
      </c>
      <c r="G233" s="7">
        <v>35</v>
      </c>
      <c r="H233" s="7">
        <v>67</v>
      </c>
      <c r="I233" s="7">
        <v>48</v>
      </c>
      <c r="J233" s="7">
        <v>92</v>
      </c>
      <c r="K233" s="16">
        <f>SUM(D233:J233)</f>
        <v>493</v>
      </c>
      <c r="L233" s="28">
        <v>152</v>
      </c>
      <c r="M233" s="28">
        <v>355</v>
      </c>
      <c r="N233" s="7">
        <v>586</v>
      </c>
      <c r="O233" s="16">
        <f t="shared" si="6"/>
        <v>1093</v>
      </c>
      <c r="P233" s="7">
        <v>1586</v>
      </c>
      <c r="Q233" s="7">
        <v>396839.42200000008</v>
      </c>
      <c r="R233" s="7">
        <v>822185.53000000026</v>
      </c>
      <c r="S233" s="7">
        <v>877063.47700000007</v>
      </c>
      <c r="T233" s="7">
        <v>823593.40200000023</v>
      </c>
      <c r="U233" s="7">
        <v>769211.45600000035</v>
      </c>
      <c r="V233" s="7">
        <v>893790.88699999976</v>
      </c>
      <c r="W233" s="7">
        <v>804262.40999999968</v>
      </c>
      <c r="X233" s="16">
        <f>SUM(Q233:W233)</f>
        <v>5386946.5840000007</v>
      </c>
      <c r="Y233" s="28">
        <v>508945.58899999986</v>
      </c>
      <c r="Z233" s="28">
        <v>289574.777</v>
      </c>
      <c r="AA233" s="7">
        <v>125309.30799999999</v>
      </c>
      <c r="AB233" s="16">
        <f t="shared" si="7"/>
        <v>923829.67399999988</v>
      </c>
      <c r="AC233" s="7">
        <v>6310776.2580000004</v>
      </c>
      <c r="AD233" s="8">
        <v>3.2758842189826586E-4</v>
      </c>
      <c r="AE233" s="8">
        <v>7.6625041065852832E-5</v>
      </c>
      <c r="AF233" s="8">
        <v>6.6129763148260694E-5</v>
      </c>
      <c r="AG233" s="8">
        <v>4.2496697903366629E-5</v>
      </c>
      <c r="AH233" s="8">
        <v>8.7102186892026696E-5</v>
      </c>
      <c r="AI233" s="8">
        <v>5.3703836879688409E-5</v>
      </c>
      <c r="AJ233" s="8">
        <v>1.1439052584839821E-4</v>
      </c>
      <c r="AK233" s="8">
        <v>2.9865668017411588E-4</v>
      </c>
      <c r="AL233" s="8">
        <v>1.225935503353595E-3</v>
      </c>
      <c r="AM233" s="8">
        <v>4.6764283464082335E-3</v>
      </c>
      <c r="AN233" s="8">
        <v>2.5131615116119361E-4</v>
      </c>
    </row>
    <row r="234" spans="1:40" x14ac:dyDescent="0.2">
      <c r="A234" t="s">
        <v>268</v>
      </c>
      <c r="B234">
        <v>2015</v>
      </c>
      <c r="C234" t="s">
        <v>275</v>
      </c>
      <c r="D234" s="7">
        <v>123</v>
      </c>
      <c r="E234" s="7">
        <v>63</v>
      </c>
      <c r="F234" s="7">
        <v>55</v>
      </c>
      <c r="G234" s="7">
        <v>48</v>
      </c>
      <c r="H234" s="7">
        <v>53</v>
      </c>
      <c r="I234" s="7">
        <v>40</v>
      </c>
      <c r="J234" s="7">
        <v>91</v>
      </c>
      <c r="K234" s="16">
        <f>SUM(D234:J234)</f>
        <v>473</v>
      </c>
      <c r="L234" s="28">
        <v>166</v>
      </c>
      <c r="M234" s="28">
        <v>327</v>
      </c>
      <c r="N234" s="7">
        <v>663</v>
      </c>
      <c r="O234" s="16">
        <f t="shared" si="6"/>
        <v>1156</v>
      </c>
      <c r="P234" s="7">
        <v>1629</v>
      </c>
      <c r="Q234" s="7">
        <v>370383.11199999996</v>
      </c>
      <c r="R234" s="7">
        <v>769081.91300000006</v>
      </c>
      <c r="S234" s="7">
        <v>816506.68799999985</v>
      </c>
      <c r="T234" s="7">
        <v>789334.78999999969</v>
      </c>
      <c r="U234" s="7">
        <v>727395.13299999991</v>
      </c>
      <c r="V234" s="7">
        <v>827987.18000000028</v>
      </c>
      <c r="W234" s="7">
        <v>768787.34000000032</v>
      </c>
      <c r="X234" s="16">
        <f>SUM(Q234:W234)</f>
        <v>5069476.1559999995</v>
      </c>
      <c r="Y234" s="28">
        <v>492676.61900000012</v>
      </c>
      <c r="Z234" s="28">
        <v>274952.71599999996</v>
      </c>
      <c r="AA234" s="7">
        <v>118669.29800000004</v>
      </c>
      <c r="AB234" s="16">
        <f t="shared" si="7"/>
        <v>886298.63300000015</v>
      </c>
      <c r="AC234" s="7">
        <v>5955774.7889999999</v>
      </c>
      <c r="AD234" s="8">
        <v>3.3208857535599518E-4</v>
      </c>
      <c r="AE234" s="8">
        <v>8.19158517904191E-5</v>
      </c>
      <c r="AF234" s="8">
        <v>6.7360134103396362E-5</v>
      </c>
      <c r="AG234" s="8">
        <v>6.081069858836454E-5</v>
      </c>
      <c r="AH234" s="8">
        <v>7.2862736627631527E-5</v>
      </c>
      <c r="AI234" s="8">
        <v>4.8309926730991156E-5</v>
      </c>
      <c r="AJ234" s="8">
        <v>1.1836823431561707E-4</v>
      </c>
      <c r="AK234" s="8">
        <v>3.3693500685487161E-4</v>
      </c>
      <c r="AL234" s="8">
        <v>1.1892953987041178E-3</v>
      </c>
      <c r="AM234" s="8">
        <v>5.5869547656715703E-3</v>
      </c>
      <c r="AN234" s="8">
        <v>2.7351605084340605E-4</v>
      </c>
    </row>
    <row r="235" spans="1:40" x14ac:dyDescent="0.2">
      <c r="A235" t="s">
        <v>268</v>
      </c>
      <c r="B235">
        <v>2016</v>
      </c>
      <c r="C235" t="s">
        <v>276</v>
      </c>
      <c r="D235" s="7">
        <v>124</v>
      </c>
      <c r="E235" s="7">
        <v>46</v>
      </c>
      <c r="F235" s="7">
        <v>68</v>
      </c>
      <c r="G235" s="7">
        <v>50</v>
      </c>
      <c r="H235" s="7">
        <v>33</v>
      </c>
      <c r="I235" s="7">
        <v>60</v>
      </c>
      <c r="J235" s="7">
        <v>92</v>
      </c>
      <c r="K235" s="16">
        <f>SUM(D235:J235)</f>
        <v>473</v>
      </c>
      <c r="L235" s="28">
        <v>172</v>
      </c>
      <c r="M235" s="28">
        <v>292</v>
      </c>
      <c r="N235" s="7">
        <v>492</v>
      </c>
      <c r="O235" s="16">
        <f t="shared" si="6"/>
        <v>956</v>
      </c>
      <c r="P235" s="7">
        <v>1429</v>
      </c>
      <c r="Q235" s="7">
        <v>381151.55500000011</v>
      </c>
      <c r="R235" s="7">
        <v>796909.43499999994</v>
      </c>
      <c r="S235" s="7">
        <v>849619.25300000049</v>
      </c>
      <c r="T235" s="7">
        <v>816824.25199999975</v>
      </c>
      <c r="U235" s="7">
        <v>748626.84799999977</v>
      </c>
      <c r="V235" s="7">
        <v>836979.71399999992</v>
      </c>
      <c r="W235" s="7">
        <v>809677.56299999973</v>
      </c>
      <c r="X235" s="16">
        <f>SUM(Q235:W235)</f>
        <v>5239788.62</v>
      </c>
      <c r="Y235" s="28">
        <v>534885.70900000003</v>
      </c>
      <c r="Z235" s="28">
        <v>288146.34699999995</v>
      </c>
      <c r="AA235" s="7">
        <v>122908.57199999999</v>
      </c>
      <c r="AB235" s="16">
        <f t="shared" si="7"/>
        <v>945940.62800000003</v>
      </c>
      <c r="AC235" s="7">
        <v>6185729.2479999997</v>
      </c>
      <c r="AD235" s="8">
        <v>3.2532990715464867E-4</v>
      </c>
      <c r="AE235" s="8">
        <v>5.7722995838291217E-5</v>
      </c>
      <c r="AF235" s="8">
        <v>8.0035851070808963E-5</v>
      </c>
      <c r="AG235" s="8">
        <v>6.1212678097613606E-5</v>
      </c>
      <c r="AH235" s="8">
        <v>4.4080706012830587E-5</v>
      </c>
      <c r="AI235" s="8">
        <v>7.1686325243481362E-5</v>
      </c>
      <c r="AJ235" s="8">
        <v>1.136254778496314E-4</v>
      </c>
      <c r="AK235" s="8">
        <v>3.2156402219375799E-4</v>
      </c>
      <c r="AL235" s="8">
        <v>1.0133739436231689E-3</v>
      </c>
      <c r="AM235" s="8">
        <v>4.0029754800177814E-3</v>
      </c>
      <c r="AN235" s="8">
        <v>2.3101560749074675E-4</v>
      </c>
    </row>
    <row r="236" spans="1:40" x14ac:dyDescent="0.2">
      <c r="A236" t="s">
        <v>268</v>
      </c>
      <c r="B236">
        <v>2017</v>
      </c>
      <c r="C236" t="s">
        <v>277</v>
      </c>
      <c r="D236" s="7">
        <v>105</v>
      </c>
      <c r="E236" s="7">
        <v>54</v>
      </c>
      <c r="F236" s="7">
        <v>46</v>
      </c>
      <c r="G236" s="7">
        <v>31</v>
      </c>
      <c r="H236" s="7">
        <v>56</v>
      </c>
      <c r="I236" s="7">
        <v>61</v>
      </c>
      <c r="J236" s="7">
        <v>59</v>
      </c>
      <c r="K236" s="16">
        <f>SUM(D236:J236)</f>
        <v>412</v>
      </c>
      <c r="L236" s="28">
        <v>171</v>
      </c>
      <c r="M236" s="28">
        <v>365</v>
      </c>
      <c r="N236" s="7">
        <v>566</v>
      </c>
      <c r="O236" s="16">
        <f t="shared" si="6"/>
        <v>1102</v>
      </c>
      <c r="P236" s="7">
        <v>1514</v>
      </c>
      <c r="Q236" s="7">
        <v>364764</v>
      </c>
      <c r="R236" s="7">
        <v>756130</v>
      </c>
      <c r="S236" s="7">
        <v>805328</v>
      </c>
      <c r="T236" s="7">
        <v>792812</v>
      </c>
      <c r="U236" s="7">
        <v>713426</v>
      </c>
      <c r="V236" s="7">
        <v>780347</v>
      </c>
      <c r="W236" s="7">
        <v>775162</v>
      </c>
      <c r="X236" s="16">
        <f>SUM(Q236:W236)</f>
        <v>4987969</v>
      </c>
      <c r="Y236" s="28">
        <v>519174</v>
      </c>
      <c r="Z236" s="28">
        <v>273580</v>
      </c>
      <c r="AA236" s="7">
        <v>116853</v>
      </c>
      <c r="AB236" s="16">
        <f t="shared" si="7"/>
        <v>909607</v>
      </c>
      <c r="AC236" s="7">
        <v>5897576</v>
      </c>
      <c r="AD236" s="8">
        <v>2.8785735434417871E-4</v>
      </c>
      <c r="AE236" s="8">
        <v>7.1416290849457103E-5</v>
      </c>
      <c r="AF236" s="8">
        <v>5.711958357340115E-5</v>
      </c>
      <c r="AG236" s="8">
        <v>3.9101325408798049E-5</v>
      </c>
      <c r="AH236" s="8">
        <v>7.8494475951254927E-5</v>
      </c>
      <c r="AI236" s="8">
        <v>7.8170352420141293E-5</v>
      </c>
      <c r="AJ236" s="8">
        <v>7.6113122160271015E-5</v>
      </c>
      <c r="AK236" s="8">
        <v>3.2936934438165241E-4</v>
      </c>
      <c r="AL236" s="8">
        <v>1.3341618539366913E-3</v>
      </c>
      <c r="AM236" s="8">
        <v>4.8436925025459338E-3</v>
      </c>
      <c r="AN236" s="8">
        <v>2.5671564045974142E-4</v>
      </c>
    </row>
    <row r="237" spans="1:40" x14ac:dyDescent="0.2">
      <c r="A237" t="s">
        <v>278</v>
      </c>
      <c r="B237">
        <v>2009</v>
      </c>
      <c r="C237" t="s">
        <v>279</v>
      </c>
      <c r="D237" s="7">
        <v>130</v>
      </c>
      <c r="E237" s="7">
        <v>45</v>
      </c>
      <c r="F237" s="7">
        <v>46</v>
      </c>
      <c r="G237" s="7">
        <v>57</v>
      </c>
      <c r="H237" s="7">
        <v>64</v>
      </c>
      <c r="I237" s="7">
        <v>50</v>
      </c>
      <c r="J237" s="7">
        <v>54</v>
      </c>
      <c r="K237" s="16">
        <f>SUM(D237:J237)</f>
        <v>446</v>
      </c>
      <c r="L237" s="28">
        <v>55</v>
      </c>
      <c r="M237" s="28">
        <v>65</v>
      </c>
      <c r="N237" s="7">
        <v>87</v>
      </c>
      <c r="O237" s="16">
        <f t="shared" si="6"/>
        <v>207</v>
      </c>
      <c r="P237" s="7">
        <v>653</v>
      </c>
      <c r="Q237" s="7">
        <v>58516.93900000002</v>
      </c>
      <c r="R237" s="7">
        <v>116779.96800000005</v>
      </c>
      <c r="S237" s="7">
        <v>143007.90600000002</v>
      </c>
      <c r="T237" s="7">
        <v>111003.91000000003</v>
      </c>
      <c r="U237" s="7">
        <v>115050.35600000003</v>
      </c>
      <c r="V237" s="7">
        <v>146497.17299999998</v>
      </c>
      <c r="W237" s="7">
        <v>116649.73400000001</v>
      </c>
      <c r="X237" s="16">
        <f>SUM(Q237:W237)</f>
        <v>807505.98600000015</v>
      </c>
      <c r="Y237" s="28">
        <v>68054.577000000019</v>
      </c>
      <c r="Z237" s="28">
        <v>45973.603000000003</v>
      </c>
      <c r="AA237" s="7">
        <v>17810.500999999997</v>
      </c>
      <c r="AB237" s="16">
        <f t="shared" si="7"/>
        <v>131838.68100000001</v>
      </c>
      <c r="AC237" s="7">
        <v>939344.66700000025</v>
      </c>
      <c r="AD237" s="8">
        <v>2.2215789516946529E-3</v>
      </c>
      <c r="AE237" s="8">
        <v>3.8534006106252729E-4</v>
      </c>
      <c r="AF237" s="8">
        <v>3.2166053812437468E-4</v>
      </c>
      <c r="AG237" s="8">
        <v>5.1349542552149726E-4</v>
      </c>
      <c r="AH237" s="8">
        <v>5.5627815701847971E-4</v>
      </c>
      <c r="AI237" s="8">
        <v>3.4130351443710115E-4</v>
      </c>
      <c r="AJ237" s="8">
        <v>4.6292433037181202E-4</v>
      </c>
      <c r="AK237" s="8">
        <v>8.0817488587137912E-4</v>
      </c>
      <c r="AL237" s="8">
        <v>1.4138548157733035E-3</v>
      </c>
      <c r="AM237" s="8">
        <v>4.8847587162202805E-3</v>
      </c>
      <c r="AN237" s="8">
        <v>6.9516549456281722E-4</v>
      </c>
    </row>
    <row r="238" spans="1:40" x14ac:dyDescent="0.2">
      <c r="A238" t="s">
        <v>278</v>
      </c>
      <c r="B238">
        <v>2010</v>
      </c>
      <c r="C238" t="s">
        <v>280</v>
      </c>
      <c r="D238" s="7">
        <v>120</v>
      </c>
      <c r="E238" s="7">
        <v>58</v>
      </c>
      <c r="F238" s="7">
        <v>66</v>
      </c>
      <c r="G238" s="7">
        <v>48</v>
      </c>
      <c r="H238" s="7">
        <v>48</v>
      </c>
      <c r="I238" s="7">
        <v>64</v>
      </c>
      <c r="J238" s="7">
        <v>46</v>
      </c>
      <c r="K238" s="16">
        <f>SUM(D238:J238)</f>
        <v>450</v>
      </c>
      <c r="L238" s="28">
        <v>51</v>
      </c>
      <c r="M238" s="28">
        <v>75</v>
      </c>
      <c r="N238" s="7">
        <v>93</v>
      </c>
      <c r="O238" s="16">
        <f t="shared" si="6"/>
        <v>219</v>
      </c>
      <c r="P238" s="7">
        <v>669</v>
      </c>
      <c r="Q238" s="7">
        <v>57620.566999999995</v>
      </c>
      <c r="R238" s="7">
        <v>117520.73600000002</v>
      </c>
      <c r="S238" s="7">
        <v>133208.17300000004</v>
      </c>
      <c r="T238" s="7">
        <v>111918.81100000002</v>
      </c>
      <c r="U238" s="7">
        <v>113007.58199999997</v>
      </c>
      <c r="V238" s="7">
        <v>146682.57399999999</v>
      </c>
      <c r="W238" s="7">
        <v>124051.33700000006</v>
      </c>
      <c r="X238" s="16">
        <f>SUM(Q238:W238)</f>
        <v>804009.78</v>
      </c>
      <c r="Y238" s="28">
        <v>71833.939999999988</v>
      </c>
      <c r="Z238" s="28">
        <v>45056.373000000007</v>
      </c>
      <c r="AA238" s="7">
        <v>17196.359000000004</v>
      </c>
      <c r="AB238" s="16">
        <f t="shared" si="7"/>
        <v>134086.67199999999</v>
      </c>
      <c r="AC238" s="7">
        <v>938096.45200000005</v>
      </c>
      <c r="AD238" s="8">
        <v>2.0825897114132878E-3</v>
      </c>
      <c r="AE238" s="8">
        <v>4.9352992479556959E-4</v>
      </c>
      <c r="AF238" s="8">
        <v>4.9546509432270335E-4</v>
      </c>
      <c r="AG238" s="8">
        <v>4.2888232613550543E-4</v>
      </c>
      <c r="AH238" s="8">
        <v>4.2475026144705947E-4</v>
      </c>
      <c r="AI238" s="8">
        <v>4.3631631389288273E-4</v>
      </c>
      <c r="AJ238" s="8">
        <v>3.7081422185719756E-4</v>
      </c>
      <c r="AK238" s="8">
        <v>7.099708021027387E-4</v>
      </c>
      <c r="AL238" s="8">
        <v>1.6645813900732754E-3</v>
      </c>
      <c r="AM238" s="8">
        <v>5.4081215680598423E-3</v>
      </c>
      <c r="AN238" s="8">
        <v>7.1314628530329412E-4</v>
      </c>
    </row>
    <row r="239" spans="1:40" x14ac:dyDescent="0.2">
      <c r="A239" t="s">
        <v>278</v>
      </c>
      <c r="B239">
        <v>2011</v>
      </c>
      <c r="C239" t="s">
        <v>281</v>
      </c>
      <c r="D239" s="7">
        <v>118</v>
      </c>
      <c r="E239" s="7">
        <v>65</v>
      </c>
      <c r="F239" s="7">
        <v>63</v>
      </c>
      <c r="G239" s="7">
        <v>71</v>
      </c>
      <c r="H239" s="7">
        <v>57</v>
      </c>
      <c r="I239" s="7">
        <v>55</v>
      </c>
      <c r="J239" s="7">
        <v>34</v>
      </c>
      <c r="K239" s="16">
        <f>SUM(D239:J239)</f>
        <v>463</v>
      </c>
      <c r="L239" s="28">
        <v>68</v>
      </c>
      <c r="M239" s="28">
        <v>57</v>
      </c>
      <c r="N239" s="7">
        <v>68</v>
      </c>
      <c r="O239" s="16">
        <f t="shared" si="6"/>
        <v>193</v>
      </c>
      <c r="P239" s="7">
        <v>656</v>
      </c>
      <c r="Q239" s="7">
        <v>61237.816999999995</v>
      </c>
      <c r="R239" s="7">
        <v>124349.43099999998</v>
      </c>
      <c r="S239" s="7">
        <v>137954.67799999999</v>
      </c>
      <c r="T239" s="7">
        <v>122841.62899999999</v>
      </c>
      <c r="U239" s="7">
        <v>117625.018</v>
      </c>
      <c r="V239" s="7">
        <v>150899.33100000001</v>
      </c>
      <c r="W239" s="7">
        <v>134596.59500000003</v>
      </c>
      <c r="X239" s="16">
        <f>SUM(Q239:W239)</f>
        <v>849504.49900000007</v>
      </c>
      <c r="Y239" s="28">
        <v>78913.376999999993</v>
      </c>
      <c r="Z239" s="28">
        <v>47575.159000000007</v>
      </c>
      <c r="AA239" s="7">
        <v>19461.026999999998</v>
      </c>
      <c r="AB239" s="16">
        <f t="shared" si="7"/>
        <v>145949.56299999999</v>
      </c>
      <c r="AC239" s="7">
        <v>995454.06200000003</v>
      </c>
      <c r="AD239" s="8">
        <v>1.9269138872144971E-3</v>
      </c>
      <c r="AE239" s="8">
        <v>5.227205261598665E-4</v>
      </c>
      <c r="AF239" s="8">
        <v>4.5667171938888512E-4</v>
      </c>
      <c r="AG239" s="8">
        <v>5.7797996149985939E-4</v>
      </c>
      <c r="AH239" s="8">
        <v>4.8459078663010282E-4</v>
      </c>
      <c r="AI239" s="8">
        <v>3.6448140383074325E-4</v>
      </c>
      <c r="AJ239" s="8">
        <v>2.5260668741285759E-4</v>
      </c>
      <c r="AK239" s="8">
        <v>8.6170434703358354E-4</v>
      </c>
      <c r="AL239" s="8">
        <v>1.1981042459574332E-3</v>
      </c>
      <c r="AM239" s="8">
        <v>3.4941629750577913E-3</v>
      </c>
      <c r="AN239" s="8">
        <v>6.5899575383921631E-4</v>
      </c>
    </row>
    <row r="240" spans="1:40" x14ac:dyDescent="0.2">
      <c r="A240" t="s">
        <v>278</v>
      </c>
      <c r="B240">
        <v>2012</v>
      </c>
      <c r="C240" t="s">
        <v>282</v>
      </c>
      <c r="D240" s="7">
        <v>105</v>
      </c>
      <c r="E240" s="7">
        <v>67</v>
      </c>
      <c r="F240" s="7">
        <v>45</v>
      </c>
      <c r="G240" s="7">
        <v>56</v>
      </c>
      <c r="H240" s="7">
        <v>70</v>
      </c>
      <c r="I240" s="7">
        <v>38</v>
      </c>
      <c r="J240" s="7">
        <v>74</v>
      </c>
      <c r="K240" s="16">
        <f>SUM(D240:J240)</f>
        <v>455</v>
      </c>
      <c r="L240" s="28">
        <v>41</v>
      </c>
      <c r="M240" s="28">
        <v>53</v>
      </c>
      <c r="N240" s="7">
        <v>92</v>
      </c>
      <c r="O240" s="16">
        <f t="shared" si="6"/>
        <v>186</v>
      </c>
      <c r="P240" s="7">
        <v>641</v>
      </c>
      <c r="Q240" s="7">
        <v>58749.192999999977</v>
      </c>
      <c r="R240" s="7">
        <v>119702.79300000002</v>
      </c>
      <c r="S240" s="7">
        <v>132047.36499999999</v>
      </c>
      <c r="T240" s="7">
        <v>119134.93100000006</v>
      </c>
      <c r="U240" s="7">
        <v>112008.90999999999</v>
      </c>
      <c r="V240" s="7">
        <v>144575.198</v>
      </c>
      <c r="W240" s="7">
        <v>136812.84200000003</v>
      </c>
      <c r="X240" s="16">
        <f>SUM(Q240:W240)</f>
        <v>823031.23200000008</v>
      </c>
      <c r="Y240" s="28">
        <v>80537.611999999994</v>
      </c>
      <c r="Z240" s="28">
        <v>46816.699000000001</v>
      </c>
      <c r="AA240" s="7">
        <v>19603.517999999996</v>
      </c>
      <c r="AB240" s="16">
        <f t="shared" si="7"/>
        <v>146957.82899999997</v>
      </c>
      <c r="AC240" s="7">
        <v>969989.0610000001</v>
      </c>
      <c r="AD240" s="8">
        <v>1.787258592641435E-3</v>
      </c>
      <c r="AE240" s="8">
        <v>5.5971960487170912E-4</v>
      </c>
      <c r="AF240" s="8">
        <v>3.4078680782460147E-4</v>
      </c>
      <c r="AG240" s="8">
        <v>4.7005525188913714E-4</v>
      </c>
      <c r="AH240" s="8">
        <v>6.2495028297302423E-4</v>
      </c>
      <c r="AI240" s="8">
        <v>2.6283899676900321E-4</v>
      </c>
      <c r="AJ240" s="8">
        <v>5.4088489734026562E-4</v>
      </c>
      <c r="AK240" s="8">
        <v>5.0907891334051481E-4</v>
      </c>
      <c r="AL240" s="8">
        <v>1.1320746898451769E-3</v>
      </c>
      <c r="AM240" s="8">
        <v>4.6930351990902867E-3</v>
      </c>
      <c r="AN240" s="8">
        <v>6.6083219468389442E-4</v>
      </c>
    </row>
    <row r="241" spans="1:40" x14ac:dyDescent="0.2">
      <c r="A241" t="s">
        <v>278</v>
      </c>
      <c r="B241">
        <v>2013</v>
      </c>
      <c r="C241" t="s">
        <v>283</v>
      </c>
      <c r="D241" s="7">
        <v>101</v>
      </c>
      <c r="E241" s="7">
        <v>57</v>
      </c>
      <c r="F241" s="7">
        <v>40</v>
      </c>
      <c r="G241" s="7">
        <v>63</v>
      </c>
      <c r="H241" s="7">
        <v>49</v>
      </c>
      <c r="I241" s="7">
        <v>37</v>
      </c>
      <c r="J241" s="7">
        <v>47</v>
      </c>
      <c r="K241" s="16">
        <f>SUM(D241:J241)</f>
        <v>394</v>
      </c>
      <c r="L241" s="28">
        <v>64</v>
      </c>
      <c r="M241" s="28">
        <v>72</v>
      </c>
      <c r="N241" s="7">
        <v>96</v>
      </c>
      <c r="O241" s="16">
        <f t="shared" si="6"/>
        <v>232</v>
      </c>
      <c r="P241" s="7">
        <v>626</v>
      </c>
      <c r="Q241" s="7">
        <v>58206.162999999993</v>
      </c>
      <c r="R241" s="7">
        <v>119133.329</v>
      </c>
      <c r="S241" s="7">
        <v>131102.63099999999</v>
      </c>
      <c r="T241" s="7">
        <v>120919.78800000002</v>
      </c>
      <c r="U241" s="7">
        <v>110080.14600000001</v>
      </c>
      <c r="V241" s="7">
        <v>138613.44800000003</v>
      </c>
      <c r="W241" s="7">
        <v>137737.13799999998</v>
      </c>
      <c r="X241" s="16">
        <f>SUM(Q241:W241)</f>
        <v>815792.64300000016</v>
      </c>
      <c r="Y241" s="28">
        <v>81925.35100000001</v>
      </c>
      <c r="Z241" s="28">
        <v>46013.217999999986</v>
      </c>
      <c r="AA241" s="7">
        <v>19647.348999999998</v>
      </c>
      <c r="AB241" s="16">
        <f t="shared" si="7"/>
        <v>147585.91799999998</v>
      </c>
      <c r="AC241" s="7">
        <v>963378.56100000022</v>
      </c>
      <c r="AD241" s="8">
        <v>1.7352114414413472E-3</v>
      </c>
      <c r="AE241" s="8">
        <v>4.7845552943458837E-4</v>
      </c>
      <c r="AF241" s="8">
        <v>3.0510447955846135E-4</v>
      </c>
      <c r="AG241" s="8">
        <v>5.2100653699459014E-4</v>
      </c>
      <c r="AH241" s="8">
        <v>4.4513022357364968E-4</v>
      </c>
      <c r="AI241" s="8">
        <v>2.6692936748821077E-4</v>
      </c>
      <c r="AJ241" s="8">
        <v>3.4122968345690475E-4</v>
      </c>
      <c r="AK241" s="8">
        <v>7.8119897222045463E-4</v>
      </c>
      <c r="AL241" s="8">
        <v>1.5647677586905575E-3</v>
      </c>
      <c r="AM241" s="8">
        <v>4.8861553790284888E-3</v>
      </c>
      <c r="AN241" s="8">
        <v>6.4979648223664364E-4</v>
      </c>
    </row>
    <row r="242" spans="1:40" x14ac:dyDescent="0.2">
      <c r="A242" t="s">
        <v>278</v>
      </c>
      <c r="B242">
        <v>2014</v>
      </c>
      <c r="C242" t="s">
        <v>284</v>
      </c>
      <c r="D242" s="7">
        <v>109</v>
      </c>
      <c r="E242" s="7">
        <v>74</v>
      </c>
      <c r="F242" s="7">
        <v>54</v>
      </c>
      <c r="G242" s="7">
        <v>54</v>
      </c>
      <c r="H242" s="7">
        <v>42</v>
      </c>
      <c r="I242" s="7">
        <v>34</v>
      </c>
      <c r="J242" s="7">
        <v>52</v>
      </c>
      <c r="K242" s="16">
        <f>SUM(D242:J242)</f>
        <v>419</v>
      </c>
      <c r="L242" s="28">
        <v>49</v>
      </c>
      <c r="M242" s="28">
        <v>43</v>
      </c>
      <c r="N242" s="7">
        <v>90</v>
      </c>
      <c r="O242" s="16">
        <f t="shared" si="6"/>
        <v>182</v>
      </c>
      <c r="P242" s="7">
        <v>601</v>
      </c>
      <c r="Q242" s="7">
        <v>56386.606999999996</v>
      </c>
      <c r="R242" s="7">
        <v>114221.845</v>
      </c>
      <c r="S242" s="7">
        <v>126299.29699999996</v>
      </c>
      <c r="T242" s="7">
        <v>117366.951</v>
      </c>
      <c r="U242" s="7">
        <v>104472.91899999998</v>
      </c>
      <c r="V242" s="7">
        <v>126347.967</v>
      </c>
      <c r="W242" s="7">
        <v>131776.99</v>
      </c>
      <c r="X242" s="16">
        <f>SUM(Q242:W242)</f>
        <v>776872.57599999988</v>
      </c>
      <c r="Y242" s="28">
        <v>80406.40399999998</v>
      </c>
      <c r="Z242" s="28">
        <v>43139.957999999999</v>
      </c>
      <c r="AA242" s="7">
        <v>18422.037</v>
      </c>
      <c r="AB242" s="16">
        <f t="shared" si="7"/>
        <v>141968.39899999998</v>
      </c>
      <c r="AC242" s="7">
        <v>918840.97499999986</v>
      </c>
      <c r="AD242" s="8">
        <v>1.933083152174771E-3</v>
      </c>
      <c r="AE242" s="8">
        <v>6.4786206176235372E-4</v>
      </c>
      <c r="AF242" s="8">
        <v>4.2755582400430954E-4</v>
      </c>
      <c r="AG242" s="8">
        <v>4.6009544884573168E-4</v>
      </c>
      <c r="AH242" s="8">
        <v>4.0201805790455618E-4</v>
      </c>
      <c r="AI242" s="8">
        <v>2.6909811694872778E-4</v>
      </c>
      <c r="AJ242" s="8">
        <v>3.9460606893510018E-4</v>
      </c>
      <c r="AK242" s="8">
        <v>6.0940419621302816E-4</v>
      </c>
      <c r="AL242" s="8">
        <v>9.9675572238619252E-4</v>
      </c>
      <c r="AM242" s="8">
        <v>4.88545322105259E-3</v>
      </c>
      <c r="AN242" s="8">
        <v>6.540848921109554E-4</v>
      </c>
    </row>
    <row r="243" spans="1:40" x14ac:dyDescent="0.2">
      <c r="A243" t="s">
        <v>278</v>
      </c>
      <c r="B243">
        <v>2015</v>
      </c>
      <c r="C243" t="s">
        <v>285</v>
      </c>
      <c r="D243" s="7">
        <v>105</v>
      </c>
      <c r="E243" s="7">
        <v>58</v>
      </c>
      <c r="F243" s="7">
        <v>62</v>
      </c>
      <c r="G243" s="7">
        <v>61</v>
      </c>
      <c r="H243" s="7">
        <v>55</v>
      </c>
      <c r="I243" s="7">
        <v>54</v>
      </c>
      <c r="J243" s="7">
        <v>64</v>
      </c>
      <c r="K243" s="16">
        <f>SUM(D243:J243)</f>
        <v>459</v>
      </c>
      <c r="L243" s="28">
        <v>54</v>
      </c>
      <c r="M243" s="28">
        <v>61</v>
      </c>
      <c r="N243" s="7">
        <v>96</v>
      </c>
      <c r="O243" s="16">
        <f t="shared" si="6"/>
        <v>211</v>
      </c>
      <c r="P243" s="7">
        <v>670</v>
      </c>
      <c r="Q243" s="7">
        <v>63694.790000000037</v>
      </c>
      <c r="R243" s="7">
        <v>131752.16899999999</v>
      </c>
      <c r="S243" s="7">
        <v>143832.50000000003</v>
      </c>
      <c r="T243" s="7">
        <v>134179.96100000004</v>
      </c>
      <c r="U243" s="7">
        <v>120896.79300000002</v>
      </c>
      <c r="V243" s="7">
        <v>142572.43899999995</v>
      </c>
      <c r="W243" s="7">
        <v>154987.47799999997</v>
      </c>
      <c r="X243" s="16">
        <f>SUM(Q243:W243)</f>
        <v>891916.13</v>
      </c>
      <c r="Y243" s="28">
        <v>99994.296000000017</v>
      </c>
      <c r="Z243" s="28">
        <v>52447.585000000006</v>
      </c>
      <c r="AA243" s="7">
        <v>22696.687000000005</v>
      </c>
      <c r="AB243" s="16">
        <f t="shared" si="7"/>
        <v>175138.56800000003</v>
      </c>
      <c r="AC243" s="7">
        <v>1067054.6979999999</v>
      </c>
      <c r="AD243" s="8">
        <v>1.6484864774654244E-3</v>
      </c>
      <c r="AE243" s="8">
        <v>4.4022045663627747E-4</v>
      </c>
      <c r="AF243" s="8">
        <v>4.3105695861505564E-4</v>
      </c>
      <c r="AG243" s="8">
        <v>4.5461333827634653E-4</v>
      </c>
      <c r="AH243" s="8">
        <v>4.5493349025395563E-4</v>
      </c>
      <c r="AI243" s="8">
        <v>3.7875483072853948E-4</v>
      </c>
      <c r="AJ243" s="8">
        <v>4.1293658575436665E-4</v>
      </c>
      <c r="AK243" s="8">
        <v>5.4003080335702342E-4</v>
      </c>
      <c r="AL243" s="8">
        <v>1.1630659447904035E-3</v>
      </c>
      <c r="AM243" s="8">
        <v>4.2296922013331717E-3</v>
      </c>
      <c r="AN243" s="8">
        <v>6.2789658417304497E-4</v>
      </c>
    </row>
    <row r="244" spans="1:40" x14ac:dyDescent="0.2">
      <c r="A244" t="s">
        <v>278</v>
      </c>
      <c r="B244">
        <v>2016</v>
      </c>
      <c r="C244" t="s">
        <v>286</v>
      </c>
      <c r="D244" s="7">
        <v>99</v>
      </c>
      <c r="E244" s="7">
        <v>64</v>
      </c>
      <c r="F244" s="7">
        <v>52</v>
      </c>
      <c r="G244" s="7">
        <v>52</v>
      </c>
      <c r="H244" s="7">
        <v>58</v>
      </c>
      <c r="I244" s="7">
        <v>47</v>
      </c>
      <c r="J244" s="7">
        <v>50</v>
      </c>
      <c r="K244" s="16">
        <f>SUM(D244:J244)</f>
        <v>422</v>
      </c>
      <c r="L244" s="28">
        <v>65</v>
      </c>
      <c r="M244" s="28">
        <v>59</v>
      </c>
      <c r="N244" s="7">
        <v>65</v>
      </c>
      <c r="O244" s="16">
        <f t="shared" si="6"/>
        <v>189</v>
      </c>
      <c r="P244" s="7">
        <v>611</v>
      </c>
      <c r="Q244" s="7">
        <v>62210.553000000007</v>
      </c>
      <c r="R244" s="7">
        <v>128598.48000000001</v>
      </c>
      <c r="S244" s="7">
        <v>137165.63000000006</v>
      </c>
      <c r="T244" s="7">
        <v>130693.43199999997</v>
      </c>
      <c r="U244" s="7">
        <v>117865.26700000001</v>
      </c>
      <c r="V244" s="7">
        <v>132921.76500000001</v>
      </c>
      <c r="W244" s="7">
        <v>149490.027</v>
      </c>
      <c r="X244" s="16">
        <f>SUM(Q244:W244)</f>
        <v>858945.1540000001</v>
      </c>
      <c r="Y244" s="28">
        <v>99167.483999999982</v>
      </c>
      <c r="Z244" s="28">
        <v>50592.657000000007</v>
      </c>
      <c r="AA244" s="7">
        <v>21439.637999999999</v>
      </c>
      <c r="AB244" s="16">
        <f t="shared" si="7"/>
        <v>171199.77900000001</v>
      </c>
      <c r="AC244" s="7">
        <v>1030144.9330000001</v>
      </c>
      <c r="AD244" s="8">
        <v>1.5913698757829718E-3</v>
      </c>
      <c r="AE244" s="8">
        <v>4.9767306736440422E-4</v>
      </c>
      <c r="AF244" s="8">
        <v>3.7910371570487426E-4</v>
      </c>
      <c r="AG244" s="8">
        <v>3.9787768370793118E-4</v>
      </c>
      <c r="AH244" s="8">
        <v>4.9208729150038741E-4</v>
      </c>
      <c r="AI244" s="8">
        <v>3.5359145283693754E-4</v>
      </c>
      <c r="AJ244" s="8">
        <v>3.3447047273595044E-4</v>
      </c>
      <c r="AK244" s="8">
        <v>6.5545678258813157E-4</v>
      </c>
      <c r="AL244" s="8">
        <v>1.1661771391053843E-3</v>
      </c>
      <c r="AM244" s="8">
        <v>3.0317676072702348E-3</v>
      </c>
      <c r="AN244" s="8">
        <v>5.9312042454127175E-4</v>
      </c>
    </row>
    <row r="245" spans="1:40" x14ac:dyDescent="0.2">
      <c r="A245" t="s">
        <v>278</v>
      </c>
      <c r="B245">
        <v>2017</v>
      </c>
      <c r="C245" t="s">
        <v>287</v>
      </c>
      <c r="D245" s="7">
        <v>119</v>
      </c>
      <c r="E245" s="7">
        <v>42</v>
      </c>
      <c r="F245" s="7">
        <v>58</v>
      </c>
      <c r="G245" s="7">
        <v>44</v>
      </c>
      <c r="H245" s="7">
        <v>61</v>
      </c>
      <c r="I245" s="7">
        <v>47</v>
      </c>
      <c r="J245" s="7">
        <v>45</v>
      </c>
      <c r="K245" s="16">
        <f>SUM(D245:J245)</f>
        <v>416</v>
      </c>
      <c r="L245" s="28">
        <v>53</v>
      </c>
      <c r="M245" s="28">
        <v>60</v>
      </c>
      <c r="N245" s="7">
        <v>74</v>
      </c>
      <c r="O245" s="16">
        <f t="shared" si="6"/>
        <v>187</v>
      </c>
      <c r="P245" s="7">
        <v>603</v>
      </c>
      <c r="Q245" s="7">
        <v>56272</v>
      </c>
      <c r="R245" s="7">
        <v>115752</v>
      </c>
      <c r="S245" s="7">
        <v>127478</v>
      </c>
      <c r="T245" s="7">
        <v>119587</v>
      </c>
      <c r="U245" s="7">
        <v>107395</v>
      </c>
      <c r="V245" s="7">
        <v>114763</v>
      </c>
      <c r="W245" s="7">
        <v>129638</v>
      </c>
      <c r="X245" s="16">
        <f>SUM(Q245:W245)</f>
        <v>770885</v>
      </c>
      <c r="Y245" s="28">
        <v>89819</v>
      </c>
      <c r="Z245" s="28">
        <v>45137</v>
      </c>
      <c r="AA245" s="7">
        <v>18875</v>
      </c>
      <c r="AB245" s="16">
        <f t="shared" si="7"/>
        <v>153831</v>
      </c>
      <c r="AC245" s="7">
        <v>924716</v>
      </c>
      <c r="AD245" s="8">
        <v>2.1147284617571795E-3</v>
      </c>
      <c r="AE245" s="8">
        <v>3.6284470246734398E-4</v>
      </c>
      <c r="AF245" s="8">
        <v>4.5498046721787291E-4</v>
      </c>
      <c r="AG245" s="8">
        <v>3.6793296930268338E-4</v>
      </c>
      <c r="AH245" s="8">
        <v>5.679966478886354E-4</v>
      </c>
      <c r="AI245" s="8">
        <v>4.0953965999494612E-4</v>
      </c>
      <c r="AJ245" s="8">
        <v>3.4712044307996115E-4</v>
      </c>
      <c r="AK245" s="8">
        <v>5.9007559647736004E-4</v>
      </c>
      <c r="AL245" s="8">
        <v>1.3292863947537497E-3</v>
      </c>
      <c r="AM245" s="8">
        <v>3.9205298013245031E-3</v>
      </c>
      <c r="AN245" s="8">
        <v>6.5209210179125268E-4</v>
      </c>
    </row>
    <row r="246" spans="1:40" x14ac:dyDescent="0.2">
      <c r="A246" t="s">
        <v>288</v>
      </c>
      <c r="B246">
        <v>2009</v>
      </c>
      <c r="C246" t="s">
        <v>289</v>
      </c>
      <c r="D246" s="7">
        <v>110</v>
      </c>
      <c r="E246" s="7">
        <v>33</v>
      </c>
      <c r="F246" s="7">
        <v>70</v>
      </c>
      <c r="G246" s="7">
        <v>53</v>
      </c>
      <c r="H246" s="7">
        <v>38</v>
      </c>
      <c r="I246" s="7">
        <v>47</v>
      </c>
      <c r="J246" s="7">
        <v>51</v>
      </c>
      <c r="K246" s="16">
        <f>SUM(D246:J246)</f>
        <v>402</v>
      </c>
      <c r="L246" s="28">
        <v>53</v>
      </c>
      <c r="M246" s="28">
        <v>75</v>
      </c>
      <c r="N246" s="7">
        <v>127</v>
      </c>
      <c r="O246" s="16">
        <f t="shared" si="6"/>
        <v>255</v>
      </c>
      <c r="P246" s="7">
        <v>657</v>
      </c>
      <c r="Q246" s="7">
        <v>128807.69600000001</v>
      </c>
      <c r="R246" s="7">
        <v>234966.69200000007</v>
      </c>
      <c r="S246" s="7">
        <v>267905.40299999993</v>
      </c>
      <c r="T246" s="7">
        <v>220683.32500000007</v>
      </c>
      <c r="U246" s="7">
        <v>225037.19099999996</v>
      </c>
      <c r="V246" s="7">
        <v>249710.81600000005</v>
      </c>
      <c r="W246" s="7">
        <v>184180.802</v>
      </c>
      <c r="X246" s="16">
        <f>SUM(Q246:W246)</f>
        <v>1511291.925</v>
      </c>
      <c r="Y246" s="28">
        <v>112647.25299999998</v>
      </c>
      <c r="Z246" s="28">
        <v>83372.232999999978</v>
      </c>
      <c r="AA246" s="7">
        <v>36213.652999999984</v>
      </c>
      <c r="AB246" s="16">
        <f t="shared" si="7"/>
        <v>232233.13899999997</v>
      </c>
      <c r="AC246" s="7">
        <v>1743525.064</v>
      </c>
      <c r="AD246" s="8">
        <v>8.5398624007683509E-4</v>
      </c>
      <c r="AE246" s="8">
        <v>1.4044543811341564E-4</v>
      </c>
      <c r="AF246" s="8">
        <v>2.6128625707485273E-4</v>
      </c>
      <c r="AG246" s="8">
        <v>2.4016313874190533E-4</v>
      </c>
      <c r="AH246" s="8">
        <v>1.6886097729508189E-4</v>
      </c>
      <c r="AI246" s="8">
        <v>1.8821771821049188E-4</v>
      </c>
      <c r="AJ246" s="8">
        <v>2.7690182389367596E-4</v>
      </c>
      <c r="AK246" s="8">
        <v>4.7049527253008121E-4</v>
      </c>
      <c r="AL246" s="8">
        <v>8.9958007961715529E-4</v>
      </c>
      <c r="AM246" s="8">
        <v>3.5069646246403273E-3</v>
      </c>
      <c r="AN246" s="8">
        <v>3.7682280201507904E-4</v>
      </c>
    </row>
    <row r="247" spans="1:40" x14ac:dyDescent="0.2">
      <c r="A247" t="s">
        <v>288</v>
      </c>
      <c r="B247">
        <v>2010</v>
      </c>
      <c r="C247" t="s">
        <v>290</v>
      </c>
      <c r="D247" s="7">
        <v>87</v>
      </c>
      <c r="E247" s="7">
        <v>53</v>
      </c>
      <c r="F247" s="7">
        <v>50</v>
      </c>
      <c r="G247" s="7">
        <v>50</v>
      </c>
      <c r="H247" s="7">
        <v>49</v>
      </c>
      <c r="I247" s="7">
        <v>47</v>
      </c>
      <c r="J247" s="7">
        <v>39</v>
      </c>
      <c r="K247" s="16">
        <f>SUM(D247:J247)</f>
        <v>375</v>
      </c>
      <c r="L247" s="28">
        <v>69</v>
      </c>
      <c r="M247" s="28">
        <v>48</v>
      </c>
      <c r="N247" s="7">
        <v>140</v>
      </c>
      <c r="O247" s="16">
        <f t="shared" si="6"/>
        <v>257</v>
      </c>
      <c r="P247" s="7">
        <v>632</v>
      </c>
      <c r="Q247" s="7">
        <v>128861.07100000001</v>
      </c>
      <c r="R247" s="7">
        <v>244926.78199999992</v>
      </c>
      <c r="S247" s="7">
        <v>259376.90700000006</v>
      </c>
      <c r="T247" s="7">
        <v>234111.01999999993</v>
      </c>
      <c r="U247" s="7">
        <v>225902.64499999999</v>
      </c>
      <c r="V247" s="7">
        <v>257586.22200000004</v>
      </c>
      <c r="W247" s="7">
        <v>198797.91999999998</v>
      </c>
      <c r="X247" s="16">
        <f>SUM(Q247:W247)</f>
        <v>1549562.5669999998</v>
      </c>
      <c r="Y247" s="28">
        <v>118200.94400000005</v>
      </c>
      <c r="Z247" s="28">
        <v>84765.873999999967</v>
      </c>
      <c r="AA247" s="7">
        <v>37082.849000000002</v>
      </c>
      <c r="AB247" s="16">
        <f t="shared" si="7"/>
        <v>240049.66700000002</v>
      </c>
      <c r="AC247" s="7">
        <v>1789612.2339999999</v>
      </c>
      <c r="AD247" s="8">
        <v>6.7514571565216929E-4</v>
      </c>
      <c r="AE247" s="8">
        <v>2.1639119890122925E-4</v>
      </c>
      <c r="AF247" s="8">
        <v>1.9276966703901666E-4</v>
      </c>
      <c r="AG247" s="8">
        <v>2.1357388473212417E-4</v>
      </c>
      <c r="AH247" s="8">
        <v>2.1690759751839117E-4</v>
      </c>
      <c r="AI247" s="8">
        <v>1.8246317537899987E-4</v>
      </c>
      <c r="AJ247" s="8">
        <v>1.9617911495251058E-4</v>
      </c>
      <c r="AK247" s="8">
        <v>5.8375168306608425E-4</v>
      </c>
      <c r="AL247" s="8">
        <v>5.6626561769421526E-4</v>
      </c>
      <c r="AM247" s="8">
        <v>3.775330207234077E-3</v>
      </c>
      <c r="AN247" s="8">
        <v>3.5314912805854232E-4</v>
      </c>
    </row>
    <row r="248" spans="1:40" x14ac:dyDescent="0.2">
      <c r="A248" t="s">
        <v>288</v>
      </c>
      <c r="B248">
        <v>2011</v>
      </c>
      <c r="C248" t="s">
        <v>291</v>
      </c>
      <c r="D248" s="7">
        <v>129</v>
      </c>
      <c r="E248" s="7">
        <v>63</v>
      </c>
      <c r="F248" s="7">
        <v>69</v>
      </c>
      <c r="G248" s="7">
        <v>65</v>
      </c>
      <c r="H248" s="7">
        <v>75</v>
      </c>
      <c r="I248" s="7">
        <v>68</v>
      </c>
      <c r="J248" s="7">
        <v>46</v>
      </c>
      <c r="K248" s="16">
        <f>SUM(D248:J248)</f>
        <v>515</v>
      </c>
      <c r="L248" s="28">
        <v>75</v>
      </c>
      <c r="M248" s="28">
        <v>44</v>
      </c>
      <c r="N248" s="7">
        <v>194</v>
      </c>
      <c r="O248" s="16">
        <f t="shared" si="6"/>
        <v>313</v>
      </c>
      <c r="P248" s="7">
        <v>828</v>
      </c>
      <c r="Q248" s="7">
        <v>130091.44800000006</v>
      </c>
      <c r="R248" s="7">
        <v>247906.44799999992</v>
      </c>
      <c r="S248" s="7">
        <v>260632.15500000006</v>
      </c>
      <c r="T248" s="7">
        <v>239865.26300000004</v>
      </c>
      <c r="U248" s="7">
        <v>226434.36100000003</v>
      </c>
      <c r="V248" s="7">
        <v>259912.31800000003</v>
      </c>
      <c r="W248" s="7">
        <v>209475.11799999999</v>
      </c>
      <c r="X248" s="16">
        <f>SUM(Q248:W248)</f>
        <v>1574317.111</v>
      </c>
      <c r="Y248" s="28">
        <v>122299.64100000003</v>
      </c>
      <c r="Z248" s="28">
        <v>85172.567000000039</v>
      </c>
      <c r="AA248" s="7">
        <v>37748.618000000009</v>
      </c>
      <c r="AB248" s="16">
        <f t="shared" si="7"/>
        <v>245220.82600000009</v>
      </c>
      <c r="AC248" s="7">
        <v>1819537.9370000002</v>
      </c>
      <c r="AD248" s="8">
        <v>9.9161014796299253E-4</v>
      </c>
      <c r="AE248" s="8">
        <v>2.5412812175018546E-4</v>
      </c>
      <c r="AF248" s="8">
        <v>2.6474093344315086E-4</v>
      </c>
      <c r="AG248" s="8">
        <v>2.7098546570288501E-4</v>
      </c>
      <c r="AH248" s="8">
        <v>3.3122181487287608E-4</v>
      </c>
      <c r="AI248" s="8">
        <v>2.6162669212161002E-4</v>
      </c>
      <c r="AJ248" s="8">
        <v>2.195964868724886E-4</v>
      </c>
      <c r="AK248" s="8">
        <v>6.1324791623877282E-4</v>
      </c>
      <c r="AL248" s="8">
        <v>5.1659826103397802E-4</v>
      </c>
      <c r="AM248" s="8">
        <v>5.1392609922832127E-3</v>
      </c>
      <c r="AN248" s="8">
        <v>4.5506058607669469E-4</v>
      </c>
    </row>
    <row r="249" spans="1:40" x14ac:dyDescent="0.2">
      <c r="A249" t="s">
        <v>288</v>
      </c>
      <c r="B249">
        <v>2012</v>
      </c>
      <c r="C249" t="s">
        <v>292</v>
      </c>
      <c r="D249" s="7">
        <v>95</v>
      </c>
      <c r="E249" s="7">
        <v>60</v>
      </c>
      <c r="F249" s="7">
        <v>45</v>
      </c>
      <c r="G249" s="7">
        <v>68</v>
      </c>
      <c r="H249" s="7">
        <v>62</v>
      </c>
      <c r="I249" s="7">
        <v>56</v>
      </c>
      <c r="J249" s="7">
        <v>54</v>
      </c>
      <c r="K249" s="16">
        <f>SUM(D249:J249)</f>
        <v>440</v>
      </c>
      <c r="L249" s="28">
        <v>54</v>
      </c>
      <c r="M249" s="28">
        <v>71</v>
      </c>
      <c r="N249" s="7">
        <v>153</v>
      </c>
      <c r="O249" s="16">
        <f t="shared" si="6"/>
        <v>278</v>
      </c>
      <c r="P249" s="7">
        <v>718</v>
      </c>
      <c r="Q249" s="7">
        <v>126707.24600000001</v>
      </c>
      <c r="R249" s="7">
        <v>243158.37600000002</v>
      </c>
      <c r="S249" s="7">
        <v>254136.67200000002</v>
      </c>
      <c r="T249" s="7">
        <v>240413.64700000006</v>
      </c>
      <c r="U249" s="7">
        <v>218365.30499999993</v>
      </c>
      <c r="V249" s="7">
        <v>248317.57599999997</v>
      </c>
      <c r="W249" s="7">
        <v>208016.98099999988</v>
      </c>
      <c r="X249" s="16">
        <f>SUM(Q249:W249)</f>
        <v>1539115.8029999998</v>
      </c>
      <c r="Y249" s="28">
        <v>121086.64599999998</v>
      </c>
      <c r="Z249" s="28">
        <v>81159.295000000013</v>
      </c>
      <c r="AA249" s="7">
        <v>36155.097000000009</v>
      </c>
      <c r="AB249" s="16">
        <f t="shared" si="7"/>
        <v>238401.038</v>
      </c>
      <c r="AC249" s="7">
        <v>1777516.8409999998</v>
      </c>
      <c r="AD249" s="8">
        <v>7.4975980458134167E-4</v>
      </c>
      <c r="AE249" s="8">
        <v>2.4675275837506006E-4</v>
      </c>
      <c r="AF249" s="8">
        <v>1.7707007668692535E-4</v>
      </c>
      <c r="AG249" s="8">
        <v>2.828458402779439E-4</v>
      </c>
      <c r="AH249" s="8">
        <v>2.8392788863597184E-4</v>
      </c>
      <c r="AI249" s="8">
        <v>2.2551766533030271E-4</v>
      </c>
      <c r="AJ249" s="8">
        <v>2.5959419149535693E-4</v>
      </c>
      <c r="AK249" s="8">
        <v>4.4596164634042311E-4</v>
      </c>
      <c r="AL249" s="8">
        <v>8.7482277907909359E-4</v>
      </c>
      <c r="AM249" s="8">
        <v>4.2317684834312563E-3</v>
      </c>
      <c r="AN249" s="8">
        <v>4.0393428823777886E-4</v>
      </c>
    </row>
    <row r="250" spans="1:40" x14ac:dyDescent="0.2">
      <c r="A250" t="s">
        <v>288</v>
      </c>
      <c r="B250">
        <v>2013</v>
      </c>
      <c r="C250" t="s">
        <v>293</v>
      </c>
      <c r="D250" s="7">
        <v>107</v>
      </c>
      <c r="E250" s="7">
        <v>71</v>
      </c>
      <c r="F250" s="7">
        <v>54</v>
      </c>
      <c r="G250" s="7">
        <v>46</v>
      </c>
      <c r="H250" s="7">
        <v>69</v>
      </c>
      <c r="I250" s="7">
        <v>46</v>
      </c>
      <c r="J250" s="7">
        <v>59</v>
      </c>
      <c r="K250" s="16">
        <f>SUM(D250:J250)</f>
        <v>452</v>
      </c>
      <c r="L250" s="28">
        <v>53</v>
      </c>
      <c r="M250" s="28">
        <v>67</v>
      </c>
      <c r="N250" s="7">
        <v>213</v>
      </c>
      <c r="O250" s="16">
        <f t="shared" si="6"/>
        <v>333</v>
      </c>
      <c r="P250" s="7">
        <v>785</v>
      </c>
      <c r="Q250" s="7">
        <v>128246.51299999998</v>
      </c>
      <c r="R250" s="7">
        <v>250574.36100000006</v>
      </c>
      <c r="S250" s="7">
        <v>256240.74400000004</v>
      </c>
      <c r="T250" s="7">
        <v>245495.12399999995</v>
      </c>
      <c r="U250" s="7">
        <v>219685.79300000001</v>
      </c>
      <c r="V250" s="7">
        <v>248598.20099999997</v>
      </c>
      <c r="W250" s="7">
        <v>216533.492</v>
      </c>
      <c r="X250" s="16">
        <f>SUM(Q250:W250)</f>
        <v>1565374.2280000001</v>
      </c>
      <c r="Y250" s="28">
        <v>126549.02900000001</v>
      </c>
      <c r="Z250" s="28">
        <v>80981.023000000045</v>
      </c>
      <c r="AA250" s="7">
        <v>37526.907000000014</v>
      </c>
      <c r="AB250" s="16">
        <f t="shared" si="7"/>
        <v>245056.95900000006</v>
      </c>
      <c r="AC250" s="7">
        <v>1810431.1870000004</v>
      </c>
      <c r="AD250" s="8">
        <v>8.3433067688943729E-4</v>
      </c>
      <c r="AE250" s="8">
        <v>2.8334902149067031E-4</v>
      </c>
      <c r="AF250" s="8">
        <v>2.1073931942689017E-4</v>
      </c>
      <c r="AG250" s="8">
        <v>1.8737643033594432E-4</v>
      </c>
      <c r="AH250" s="8">
        <v>3.1408494403641296E-4</v>
      </c>
      <c r="AI250" s="8">
        <v>1.8503754176402913E-4</v>
      </c>
      <c r="AJ250" s="8">
        <v>2.7247516979959848E-4</v>
      </c>
      <c r="AK250" s="8">
        <v>4.1881000920204606E-4</v>
      </c>
      <c r="AL250" s="8">
        <v>8.2735432966807494E-4</v>
      </c>
      <c r="AM250" s="8">
        <v>5.6759274085658035E-3</v>
      </c>
      <c r="AN250" s="8">
        <v>4.3359836354829644E-4</v>
      </c>
    </row>
    <row r="251" spans="1:40" x14ac:dyDescent="0.2">
      <c r="A251" t="s">
        <v>288</v>
      </c>
      <c r="B251">
        <v>2014</v>
      </c>
      <c r="C251" t="s">
        <v>294</v>
      </c>
      <c r="D251" s="7">
        <v>120</v>
      </c>
      <c r="E251" s="7">
        <v>49</v>
      </c>
      <c r="F251" s="7">
        <v>55</v>
      </c>
      <c r="G251" s="7">
        <v>46</v>
      </c>
      <c r="H251" s="7">
        <v>64</v>
      </c>
      <c r="I251" s="7">
        <v>65</v>
      </c>
      <c r="J251" s="7">
        <v>60</v>
      </c>
      <c r="K251" s="16">
        <f>SUM(D251:J251)</f>
        <v>459</v>
      </c>
      <c r="L251" s="28">
        <v>60</v>
      </c>
      <c r="M251" s="28">
        <v>82</v>
      </c>
      <c r="N251" s="7">
        <v>160</v>
      </c>
      <c r="O251" s="16">
        <f t="shared" si="6"/>
        <v>302</v>
      </c>
      <c r="P251" s="7">
        <v>761</v>
      </c>
      <c r="Q251" s="7">
        <v>129020.321</v>
      </c>
      <c r="R251" s="7">
        <v>255818.63699999993</v>
      </c>
      <c r="S251" s="7">
        <v>256737.56899999987</v>
      </c>
      <c r="T251" s="7">
        <v>248802.95100000003</v>
      </c>
      <c r="U251" s="7">
        <v>223413.01299999992</v>
      </c>
      <c r="V251" s="7">
        <v>251811.48500000004</v>
      </c>
      <c r="W251" s="7">
        <v>230238.56400000001</v>
      </c>
      <c r="X251" s="16">
        <f>SUM(Q251:W251)</f>
        <v>1595842.5399999998</v>
      </c>
      <c r="Y251" s="28">
        <v>137035.69400000002</v>
      </c>
      <c r="Z251" s="28">
        <v>85142.43</v>
      </c>
      <c r="AA251" s="7">
        <v>39179.158999999992</v>
      </c>
      <c r="AB251" s="16">
        <f t="shared" si="7"/>
        <v>261357.283</v>
      </c>
      <c r="AC251" s="7">
        <v>1857199.8229999996</v>
      </c>
      <c r="AD251" s="8">
        <v>9.3008604435265664E-4</v>
      </c>
      <c r="AE251" s="8">
        <v>1.9154194774323661E-4</v>
      </c>
      <c r="AF251" s="8">
        <v>2.1422653573540702E-4</v>
      </c>
      <c r="AG251" s="8">
        <v>1.848852668954075E-4</v>
      </c>
      <c r="AH251" s="8">
        <v>2.8646496074962303E-4</v>
      </c>
      <c r="AI251" s="8">
        <v>2.5812960834570346E-4</v>
      </c>
      <c r="AJ251" s="8">
        <v>2.6059926259790255E-4</v>
      </c>
      <c r="AK251" s="8">
        <v>4.3784212892737271E-4</v>
      </c>
      <c r="AL251" s="8">
        <v>9.6309207994181058E-4</v>
      </c>
      <c r="AM251" s="8">
        <v>4.0838038407103134E-3</v>
      </c>
      <c r="AN251" s="8">
        <v>4.0975666192490269E-4</v>
      </c>
    </row>
    <row r="252" spans="1:40" x14ac:dyDescent="0.2">
      <c r="A252" t="s">
        <v>288</v>
      </c>
      <c r="B252">
        <v>2015</v>
      </c>
      <c r="C252" t="s">
        <v>295</v>
      </c>
      <c r="D252" s="7">
        <v>95</v>
      </c>
      <c r="E252" s="7">
        <v>38</v>
      </c>
      <c r="F252" s="7">
        <v>56</v>
      </c>
      <c r="G252" s="7">
        <v>38</v>
      </c>
      <c r="H252" s="7">
        <v>69</v>
      </c>
      <c r="I252" s="7">
        <v>58</v>
      </c>
      <c r="J252" s="7">
        <v>66</v>
      </c>
      <c r="K252" s="16">
        <f>SUM(D252:J252)</f>
        <v>420</v>
      </c>
      <c r="L252" s="28">
        <v>53</v>
      </c>
      <c r="M252" s="28">
        <v>84</v>
      </c>
      <c r="N252" s="7">
        <v>201</v>
      </c>
      <c r="O252" s="16">
        <f t="shared" si="6"/>
        <v>338</v>
      </c>
      <c r="P252" s="7">
        <v>758</v>
      </c>
      <c r="Q252" s="7">
        <v>130860.575</v>
      </c>
      <c r="R252" s="7">
        <v>263745.02100000007</v>
      </c>
      <c r="S252" s="7">
        <v>272831.72000000015</v>
      </c>
      <c r="T252" s="7">
        <v>257873.02899999992</v>
      </c>
      <c r="U252" s="7">
        <v>234152.83699999997</v>
      </c>
      <c r="V252" s="7">
        <v>252784.46199999985</v>
      </c>
      <c r="W252" s="7">
        <v>239952.31699999995</v>
      </c>
      <c r="X252" s="16">
        <f>SUM(Q252:W252)</f>
        <v>1652199.9610000001</v>
      </c>
      <c r="Y252" s="28">
        <v>150767.94899999999</v>
      </c>
      <c r="Z252" s="28">
        <v>86104.306000000041</v>
      </c>
      <c r="AA252" s="7">
        <v>40126.359000000011</v>
      </c>
      <c r="AB252" s="16">
        <f t="shared" si="7"/>
        <v>276998.61400000006</v>
      </c>
      <c r="AC252" s="7">
        <v>1929198.5750000002</v>
      </c>
      <c r="AD252" s="8">
        <v>7.2596349206015644E-4</v>
      </c>
      <c r="AE252" s="8">
        <v>1.4407854925913461E-4</v>
      </c>
      <c r="AF252" s="8">
        <v>2.0525472624664012E-4</v>
      </c>
      <c r="AG252" s="8">
        <v>1.473593424925412E-4</v>
      </c>
      <c r="AH252" s="8">
        <v>2.9467932519647419E-4</v>
      </c>
      <c r="AI252" s="8">
        <v>2.2944448223245634E-4</v>
      </c>
      <c r="AJ252" s="8">
        <v>2.7505464762817862E-4</v>
      </c>
      <c r="AK252" s="8">
        <v>3.5153360081856657E-4</v>
      </c>
      <c r="AL252" s="8">
        <v>9.7556096671866746E-4</v>
      </c>
      <c r="AM252" s="8">
        <v>5.00917613781006E-3</v>
      </c>
      <c r="AN252" s="8">
        <v>3.9290926803633986E-4</v>
      </c>
    </row>
    <row r="253" spans="1:40" x14ac:dyDescent="0.2">
      <c r="A253" t="s">
        <v>288</v>
      </c>
      <c r="B253">
        <v>2016</v>
      </c>
      <c r="C253" t="s">
        <v>296</v>
      </c>
      <c r="D253" s="7">
        <v>99</v>
      </c>
      <c r="E253" s="7">
        <v>35</v>
      </c>
      <c r="F253" s="7">
        <v>52</v>
      </c>
      <c r="G253" s="7">
        <v>56</v>
      </c>
      <c r="H253" s="7">
        <v>59</v>
      </c>
      <c r="I253" s="7">
        <v>55</v>
      </c>
      <c r="J253" s="7">
        <v>43</v>
      </c>
      <c r="K253" s="16">
        <f>SUM(D253:J253)</f>
        <v>399</v>
      </c>
      <c r="L253" s="28">
        <v>56</v>
      </c>
      <c r="M253" s="28">
        <v>53</v>
      </c>
      <c r="N253" s="7">
        <v>182</v>
      </c>
      <c r="O253" s="16">
        <f t="shared" si="6"/>
        <v>291</v>
      </c>
      <c r="P253" s="7">
        <v>690</v>
      </c>
      <c r="Q253" s="7">
        <v>133596.51399999994</v>
      </c>
      <c r="R253" s="7">
        <v>268824.45699999994</v>
      </c>
      <c r="S253" s="7">
        <v>270472.59699999983</v>
      </c>
      <c r="T253" s="7">
        <v>259860.84999999998</v>
      </c>
      <c r="U253" s="7">
        <v>233904.5339999999</v>
      </c>
      <c r="V253" s="7">
        <v>246746.46200000003</v>
      </c>
      <c r="W253" s="7">
        <v>242822.50799999997</v>
      </c>
      <c r="X253" s="16">
        <f>SUM(Q253:W253)</f>
        <v>1656227.9219999996</v>
      </c>
      <c r="Y253" s="28">
        <v>154255.802</v>
      </c>
      <c r="Z253" s="28">
        <v>87683.14899999999</v>
      </c>
      <c r="AA253" s="7">
        <v>41501.364999999991</v>
      </c>
      <c r="AB253" s="16">
        <f t="shared" si="7"/>
        <v>283440.31599999999</v>
      </c>
      <c r="AC253" s="7">
        <v>1939668.2379999994</v>
      </c>
      <c r="AD253" s="8">
        <v>7.4103729982056307E-4</v>
      </c>
      <c r="AE253" s="8">
        <v>1.3019648729356499E-4</v>
      </c>
      <c r="AF253" s="8">
        <v>1.9225607539088342E-4</v>
      </c>
      <c r="AG253" s="8">
        <v>2.1549994929978872E-4</v>
      </c>
      <c r="AH253" s="8">
        <v>2.522396594501243E-4</v>
      </c>
      <c r="AI253" s="8">
        <v>2.2290086574777308E-4</v>
      </c>
      <c r="AJ253" s="8">
        <v>1.7708407821897631E-4</v>
      </c>
      <c r="AK253" s="8">
        <v>3.6303334638913614E-4</v>
      </c>
      <c r="AL253" s="8">
        <v>6.0444909431799727E-4</v>
      </c>
      <c r="AM253" s="8">
        <v>4.3853979260682161E-3</v>
      </c>
      <c r="AN253" s="8">
        <v>3.5573093711709281E-4</v>
      </c>
    </row>
    <row r="254" spans="1:40" x14ac:dyDescent="0.2">
      <c r="A254" t="s">
        <v>288</v>
      </c>
      <c r="B254">
        <v>2017</v>
      </c>
      <c r="C254" t="s">
        <v>297</v>
      </c>
      <c r="D254" s="7">
        <v>58</v>
      </c>
      <c r="E254" s="7">
        <v>42</v>
      </c>
      <c r="F254" s="7">
        <v>46</v>
      </c>
      <c r="G254" s="7">
        <v>69</v>
      </c>
      <c r="H254" s="7">
        <v>67</v>
      </c>
      <c r="I254" s="7">
        <v>57</v>
      </c>
      <c r="J254" s="7">
        <v>59</v>
      </c>
      <c r="K254" s="16">
        <f>SUM(D254:J254)</f>
        <v>398</v>
      </c>
      <c r="L254" s="28">
        <v>65</v>
      </c>
      <c r="M254" s="28">
        <v>73</v>
      </c>
      <c r="N254" s="7">
        <v>216</v>
      </c>
      <c r="O254" s="16">
        <f t="shared" si="6"/>
        <v>354</v>
      </c>
      <c r="P254" s="7">
        <v>752</v>
      </c>
      <c r="Q254" s="7">
        <v>127388</v>
      </c>
      <c r="R254" s="7">
        <v>256136</v>
      </c>
      <c r="S254" s="7">
        <v>257819</v>
      </c>
      <c r="T254" s="7">
        <v>248172</v>
      </c>
      <c r="U254" s="7">
        <v>223639</v>
      </c>
      <c r="V254" s="7">
        <v>226855</v>
      </c>
      <c r="W254" s="7">
        <v>229877</v>
      </c>
      <c r="X254" s="16">
        <f>SUM(Q254:W254)</f>
        <v>1569886</v>
      </c>
      <c r="Y254" s="28">
        <v>149138</v>
      </c>
      <c r="Z254" s="28">
        <v>80321</v>
      </c>
      <c r="AA254" s="7">
        <v>37761</v>
      </c>
      <c r="AB254" s="16">
        <f t="shared" si="7"/>
        <v>267220</v>
      </c>
      <c r="AC254" s="7">
        <v>1837106</v>
      </c>
      <c r="AD254" s="8">
        <v>4.5530191226803154E-4</v>
      </c>
      <c r="AE254" s="8">
        <v>1.639753880750851E-4</v>
      </c>
      <c r="AF254" s="8">
        <v>1.7841974408402795E-4</v>
      </c>
      <c r="AG254" s="8">
        <v>2.7803297712876554E-4</v>
      </c>
      <c r="AH254" s="8">
        <v>2.9958996418334905E-4</v>
      </c>
      <c r="AI254" s="8">
        <v>2.5126181922373319E-4</v>
      </c>
      <c r="AJ254" s="8">
        <v>2.5665899589780622E-4</v>
      </c>
      <c r="AK254" s="8">
        <v>4.358379487454572E-4</v>
      </c>
      <c r="AL254" s="8">
        <v>9.0885322642895387E-4</v>
      </c>
      <c r="AM254" s="8">
        <v>5.7201874950345592E-3</v>
      </c>
      <c r="AN254" s="8">
        <v>4.0933947197385452E-4</v>
      </c>
    </row>
    <row r="255" spans="1:40" x14ac:dyDescent="0.2">
      <c r="A255" t="s">
        <v>298</v>
      </c>
      <c r="B255">
        <v>2009</v>
      </c>
      <c r="C255" t="s">
        <v>299</v>
      </c>
      <c r="D255" s="7">
        <v>118</v>
      </c>
      <c r="E255" s="7">
        <v>47</v>
      </c>
      <c r="F255" s="7">
        <v>64</v>
      </c>
      <c r="G255" s="7">
        <v>63</v>
      </c>
      <c r="H255" s="7">
        <v>60</v>
      </c>
      <c r="I255" s="7">
        <v>67</v>
      </c>
      <c r="J255" s="7">
        <v>58</v>
      </c>
      <c r="K255" s="16">
        <f>SUM(D255:J255)</f>
        <v>477</v>
      </c>
      <c r="L255" s="28">
        <v>91</v>
      </c>
      <c r="M255" s="28">
        <v>117</v>
      </c>
      <c r="N255" s="7">
        <v>152</v>
      </c>
      <c r="O255" s="16">
        <f t="shared" si="6"/>
        <v>360</v>
      </c>
      <c r="P255" s="7">
        <v>837</v>
      </c>
      <c r="Q255" s="7">
        <v>195159.26299999998</v>
      </c>
      <c r="R255" s="7">
        <v>355676.5610000001</v>
      </c>
      <c r="S255" s="7">
        <v>327975.00299999997</v>
      </c>
      <c r="T255" s="7">
        <v>376724.60199999996</v>
      </c>
      <c r="U255" s="7">
        <v>370811.63000000006</v>
      </c>
      <c r="V255" s="7">
        <v>346273.29500000004</v>
      </c>
      <c r="W255" s="7">
        <v>278050.35899999994</v>
      </c>
      <c r="X255" s="16">
        <f>SUM(Q255:W255)</f>
        <v>2250670.7130000005</v>
      </c>
      <c r="Y255" s="28">
        <v>164275.18400000001</v>
      </c>
      <c r="Z255" s="28">
        <v>94969.47199999998</v>
      </c>
      <c r="AA255" s="7">
        <v>28295.126999999993</v>
      </c>
      <c r="AB255" s="16">
        <f t="shared" si="7"/>
        <v>287539.783</v>
      </c>
      <c r="AC255" s="7">
        <v>2538210.4960000003</v>
      </c>
      <c r="AD255" s="8">
        <v>6.046343800755182E-4</v>
      </c>
      <c r="AE255" s="8">
        <v>1.321425282224318E-4</v>
      </c>
      <c r="AF255" s="8">
        <v>1.9513682266815929E-4</v>
      </c>
      <c r="AG255" s="8">
        <v>1.6723091527746841E-4</v>
      </c>
      <c r="AH255" s="8">
        <v>1.6180722271305243E-4</v>
      </c>
      <c r="AI255" s="8">
        <v>1.9348878751969595E-4</v>
      </c>
      <c r="AJ255" s="8">
        <v>2.0859530701055492E-4</v>
      </c>
      <c r="AK255" s="8">
        <v>5.5394855013524136E-4</v>
      </c>
      <c r="AL255" s="8">
        <v>1.2319748392409723E-3</v>
      </c>
      <c r="AM255" s="8">
        <v>5.3719497353731625E-3</v>
      </c>
      <c r="AN255" s="8">
        <v>3.2975988450092671E-4</v>
      </c>
    </row>
    <row r="256" spans="1:40" x14ac:dyDescent="0.2">
      <c r="A256" t="s">
        <v>298</v>
      </c>
      <c r="B256">
        <v>2010</v>
      </c>
      <c r="C256" t="s">
        <v>300</v>
      </c>
      <c r="D256" s="7">
        <v>104</v>
      </c>
      <c r="E256" s="7">
        <v>50</v>
      </c>
      <c r="F256" s="7">
        <v>49</v>
      </c>
      <c r="G256" s="7">
        <v>49</v>
      </c>
      <c r="H256" s="7">
        <v>52</v>
      </c>
      <c r="I256" s="7">
        <v>43</v>
      </c>
      <c r="J256" s="7">
        <v>29</v>
      </c>
      <c r="K256" s="16">
        <f>SUM(D256:J256)</f>
        <v>376</v>
      </c>
      <c r="L256" s="28">
        <v>63</v>
      </c>
      <c r="M256" s="28">
        <v>144</v>
      </c>
      <c r="N256" s="7">
        <v>117</v>
      </c>
      <c r="O256" s="16">
        <f t="shared" si="6"/>
        <v>324</v>
      </c>
      <c r="P256" s="7">
        <v>700</v>
      </c>
      <c r="Q256" s="7">
        <v>188938.50899999993</v>
      </c>
      <c r="R256" s="7">
        <v>358346.5199999999</v>
      </c>
      <c r="S256" s="7">
        <v>352832.17200000002</v>
      </c>
      <c r="T256" s="7">
        <v>380831.01599999995</v>
      </c>
      <c r="U256" s="7">
        <v>385294.76699999982</v>
      </c>
      <c r="V256" s="7">
        <v>365177.89699999988</v>
      </c>
      <c r="W256" s="7">
        <v>299854.80399999995</v>
      </c>
      <c r="X256" s="16">
        <f>SUM(Q256:W256)</f>
        <v>2331275.6849999991</v>
      </c>
      <c r="Y256" s="28">
        <v>181075.54400000002</v>
      </c>
      <c r="Z256" s="28">
        <v>92019.991999999998</v>
      </c>
      <c r="AA256" s="7">
        <v>28664.335999999996</v>
      </c>
      <c r="AB256" s="16">
        <f t="shared" si="7"/>
        <v>301759.87200000003</v>
      </c>
      <c r="AC256" s="7">
        <v>2633035.5569999996</v>
      </c>
      <c r="AD256" s="8">
        <v>5.5044363666487931E-4</v>
      </c>
      <c r="AE256" s="8">
        <v>1.395297490261661E-4</v>
      </c>
      <c r="AF256" s="8">
        <v>1.3887622469982696E-4</v>
      </c>
      <c r="AG256" s="8">
        <v>1.2866599079734622E-4</v>
      </c>
      <c r="AH256" s="8">
        <v>1.3496160460440415E-4</v>
      </c>
      <c r="AI256" s="8">
        <v>1.1775082871458678E-4</v>
      </c>
      <c r="AJ256" s="8">
        <v>9.6713474698907956E-5</v>
      </c>
      <c r="AK256" s="8">
        <v>3.4792108646101869E-4</v>
      </c>
      <c r="AL256" s="8">
        <v>1.5648773366552782E-3</v>
      </c>
      <c r="AM256" s="8">
        <v>4.0817272027511824E-3</v>
      </c>
      <c r="AN256" s="8">
        <v>2.6585284734914811E-4</v>
      </c>
    </row>
    <row r="257" spans="1:40" x14ac:dyDescent="0.2">
      <c r="A257" t="s">
        <v>298</v>
      </c>
      <c r="B257">
        <v>2011</v>
      </c>
      <c r="C257" t="s">
        <v>301</v>
      </c>
      <c r="D257" s="7">
        <v>122</v>
      </c>
      <c r="E257" s="7">
        <v>56</v>
      </c>
      <c r="F257" s="7">
        <v>48</v>
      </c>
      <c r="G257" s="7">
        <v>48</v>
      </c>
      <c r="H257" s="7">
        <v>42</v>
      </c>
      <c r="I257" s="7">
        <v>53</v>
      </c>
      <c r="J257" s="7">
        <v>64</v>
      </c>
      <c r="K257" s="16">
        <f>SUM(D257:J257)</f>
        <v>433</v>
      </c>
      <c r="L257" s="28">
        <v>92</v>
      </c>
      <c r="M257" s="28">
        <v>138</v>
      </c>
      <c r="N257" s="7">
        <v>111</v>
      </c>
      <c r="O257" s="16">
        <f t="shared" si="6"/>
        <v>341</v>
      </c>
      <c r="P257" s="7">
        <v>774</v>
      </c>
      <c r="Q257" s="7">
        <v>189268.04699999999</v>
      </c>
      <c r="R257" s="7">
        <v>362588.69300000003</v>
      </c>
      <c r="S257" s="7">
        <v>357540.35800000001</v>
      </c>
      <c r="T257" s="7">
        <v>385689.29200000007</v>
      </c>
      <c r="U257" s="7">
        <v>386021.32699999999</v>
      </c>
      <c r="V257" s="7">
        <v>369467.07900000014</v>
      </c>
      <c r="W257" s="7">
        <v>307405.85700000002</v>
      </c>
      <c r="X257" s="16">
        <f>SUM(Q257:W257)</f>
        <v>2357980.6530000004</v>
      </c>
      <c r="Y257" s="28">
        <v>191346.67499999999</v>
      </c>
      <c r="Z257" s="28">
        <v>94112.501999999993</v>
      </c>
      <c r="AA257" s="7">
        <v>29642.749999999996</v>
      </c>
      <c r="AB257" s="16">
        <f t="shared" si="7"/>
        <v>315101.92699999997</v>
      </c>
      <c r="AC257" s="7">
        <v>2673082.58</v>
      </c>
      <c r="AD257" s="8">
        <v>6.4458846558500184E-4</v>
      </c>
      <c r="AE257" s="8">
        <v>1.5444497051649649E-4</v>
      </c>
      <c r="AF257" s="8">
        <v>1.3425057878361244E-4</v>
      </c>
      <c r="AG257" s="8">
        <v>1.2445250878263944E-4</v>
      </c>
      <c r="AH257" s="8">
        <v>1.0880227868860727E-4</v>
      </c>
      <c r="AI257" s="8">
        <v>1.4344985795067272E-4</v>
      </c>
      <c r="AJ257" s="8">
        <v>2.0819382110861992E-4</v>
      </c>
      <c r="AK257" s="8">
        <v>4.8080271057754207E-4</v>
      </c>
      <c r="AL257" s="8">
        <v>1.466330158771042E-3</v>
      </c>
      <c r="AM257" s="8">
        <v>3.7445918479223424E-3</v>
      </c>
      <c r="AN257" s="8">
        <v>2.8955334406466409E-4</v>
      </c>
    </row>
    <row r="258" spans="1:40" x14ac:dyDescent="0.2">
      <c r="A258" t="s">
        <v>298</v>
      </c>
      <c r="B258">
        <v>2012</v>
      </c>
      <c r="C258" t="s">
        <v>302</v>
      </c>
      <c r="D258" s="7">
        <v>109</v>
      </c>
      <c r="E258" s="7">
        <v>42</v>
      </c>
      <c r="F258" s="7">
        <v>44</v>
      </c>
      <c r="G258" s="7">
        <v>49</v>
      </c>
      <c r="H258" s="7">
        <v>53</v>
      </c>
      <c r="I258" s="7">
        <v>64</v>
      </c>
      <c r="J258" s="7">
        <v>43</v>
      </c>
      <c r="K258" s="16">
        <f>SUM(D258:J258)</f>
        <v>404</v>
      </c>
      <c r="L258" s="28">
        <v>72</v>
      </c>
      <c r="M258" s="28">
        <v>161</v>
      </c>
      <c r="N258" s="7">
        <v>127</v>
      </c>
      <c r="O258" s="16">
        <f t="shared" si="6"/>
        <v>360</v>
      </c>
      <c r="P258" s="7">
        <v>764</v>
      </c>
      <c r="Q258" s="7">
        <v>184873.56100000005</v>
      </c>
      <c r="R258" s="7">
        <v>361516.19199999992</v>
      </c>
      <c r="S258" s="7">
        <v>363554.41999999993</v>
      </c>
      <c r="T258" s="7">
        <v>384475.72900000005</v>
      </c>
      <c r="U258" s="7">
        <v>381112.74900000001</v>
      </c>
      <c r="V258" s="7">
        <v>370639.60199999996</v>
      </c>
      <c r="W258" s="7">
        <v>313984.50000000006</v>
      </c>
      <c r="X258" s="16">
        <f>SUM(Q258:W258)</f>
        <v>2360156.753</v>
      </c>
      <c r="Y258" s="28">
        <v>198861.97</v>
      </c>
      <c r="Z258" s="28">
        <v>96376.457000000009</v>
      </c>
      <c r="AA258" s="7">
        <v>32581.690999999999</v>
      </c>
      <c r="AB258" s="16">
        <f t="shared" si="7"/>
        <v>327820.11800000002</v>
      </c>
      <c r="AC258" s="7">
        <v>2687976.8710000003</v>
      </c>
      <c r="AD258" s="8">
        <v>5.8959214833320586E-4</v>
      </c>
      <c r="AE258" s="8">
        <v>1.1617736889638406E-4</v>
      </c>
      <c r="AF258" s="8">
        <v>1.210272728908096E-4</v>
      </c>
      <c r="AG258" s="8">
        <v>1.2744627632918799E-4</v>
      </c>
      <c r="AH258" s="8">
        <v>1.3906645773217101E-4</v>
      </c>
      <c r="AI258" s="8">
        <v>1.7267447853562074E-4</v>
      </c>
      <c r="AJ258" s="8">
        <v>1.36949435402066E-4</v>
      </c>
      <c r="AK258" s="8">
        <v>3.6206017671453221E-4</v>
      </c>
      <c r="AL258" s="8">
        <v>1.6705324620928945E-3</v>
      </c>
      <c r="AM258" s="8">
        <v>3.8978946795609841E-3</v>
      </c>
      <c r="AN258" s="8">
        <v>2.8422863613248699E-4</v>
      </c>
    </row>
    <row r="259" spans="1:40" x14ac:dyDescent="0.2">
      <c r="A259" t="s">
        <v>298</v>
      </c>
      <c r="B259">
        <v>2013</v>
      </c>
      <c r="C259" t="s">
        <v>303</v>
      </c>
      <c r="D259" s="7">
        <v>95</v>
      </c>
      <c r="E259" s="7">
        <v>68</v>
      </c>
      <c r="F259" s="7">
        <v>59</v>
      </c>
      <c r="G259" s="7">
        <v>65</v>
      </c>
      <c r="H259" s="7">
        <v>66</v>
      </c>
      <c r="I259" s="7">
        <v>62</v>
      </c>
      <c r="J259" s="7">
        <v>63</v>
      </c>
      <c r="K259" s="16">
        <f>SUM(D259:J259)</f>
        <v>478</v>
      </c>
      <c r="L259" s="28">
        <v>98</v>
      </c>
      <c r="M259" s="28">
        <v>114</v>
      </c>
      <c r="N259" s="7">
        <v>130</v>
      </c>
      <c r="O259" s="16">
        <f t="shared" si="6"/>
        <v>342</v>
      </c>
      <c r="P259" s="7">
        <v>820</v>
      </c>
      <c r="Q259" s="7">
        <v>182623.70799999996</v>
      </c>
      <c r="R259" s="7">
        <v>366958.66699999996</v>
      </c>
      <c r="S259" s="7">
        <v>360805.538</v>
      </c>
      <c r="T259" s="7">
        <v>390637.24100000004</v>
      </c>
      <c r="U259" s="7">
        <v>381684.18300000002</v>
      </c>
      <c r="V259" s="7">
        <v>375757.26500000001</v>
      </c>
      <c r="W259" s="7">
        <v>322567.43699999992</v>
      </c>
      <c r="X259" s="16">
        <f>SUM(Q259:W259)</f>
        <v>2381034.0389999999</v>
      </c>
      <c r="Y259" s="28">
        <v>211643.97500000001</v>
      </c>
      <c r="Z259" s="28">
        <v>99278.626999999964</v>
      </c>
      <c r="AA259" s="7">
        <v>33530.402999999998</v>
      </c>
      <c r="AB259" s="16">
        <f t="shared" si="7"/>
        <v>344453.00499999995</v>
      </c>
      <c r="AC259" s="7">
        <v>2725487.0439999998</v>
      </c>
      <c r="AD259" s="8">
        <v>5.2019532973232596E-4</v>
      </c>
      <c r="AE259" s="8">
        <v>1.8530697355078414E-4</v>
      </c>
      <c r="AF259" s="8">
        <v>1.6352298894037486E-4</v>
      </c>
      <c r="AG259" s="8">
        <v>1.6639478569325651E-4</v>
      </c>
      <c r="AH259" s="8">
        <v>1.7291782824545285E-4</v>
      </c>
      <c r="AI259" s="8">
        <v>1.6500013645777414E-4</v>
      </c>
      <c r="AJ259" s="8">
        <v>1.9530799694452734E-4</v>
      </c>
      <c r="AK259" s="8">
        <v>4.6304176624919276E-4</v>
      </c>
      <c r="AL259" s="8">
        <v>1.1482834064576663E-3</v>
      </c>
      <c r="AM259" s="8">
        <v>3.877078363776302E-3</v>
      </c>
      <c r="AN259" s="8">
        <v>3.0086365730674892E-4</v>
      </c>
    </row>
    <row r="260" spans="1:40" x14ac:dyDescent="0.2">
      <c r="A260" t="s">
        <v>298</v>
      </c>
      <c r="B260">
        <v>2014</v>
      </c>
      <c r="C260" t="s">
        <v>304</v>
      </c>
      <c r="D260" s="7">
        <v>102</v>
      </c>
      <c r="E260" s="7">
        <v>73</v>
      </c>
      <c r="F260" s="7">
        <v>62</v>
      </c>
      <c r="G260" s="7">
        <v>40</v>
      </c>
      <c r="H260" s="7">
        <v>74</v>
      </c>
      <c r="I260" s="7">
        <v>50</v>
      </c>
      <c r="J260" s="7">
        <v>71</v>
      </c>
      <c r="K260" s="16">
        <f>SUM(D260:J260)</f>
        <v>472</v>
      </c>
      <c r="L260" s="28">
        <v>152</v>
      </c>
      <c r="M260" s="28">
        <v>174</v>
      </c>
      <c r="N260" s="7">
        <v>174</v>
      </c>
      <c r="O260" s="16">
        <f t="shared" ref="O260:O323" si="8">SUM(L260:N260)</f>
        <v>500</v>
      </c>
      <c r="P260" s="7">
        <v>972</v>
      </c>
      <c r="Q260" s="7">
        <v>180470.13899999997</v>
      </c>
      <c r="R260" s="7">
        <v>370742.07700000005</v>
      </c>
      <c r="S260" s="7">
        <v>363722.77500000002</v>
      </c>
      <c r="T260" s="7">
        <v>395077.07100000005</v>
      </c>
      <c r="U260" s="7">
        <v>381152.913</v>
      </c>
      <c r="V260" s="7">
        <v>379241.96200000006</v>
      </c>
      <c r="W260" s="7">
        <v>332337.93999999994</v>
      </c>
      <c r="X260" s="16">
        <f>SUM(Q260:W260)</f>
        <v>2402744.8770000003</v>
      </c>
      <c r="Y260" s="28">
        <v>225144.01800000001</v>
      </c>
      <c r="Z260" s="28">
        <v>102998.06</v>
      </c>
      <c r="AA260" s="7">
        <v>36500.082000000002</v>
      </c>
      <c r="AB260" s="16">
        <f t="shared" ref="AB260:AB323" si="9">SUM(Y260:AA260)</f>
        <v>364642.16</v>
      </c>
      <c r="AC260" s="7">
        <v>2767387.0370000005</v>
      </c>
      <c r="AD260" s="8">
        <v>5.6519045513673605E-4</v>
      </c>
      <c r="AE260" s="8">
        <v>1.969023872086685E-4</v>
      </c>
      <c r="AF260" s="8">
        <v>1.7045949349748583E-4</v>
      </c>
      <c r="AG260" s="8">
        <v>1.0124606801086666E-4</v>
      </c>
      <c r="AH260" s="8">
        <v>1.9414780125266942E-4</v>
      </c>
      <c r="AI260" s="8">
        <v>1.3184195054871063E-4</v>
      </c>
      <c r="AJ260" s="8">
        <v>2.1363796140759617E-4</v>
      </c>
      <c r="AK260" s="8">
        <v>6.7512342255524635E-4</v>
      </c>
      <c r="AL260" s="8">
        <v>1.6893522072163301E-3</v>
      </c>
      <c r="AM260" s="8">
        <v>4.7671125779936603E-3</v>
      </c>
      <c r="AN260" s="8">
        <v>3.5123384875492567E-4</v>
      </c>
    </row>
    <row r="261" spans="1:40" x14ac:dyDescent="0.2">
      <c r="A261" t="s">
        <v>298</v>
      </c>
      <c r="B261">
        <v>2015</v>
      </c>
      <c r="C261" t="s">
        <v>305</v>
      </c>
      <c r="D261" s="7">
        <v>111</v>
      </c>
      <c r="E261" s="7">
        <v>65</v>
      </c>
      <c r="F261" s="7">
        <v>58</v>
      </c>
      <c r="G261" s="7">
        <v>51</v>
      </c>
      <c r="H261" s="7">
        <v>41</v>
      </c>
      <c r="I261" s="7">
        <v>69</v>
      </c>
      <c r="J261" s="7">
        <v>64</v>
      </c>
      <c r="K261" s="16">
        <f>SUM(D261:J261)</f>
        <v>459</v>
      </c>
      <c r="L261" s="28">
        <v>121</v>
      </c>
      <c r="M261" s="28">
        <v>169</v>
      </c>
      <c r="N261" s="7">
        <v>171</v>
      </c>
      <c r="O261" s="16">
        <f t="shared" si="8"/>
        <v>461</v>
      </c>
      <c r="P261" s="7">
        <v>920</v>
      </c>
      <c r="Q261" s="7">
        <v>187093.74999999994</v>
      </c>
      <c r="R261" s="7">
        <v>387047.14999999997</v>
      </c>
      <c r="S261" s="7">
        <v>375336.86600000004</v>
      </c>
      <c r="T261" s="7">
        <v>411755.55800000002</v>
      </c>
      <c r="U261" s="7">
        <v>394541.11299999995</v>
      </c>
      <c r="V261" s="7">
        <v>393081.49400000001</v>
      </c>
      <c r="W261" s="7">
        <v>348747.56200000003</v>
      </c>
      <c r="X261" s="16">
        <f>SUM(Q261:W261)</f>
        <v>2497603.4929999998</v>
      </c>
      <c r="Y261" s="28">
        <v>241844.30899999998</v>
      </c>
      <c r="Z261" s="28">
        <v>111420.5</v>
      </c>
      <c r="AA261" s="7">
        <v>37972.133000000002</v>
      </c>
      <c r="AB261" s="16">
        <f t="shared" si="9"/>
        <v>391236.94200000004</v>
      </c>
      <c r="AC261" s="7">
        <v>2888840.4349999996</v>
      </c>
      <c r="AD261" s="8">
        <v>5.9328545181226006E-4</v>
      </c>
      <c r="AE261" s="8">
        <v>1.6793819564360572E-4</v>
      </c>
      <c r="AF261" s="8">
        <v>1.5452785285418778E-4</v>
      </c>
      <c r="AG261" s="8">
        <v>1.2385989456394902E-4</v>
      </c>
      <c r="AH261" s="8">
        <v>1.0391819419843327E-4</v>
      </c>
      <c r="AI261" s="8">
        <v>1.7553611923536649E-4</v>
      </c>
      <c r="AJ261" s="8">
        <v>1.8351382768949648E-4</v>
      </c>
      <c r="AK261" s="8">
        <v>5.0032188270347105E-4</v>
      </c>
      <c r="AL261" s="8">
        <v>1.5167765357362425E-3</v>
      </c>
      <c r="AM261" s="8">
        <v>4.5033024613076117E-3</v>
      </c>
      <c r="AN261" s="8">
        <v>3.1846687994728241E-4</v>
      </c>
    </row>
    <row r="262" spans="1:40" x14ac:dyDescent="0.2">
      <c r="A262" t="s">
        <v>298</v>
      </c>
      <c r="B262">
        <v>2016</v>
      </c>
      <c r="C262" t="s">
        <v>306</v>
      </c>
      <c r="D262" s="7">
        <v>121</v>
      </c>
      <c r="E262" s="7">
        <v>57</v>
      </c>
      <c r="F262" s="7">
        <v>51</v>
      </c>
      <c r="G262" s="7">
        <v>56</v>
      </c>
      <c r="H262" s="7">
        <v>56</v>
      </c>
      <c r="I262" s="7">
        <v>60</v>
      </c>
      <c r="J262" s="7">
        <v>80</v>
      </c>
      <c r="K262" s="16">
        <f>SUM(D262:J262)</f>
        <v>481</v>
      </c>
      <c r="L262" s="28">
        <v>112</v>
      </c>
      <c r="M262" s="28">
        <v>152</v>
      </c>
      <c r="N262" s="7">
        <v>107</v>
      </c>
      <c r="O262" s="16">
        <f t="shared" si="8"/>
        <v>371</v>
      </c>
      <c r="P262" s="7">
        <v>852</v>
      </c>
      <c r="Q262" s="7">
        <v>185252.14199999996</v>
      </c>
      <c r="R262" s="7">
        <v>385965.69699999993</v>
      </c>
      <c r="S262" s="7">
        <v>375452.94000000006</v>
      </c>
      <c r="T262" s="7">
        <v>418954.84399999992</v>
      </c>
      <c r="U262" s="7">
        <v>395164.5799999999</v>
      </c>
      <c r="V262" s="7">
        <v>397617.23400000011</v>
      </c>
      <c r="W262" s="7">
        <v>358294.01400000002</v>
      </c>
      <c r="X262" s="16">
        <f>SUM(Q262:W262)</f>
        <v>2516701.4509999999</v>
      </c>
      <c r="Y262" s="28">
        <v>262381.64899999998</v>
      </c>
      <c r="Z262" s="28">
        <v>120551.361</v>
      </c>
      <c r="AA262" s="7">
        <v>39351.644999999997</v>
      </c>
      <c r="AB262" s="16">
        <f t="shared" si="9"/>
        <v>422284.65500000003</v>
      </c>
      <c r="AC262" s="7">
        <v>2938986.1059999997</v>
      </c>
      <c r="AD262" s="8">
        <v>6.5316383764134844E-4</v>
      </c>
      <c r="AE262" s="8">
        <v>1.4768151792515387E-4</v>
      </c>
      <c r="AF262" s="8">
        <v>1.3583593192798007E-4</v>
      </c>
      <c r="AG262" s="8">
        <v>1.3366595661082751E-4</v>
      </c>
      <c r="AH262" s="8">
        <v>1.4171310596713911E-4</v>
      </c>
      <c r="AI262" s="8">
        <v>1.5089889187247849E-4</v>
      </c>
      <c r="AJ262" s="8">
        <v>2.2328031413887923E-4</v>
      </c>
      <c r="AK262" s="8">
        <v>4.2685912077639244E-4</v>
      </c>
      <c r="AL262" s="8">
        <v>1.2608733633459352E-3</v>
      </c>
      <c r="AM262" s="8">
        <v>2.7190731162572749E-3</v>
      </c>
      <c r="AN262" s="8">
        <v>2.8989589241698853E-4</v>
      </c>
    </row>
    <row r="263" spans="1:40" x14ac:dyDescent="0.2">
      <c r="A263" t="s">
        <v>298</v>
      </c>
      <c r="B263">
        <v>2017</v>
      </c>
      <c r="C263" t="s">
        <v>307</v>
      </c>
      <c r="D263" s="7">
        <v>113</v>
      </c>
      <c r="E263" s="7">
        <v>51</v>
      </c>
      <c r="F263" s="7">
        <v>52</v>
      </c>
      <c r="G263" s="7">
        <v>58</v>
      </c>
      <c r="H263" s="7">
        <v>75</v>
      </c>
      <c r="I263" s="7">
        <v>40</v>
      </c>
      <c r="J263" s="7">
        <v>66</v>
      </c>
      <c r="K263" s="16">
        <f>SUM(D263:J263)</f>
        <v>455</v>
      </c>
      <c r="L263" s="28">
        <v>161</v>
      </c>
      <c r="M263" s="28">
        <v>134</v>
      </c>
      <c r="N263" s="7">
        <v>153</v>
      </c>
      <c r="O263" s="16">
        <f t="shared" si="8"/>
        <v>448</v>
      </c>
      <c r="P263" s="7">
        <v>903</v>
      </c>
      <c r="Q263" s="7">
        <v>179734</v>
      </c>
      <c r="R263" s="7">
        <v>373939</v>
      </c>
      <c r="S263" s="7">
        <v>359722</v>
      </c>
      <c r="T263" s="7">
        <v>414543</v>
      </c>
      <c r="U263" s="7">
        <v>385303</v>
      </c>
      <c r="V263" s="7">
        <v>385152</v>
      </c>
      <c r="W263" s="7">
        <v>351068</v>
      </c>
      <c r="X263" s="16">
        <f>SUM(Q263:W263)</f>
        <v>2449461</v>
      </c>
      <c r="Y263" s="28">
        <v>263281</v>
      </c>
      <c r="Z263" s="28">
        <v>119059</v>
      </c>
      <c r="AA263" s="7">
        <v>39350</v>
      </c>
      <c r="AB263" s="16">
        <f t="shared" si="9"/>
        <v>421690</v>
      </c>
      <c r="AC263" s="7">
        <v>2871151</v>
      </c>
      <c r="AD263" s="8">
        <v>6.2870686681429225E-4</v>
      </c>
      <c r="AE263" s="8">
        <v>1.3638588111964786E-4</v>
      </c>
      <c r="AF263" s="8">
        <v>1.4455607385703404E-4</v>
      </c>
      <c r="AG263" s="8">
        <v>1.3991310913463742E-4</v>
      </c>
      <c r="AH263" s="8">
        <v>1.9465200115233985E-4</v>
      </c>
      <c r="AI263" s="8">
        <v>1.0385510136257894E-4</v>
      </c>
      <c r="AJ263" s="8">
        <v>1.8799776681440632E-4</v>
      </c>
      <c r="AK263" s="8">
        <v>6.1151393378177689E-4</v>
      </c>
      <c r="AL263" s="8">
        <v>1.1254924029262803E-3</v>
      </c>
      <c r="AM263" s="8">
        <v>3.8881829733163915E-3</v>
      </c>
      <c r="AN263" s="8">
        <v>3.1450801438168873E-4</v>
      </c>
    </row>
    <row r="264" spans="1:40" x14ac:dyDescent="0.2">
      <c r="A264" t="s">
        <v>308</v>
      </c>
      <c r="B264">
        <v>2009</v>
      </c>
      <c r="C264" t="s">
        <v>309</v>
      </c>
      <c r="D264" s="7">
        <v>112</v>
      </c>
      <c r="E264" s="7">
        <v>45</v>
      </c>
      <c r="F264" s="7">
        <v>50</v>
      </c>
      <c r="G264" s="7">
        <v>49</v>
      </c>
      <c r="H264" s="7">
        <v>59</v>
      </c>
      <c r="I264" s="7">
        <v>53</v>
      </c>
      <c r="J264" s="7">
        <v>59</v>
      </c>
      <c r="K264" s="16">
        <f>SUM(D264:J264)</f>
        <v>427</v>
      </c>
      <c r="L264" s="28">
        <v>49</v>
      </c>
      <c r="M264" s="28">
        <v>64</v>
      </c>
      <c r="N264" s="7">
        <v>87</v>
      </c>
      <c r="O264" s="16">
        <f t="shared" si="8"/>
        <v>200</v>
      </c>
      <c r="P264" s="7">
        <v>627</v>
      </c>
      <c r="Q264" s="7">
        <v>75863.43299999999</v>
      </c>
      <c r="R264" s="7">
        <v>165634.94400000002</v>
      </c>
      <c r="S264" s="7">
        <v>184752.06599999999</v>
      </c>
      <c r="T264" s="7">
        <v>148506.95500000002</v>
      </c>
      <c r="U264" s="7">
        <v>197501.076</v>
      </c>
      <c r="V264" s="7">
        <v>217261.481</v>
      </c>
      <c r="W264" s="7">
        <v>157433.073</v>
      </c>
      <c r="X264" s="16">
        <f>SUM(Q264:W264)</f>
        <v>1146953.0280000002</v>
      </c>
      <c r="Y264" s="28">
        <v>87886.143999999986</v>
      </c>
      <c r="Z264" s="28">
        <v>57525.013999999996</v>
      </c>
      <c r="AA264" s="7">
        <v>23766.960000000003</v>
      </c>
      <c r="AB264" s="16">
        <f t="shared" si="9"/>
        <v>169178.11799999999</v>
      </c>
      <c r="AC264" s="7">
        <v>1316131.1460000002</v>
      </c>
      <c r="AD264" s="8">
        <v>1.4763370911516753E-3</v>
      </c>
      <c r="AE264" s="8">
        <v>2.7168180163721973E-4</v>
      </c>
      <c r="AF264" s="8">
        <v>2.7063296818558989E-4</v>
      </c>
      <c r="AG264" s="8">
        <v>3.2995087671146441E-4</v>
      </c>
      <c r="AH264" s="8">
        <v>2.9873254969000777E-4</v>
      </c>
      <c r="AI264" s="8">
        <v>2.4394568128714911E-4</v>
      </c>
      <c r="AJ264" s="8">
        <v>3.7476242364906386E-4</v>
      </c>
      <c r="AK264" s="8">
        <v>5.5753953660772745E-4</v>
      </c>
      <c r="AL264" s="8">
        <v>1.112559485861229E-3</v>
      </c>
      <c r="AM264" s="8">
        <v>3.6605438810853384E-3</v>
      </c>
      <c r="AN264" s="8">
        <v>4.7639629371707E-4</v>
      </c>
    </row>
    <row r="265" spans="1:40" x14ac:dyDescent="0.2">
      <c r="A265" t="s">
        <v>308</v>
      </c>
      <c r="B265">
        <v>2010</v>
      </c>
      <c r="C265" t="s">
        <v>310</v>
      </c>
      <c r="D265" s="7">
        <v>81</v>
      </c>
      <c r="E265" s="7">
        <v>74</v>
      </c>
      <c r="F265" s="7">
        <v>28</v>
      </c>
      <c r="G265" s="7">
        <v>61</v>
      </c>
      <c r="H265" s="7">
        <v>63</v>
      </c>
      <c r="I265" s="7">
        <v>57</v>
      </c>
      <c r="J265" s="7">
        <v>48</v>
      </c>
      <c r="K265" s="16">
        <f>SUM(D265:J265)</f>
        <v>412</v>
      </c>
      <c r="L265" s="28">
        <v>53</v>
      </c>
      <c r="M265" s="28">
        <v>48</v>
      </c>
      <c r="N265" s="7">
        <v>105</v>
      </c>
      <c r="O265" s="16">
        <f t="shared" si="8"/>
        <v>206</v>
      </c>
      <c r="P265" s="7">
        <v>618</v>
      </c>
      <c r="Q265" s="7">
        <v>72299.672999999995</v>
      </c>
      <c r="R265" s="7">
        <v>166228.61099999998</v>
      </c>
      <c r="S265" s="7">
        <v>179679.99300000002</v>
      </c>
      <c r="T265" s="7">
        <v>144228.57900000003</v>
      </c>
      <c r="U265" s="7">
        <v>192146.20799999998</v>
      </c>
      <c r="V265" s="7">
        <v>221676.63199999998</v>
      </c>
      <c r="W265" s="7">
        <v>166817.65400000004</v>
      </c>
      <c r="X265" s="16">
        <f>SUM(Q265:W265)</f>
        <v>1143077.3500000001</v>
      </c>
      <c r="Y265" s="28">
        <v>90483.390000000029</v>
      </c>
      <c r="Z265" s="28">
        <v>56783.514000000003</v>
      </c>
      <c r="AA265" s="7">
        <v>23051.814000000002</v>
      </c>
      <c r="AB265" s="16">
        <f t="shared" si="9"/>
        <v>170318.71800000005</v>
      </c>
      <c r="AC265" s="7">
        <v>1313396.0680000002</v>
      </c>
      <c r="AD265" s="8">
        <v>1.1203370172919039E-3</v>
      </c>
      <c r="AE265" s="8">
        <v>4.4517005559289676E-4</v>
      </c>
      <c r="AF265" s="8">
        <v>1.5583259734432424E-4</v>
      </c>
      <c r="AG265" s="8">
        <v>4.2293975592729087E-4</v>
      </c>
      <c r="AH265" s="8">
        <v>3.2787532294158004E-4</v>
      </c>
      <c r="AI265" s="8">
        <v>2.5713129744771659E-4</v>
      </c>
      <c r="AJ265" s="8">
        <v>2.8773933003517716E-4</v>
      </c>
      <c r="AK265" s="8">
        <v>5.8574286396652451E-4</v>
      </c>
      <c r="AL265" s="8">
        <v>8.4531577246170421E-4</v>
      </c>
      <c r="AM265" s="8">
        <v>4.5549560654966235E-3</v>
      </c>
      <c r="AN265" s="8">
        <v>4.7053589930497636E-4</v>
      </c>
    </row>
    <row r="266" spans="1:40" x14ac:dyDescent="0.2">
      <c r="A266" t="s">
        <v>308</v>
      </c>
      <c r="B266">
        <v>2011</v>
      </c>
      <c r="C266" t="s">
        <v>311</v>
      </c>
      <c r="D266" s="7">
        <v>108</v>
      </c>
      <c r="E266" s="7">
        <v>54</v>
      </c>
      <c r="F266" s="7">
        <v>61</v>
      </c>
      <c r="G266" s="7">
        <v>64</v>
      </c>
      <c r="H266" s="7">
        <v>64</v>
      </c>
      <c r="I266" s="7">
        <v>44</v>
      </c>
      <c r="J266" s="7">
        <v>52</v>
      </c>
      <c r="K266" s="16">
        <f>SUM(D266:J266)</f>
        <v>447</v>
      </c>
      <c r="L266" s="28">
        <v>39</v>
      </c>
      <c r="M266" s="28">
        <v>56</v>
      </c>
      <c r="N266" s="7">
        <v>121</v>
      </c>
      <c r="O266" s="16">
        <f t="shared" si="8"/>
        <v>216</v>
      </c>
      <c r="P266" s="7">
        <v>663</v>
      </c>
      <c r="Q266" s="7">
        <v>73138.479999999981</v>
      </c>
      <c r="R266" s="7">
        <v>167793.647</v>
      </c>
      <c r="S266" s="7">
        <v>183086.321</v>
      </c>
      <c r="T266" s="7">
        <v>147094.807</v>
      </c>
      <c r="U266" s="7">
        <v>188179.95399999997</v>
      </c>
      <c r="V266" s="7">
        <v>224788.50899999999</v>
      </c>
      <c r="W266" s="7">
        <v>173300.06800000003</v>
      </c>
      <c r="X266" s="16">
        <f>SUM(Q266:W266)</f>
        <v>1157381.7860000001</v>
      </c>
      <c r="Y266" s="28">
        <v>94939.10100000001</v>
      </c>
      <c r="Z266" s="28">
        <v>57630.631999999998</v>
      </c>
      <c r="AA266" s="7">
        <v>23463.38</v>
      </c>
      <c r="AB266" s="16">
        <f t="shared" si="9"/>
        <v>176033.11300000001</v>
      </c>
      <c r="AC266" s="7">
        <v>1333414.899</v>
      </c>
      <c r="AD266" s="8">
        <v>1.4766508683254017E-3</v>
      </c>
      <c r="AE266" s="8">
        <v>3.218238650000855E-4</v>
      </c>
      <c r="AF266" s="8">
        <v>3.3317617431397295E-4</v>
      </c>
      <c r="AG266" s="8">
        <v>4.3509353800640972E-4</v>
      </c>
      <c r="AH266" s="8">
        <v>3.4009998748325772E-4</v>
      </c>
      <c r="AI266" s="8">
        <v>1.9573954289629636E-4</v>
      </c>
      <c r="AJ266" s="8">
        <v>3.0005758566695997E-4</v>
      </c>
      <c r="AK266" s="8">
        <v>4.1078964925104984E-4</v>
      </c>
      <c r="AL266" s="8">
        <v>9.7170546385817876E-4</v>
      </c>
      <c r="AM266" s="8">
        <v>5.1569722691274652E-3</v>
      </c>
      <c r="AN266" s="8">
        <v>4.9721958296492679E-4</v>
      </c>
    </row>
    <row r="267" spans="1:40" x14ac:dyDescent="0.2">
      <c r="A267" t="s">
        <v>308</v>
      </c>
      <c r="B267">
        <v>2012</v>
      </c>
      <c r="C267" t="s">
        <v>312</v>
      </c>
      <c r="D267" s="7">
        <v>107</v>
      </c>
      <c r="E267" s="7">
        <v>70</v>
      </c>
      <c r="F267" s="7">
        <v>71</v>
      </c>
      <c r="G267" s="7">
        <v>62</v>
      </c>
      <c r="H267" s="7">
        <v>58</v>
      </c>
      <c r="I267" s="7">
        <v>46</v>
      </c>
      <c r="J267" s="7">
        <v>48</v>
      </c>
      <c r="K267" s="16">
        <f>SUM(D267:J267)</f>
        <v>462</v>
      </c>
      <c r="L267" s="28">
        <v>61</v>
      </c>
      <c r="M267" s="28">
        <v>56</v>
      </c>
      <c r="N267" s="7">
        <v>126</v>
      </c>
      <c r="O267" s="16">
        <f t="shared" si="8"/>
        <v>243</v>
      </c>
      <c r="P267" s="7">
        <v>705</v>
      </c>
      <c r="Q267" s="7">
        <v>69384.82699999999</v>
      </c>
      <c r="R267" s="7">
        <v>161671.59400000001</v>
      </c>
      <c r="S267" s="7">
        <v>178786.35499999998</v>
      </c>
      <c r="T267" s="7">
        <v>145685.83500000002</v>
      </c>
      <c r="U267" s="7">
        <v>179323.076</v>
      </c>
      <c r="V267" s="7">
        <v>223223.81800000003</v>
      </c>
      <c r="W267" s="7">
        <v>179230.81899999999</v>
      </c>
      <c r="X267" s="16">
        <f>SUM(Q267:W267)</f>
        <v>1137306.324</v>
      </c>
      <c r="Y267" s="28">
        <v>99044.56299999998</v>
      </c>
      <c r="Z267" s="28">
        <v>57766.875000000007</v>
      </c>
      <c r="AA267" s="7">
        <v>24345.947</v>
      </c>
      <c r="AB267" s="16">
        <f t="shared" si="9"/>
        <v>181157.38500000001</v>
      </c>
      <c r="AC267" s="7">
        <v>1318463.709</v>
      </c>
      <c r="AD267" s="8">
        <v>1.5421238997972858E-3</v>
      </c>
      <c r="AE267" s="8">
        <v>4.3297649431229087E-4</v>
      </c>
      <c r="AF267" s="8">
        <v>3.9712202869173104E-4</v>
      </c>
      <c r="AG267" s="8">
        <v>4.2557328926315992E-4</v>
      </c>
      <c r="AH267" s="8">
        <v>3.234385740739803E-4</v>
      </c>
      <c r="AI267" s="8">
        <v>2.0607119980359798E-4</v>
      </c>
      <c r="AJ267" s="8">
        <v>2.6781108443185768E-4</v>
      </c>
      <c r="AK267" s="8">
        <v>6.1588438731361773E-4</v>
      </c>
      <c r="AL267" s="8">
        <v>9.6941369946011431E-4</v>
      </c>
      <c r="AM267" s="8">
        <v>5.1753994206920765E-3</v>
      </c>
      <c r="AN267" s="8">
        <v>5.3471323873958824E-4</v>
      </c>
    </row>
    <row r="268" spans="1:40" x14ac:dyDescent="0.2">
      <c r="A268" t="s">
        <v>308</v>
      </c>
      <c r="B268">
        <v>2013</v>
      </c>
      <c r="C268" t="s">
        <v>313</v>
      </c>
      <c r="D268" s="7">
        <v>93</v>
      </c>
      <c r="E268" s="7">
        <v>38</v>
      </c>
      <c r="F268" s="7">
        <v>47</v>
      </c>
      <c r="G268" s="7">
        <v>50</v>
      </c>
      <c r="H268" s="7">
        <v>63</v>
      </c>
      <c r="I268" s="7">
        <v>54</v>
      </c>
      <c r="J268" s="7">
        <v>45</v>
      </c>
      <c r="K268" s="16">
        <f>SUM(D268:J268)</f>
        <v>390</v>
      </c>
      <c r="L268" s="28">
        <v>54</v>
      </c>
      <c r="M268" s="28">
        <v>72</v>
      </c>
      <c r="N268" s="7">
        <v>116</v>
      </c>
      <c r="O268" s="16">
        <f t="shared" si="8"/>
        <v>242</v>
      </c>
      <c r="P268" s="7">
        <v>632</v>
      </c>
      <c r="Q268" s="7">
        <v>68047.467999999993</v>
      </c>
      <c r="R268" s="7">
        <v>159088.83499999999</v>
      </c>
      <c r="S268" s="7">
        <v>178920.85900000003</v>
      </c>
      <c r="T268" s="7">
        <v>147078.234</v>
      </c>
      <c r="U268" s="7">
        <v>172304.95500000002</v>
      </c>
      <c r="V268" s="7">
        <v>221963.51199999996</v>
      </c>
      <c r="W268" s="7">
        <v>184648.23199999996</v>
      </c>
      <c r="X268" s="16">
        <f>SUM(Q268:W268)</f>
        <v>1132052.095</v>
      </c>
      <c r="Y268" s="28">
        <v>104007.094</v>
      </c>
      <c r="Z268" s="28">
        <v>57908.991000000002</v>
      </c>
      <c r="AA268" s="7">
        <v>24943.477000000003</v>
      </c>
      <c r="AB268" s="16">
        <f t="shared" si="9"/>
        <v>186859.56200000001</v>
      </c>
      <c r="AC268" s="7">
        <v>1318911.6569999999</v>
      </c>
      <c r="AD268" s="8">
        <v>1.3666930266971874E-3</v>
      </c>
      <c r="AE268" s="8">
        <v>2.3886025691243512E-4</v>
      </c>
      <c r="AF268" s="8">
        <v>2.62685973355404E-4</v>
      </c>
      <c r="AG268" s="8">
        <v>3.3995512891458844E-4</v>
      </c>
      <c r="AH268" s="8">
        <v>3.656308084697854E-4</v>
      </c>
      <c r="AI268" s="8">
        <v>2.4328322936249095E-4</v>
      </c>
      <c r="AJ268" s="8">
        <v>2.4370663890245107E-4</v>
      </c>
      <c r="AK268" s="8">
        <v>5.1919535411690287E-4</v>
      </c>
      <c r="AL268" s="8">
        <v>1.2433302455572054E-3</v>
      </c>
      <c r="AM268" s="8">
        <v>4.6505144411101941E-3</v>
      </c>
      <c r="AN268" s="8">
        <v>4.791829662325898E-4</v>
      </c>
    </row>
    <row r="269" spans="1:40" x14ac:dyDescent="0.2">
      <c r="A269" t="s">
        <v>308</v>
      </c>
      <c r="B269">
        <v>2014</v>
      </c>
      <c r="C269" t="s">
        <v>314</v>
      </c>
      <c r="D269" s="7">
        <v>96</v>
      </c>
      <c r="E269" s="7">
        <v>58</v>
      </c>
      <c r="F269" s="7">
        <v>49</v>
      </c>
      <c r="G269" s="7">
        <v>55</v>
      </c>
      <c r="H269" s="7">
        <v>52</v>
      </c>
      <c r="I269" s="7">
        <v>42</v>
      </c>
      <c r="J269" s="7">
        <v>55</v>
      </c>
      <c r="K269" s="16">
        <f>SUM(D269:J269)</f>
        <v>407</v>
      </c>
      <c r="L269" s="28">
        <v>47</v>
      </c>
      <c r="M269" s="28">
        <v>53</v>
      </c>
      <c r="N269" s="7">
        <v>77</v>
      </c>
      <c r="O269" s="16">
        <f t="shared" si="8"/>
        <v>177</v>
      </c>
      <c r="P269" s="7">
        <v>584</v>
      </c>
      <c r="Q269" s="7">
        <v>64619.513000000006</v>
      </c>
      <c r="R269" s="7">
        <v>151333.09699999998</v>
      </c>
      <c r="S269" s="7">
        <v>174621.723</v>
      </c>
      <c r="T269" s="7">
        <v>144657.85</v>
      </c>
      <c r="U269" s="7">
        <v>162287.33700000003</v>
      </c>
      <c r="V269" s="7">
        <v>211505.092</v>
      </c>
      <c r="W269" s="7">
        <v>182791.454</v>
      </c>
      <c r="X269" s="16">
        <f>SUM(Q269:W269)</f>
        <v>1091816.0659999999</v>
      </c>
      <c r="Y269" s="28">
        <v>105526.042</v>
      </c>
      <c r="Z269" s="28">
        <v>56334.345999999998</v>
      </c>
      <c r="AA269" s="7">
        <v>24367.115000000002</v>
      </c>
      <c r="AB269" s="16">
        <f t="shared" si="9"/>
        <v>186227.503</v>
      </c>
      <c r="AC269" s="7">
        <v>1278043.5689999997</v>
      </c>
      <c r="AD269" s="8">
        <v>1.4856193670168946E-3</v>
      </c>
      <c r="AE269" s="8">
        <v>3.8326051042225092E-4</v>
      </c>
      <c r="AF269" s="8">
        <v>2.8060655431741443E-4</v>
      </c>
      <c r="AG269" s="8">
        <v>3.8020750342964446E-4</v>
      </c>
      <c r="AH269" s="8">
        <v>3.204193313000138E-4</v>
      </c>
      <c r="AI269" s="8">
        <v>1.9857677941862505E-4</v>
      </c>
      <c r="AJ269" s="8">
        <v>3.008893402642336E-4</v>
      </c>
      <c r="AK269" s="8">
        <v>4.453876892303039E-4</v>
      </c>
      <c r="AL269" s="8">
        <v>9.4081149002777102E-4</v>
      </c>
      <c r="AM269" s="8">
        <v>3.1599965773543561E-3</v>
      </c>
      <c r="AN269" s="8">
        <v>4.569484281799161E-4</v>
      </c>
    </row>
    <row r="270" spans="1:40" x14ac:dyDescent="0.2">
      <c r="A270" t="s">
        <v>308</v>
      </c>
      <c r="B270">
        <v>2015</v>
      </c>
      <c r="C270" t="s">
        <v>315</v>
      </c>
      <c r="D270" s="7">
        <v>121</v>
      </c>
      <c r="E270" s="7">
        <v>60</v>
      </c>
      <c r="F270" s="7">
        <v>65</v>
      </c>
      <c r="G270" s="7">
        <v>56</v>
      </c>
      <c r="H270" s="7">
        <v>36</v>
      </c>
      <c r="I270" s="7">
        <v>55</v>
      </c>
      <c r="J270" s="7">
        <v>63</v>
      </c>
      <c r="K270" s="16">
        <f>SUM(D270:J270)</f>
        <v>456</v>
      </c>
      <c r="L270" s="28">
        <v>69</v>
      </c>
      <c r="M270" s="28">
        <v>57</v>
      </c>
      <c r="N270" s="7">
        <v>157</v>
      </c>
      <c r="O270" s="16">
        <f t="shared" si="8"/>
        <v>283</v>
      </c>
      <c r="P270" s="7">
        <v>739</v>
      </c>
      <c r="Q270" s="7">
        <v>62585.561000000009</v>
      </c>
      <c r="R270" s="7">
        <v>146657.34100000001</v>
      </c>
      <c r="S270" s="7">
        <v>171239.77600000001</v>
      </c>
      <c r="T270" s="7">
        <v>144131.30300000001</v>
      </c>
      <c r="U270" s="7">
        <v>154145.52100000001</v>
      </c>
      <c r="V270" s="7">
        <v>201829.31700000001</v>
      </c>
      <c r="W270" s="7">
        <v>180085.924</v>
      </c>
      <c r="X270" s="16">
        <f>SUM(Q270:W270)</f>
        <v>1060674.7430000002</v>
      </c>
      <c r="Y270" s="28">
        <v>105753.231</v>
      </c>
      <c r="Z270" s="28">
        <v>54450.631000000001</v>
      </c>
      <c r="AA270" s="7">
        <v>23990.132000000001</v>
      </c>
      <c r="AB270" s="16">
        <f t="shared" si="9"/>
        <v>184193.99400000001</v>
      </c>
      <c r="AC270" s="7">
        <v>1244868.7370000002</v>
      </c>
      <c r="AD270" s="8">
        <v>1.9333532857522837E-3</v>
      </c>
      <c r="AE270" s="8">
        <v>4.0911692241849657E-4</v>
      </c>
      <c r="AF270" s="8">
        <v>3.7958470583376609E-4</v>
      </c>
      <c r="AG270" s="8">
        <v>3.88534612775963E-4</v>
      </c>
      <c r="AH270" s="8">
        <v>2.3354554687320431E-4</v>
      </c>
      <c r="AI270" s="8">
        <v>2.7250748710604811E-4</v>
      </c>
      <c r="AJ270" s="8">
        <v>3.4983300527141701E-4</v>
      </c>
      <c r="AK270" s="8">
        <v>6.5246233469689447E-4</v>
      </c>
      <c r="AL270" s="8">
        <v>1.0468198247326095E-3</v>
      </c>
      <c r="AM270" s="8">
        <v>6.5443574883206138E-3</v>
      </c>
      <c r="AN270" s="8">
        <v>5.9363688558916703E-4</v>
      </c>
    </row>
    <row r="271" spans="1:40" x14ac:dyDescent="0.2">
      <c r="A271" t="s">
        <v>308</v>
      </c>
      <c r="B271">
        <v>2016</v>
      </c>
      <c r="C271" t="s">
        <v>316</v>
      </c>
      <c r="D271" s="7">
        <v>86</v>
      </c>
      <c r="E271" s="7">
        <v>61</v>
      </c>
      <c r="F271" s="7">
        <v>42</v>
      </c>
      <c r="G271" s="7">
        <v>52</v>
      </c>
      <c r="H271" s="7">
        <v>47</v>
      </c>
      <c r="I271" s="7">
        <v>48</v>
      </c>
      <c r="J271" s="7">
        <v>55</v>
      </c>
      <c r="K271" s="16">
        <f>SUM(D271:J271)</f>
        <v>391</v>
      </c>
      <c r="L271" s="28">
        <v>44</v>
      </c>
      <c r="M271" s="28">
        <v>55</v>
      </c>
      <c r="N271" s="7">
        <v>84</v>
      </c>
      <c r="O271" s="16">
        <f t="shared" si="8"/>
        <v>183</v>
      </c>
      <c r="P271" s="7">
        <v>574</v>
      </c>
      <c r="Q271" s="7">
        <v>64868.707000000002</v>
      </c>
      <c r="R271" s="7">
        <v>151531.22199999998</v>
      </c>
      <c r="S271" s="7">
        <v>178849.23400000003</v>
      </c>
      <c r="T271" s="7">
        <v>154721.16699999999</v>
      </c>
      <c r="U271" s="7">
        <v>158882.97700000001</v>
      </c>
      <c r="V271" s="7">
        <v>209898.07700000002</v>
      </c>
      <c r="W271" s="7">
        <v>197882.35100000002</v>
      </c>
      <c r="X271" s="16">
        <f>SUM(Q271:W271)</f>
        <v>1116633.7350000001</v>
      </c>
      <c r="Y271" s="28">
        <v>123489.546</v>
      </c>
      <c r="Z271" s="28">
        <v>59862.113000000005</v>
      </c>
      <c r="AA271" s="7">
        <v>27162.325000000001</v>
      </c>
      <c r="AB271" s="16">
        <f t="shared" si="9"/>
        <v>210513.98400000003</v>
      </c>
      <c r="AC271" s="7">
        <v>1327147.719</v>
      </c>
      <c r="AD271" s="8">
        <v>1.3257548050094477E-3</v>
      </c>
      <c r="AE271" s="8">
        <v>4.0255730267917995E-4</v>
      </c>
      <c r="AF271" s="8">
        <v>2.3483466526896053E-4</v>
      </c>
      <c r="AG271" s="8">
        <v>3.3608846810210527E-4</v>
      </c>
      <c r="AH271" s="8">
        <v>2.958152024052268E-4</v>
      </c>
      <c r="AI271" s="8">
        <v>2.2868241903902718E-4</v>
      </c>
      <c r="AJ271" s="8">
        <v>2.7794292781573021E-4</v>
      </c>
      <c r="AK271" s="8">
        <v>3.5630546410786868E-4</v>
      </c>
      <c r="AL271" s="8">
        <v>9.1877812599097523E-4</v>
      </c>
      <c r="AM271" s="8">
        <v>3.0925187737058592E-3</v>
      </c>
      <c r="AN271" s="8">
        <v>4.3250648875206333E-4</v>
      </c>
    </row>
    <row r="272" spans="1:40" x14ac:dyDescent="0.2">
      <c r="A272" t="s">
        <v>308</v>
      </c>
      <c r="B272">
        <v>2017</v>
      </c>
      <c r="C272" t="s">
        <v>317</v>
      </c>
      <c r="D272" s="7">
        <v>113</v>
      </c>
      <c r="E272" s="7">
        <v>53</v>
      </c>
      <c r="F272" s="7">
        <v>57</v>
      </c>
      <c r="G272" s="7">
        <v>61</v>
      </c>
      <c r="H272" s="7">
        <v>58</v>
      </c>
      <c r="I272" s="7">
        <v>70</v>
      </c>
      <c r="J272" s="7">
        <v>64</v>
      </c>
      <c r="K272" s="16">
        <f>SUM(D272:J272)</f>
        <v>476</v>
      </c>
      <c r="L272" s="28">
        <v>68</v>
      </c>
      <c r="M272" s="28">
        <v>54</v>
      </c>
      <c r="N272" s="7">
        <v>112</v>
      </c>
      <c r="O272" s="16">
        <f t="shared" si="8"/>
        <v>234</v>
      </c>
      <c r="P272" s="7">
        <v>710</v>
      </c>
      <c r="Q272" s="7">
        <v>67363</v>
      </c>
      <c r="R272" s="7">
        <v>155987</v>
      </c>
      <c r="S272" s="7">
        <v>184658</v>
      </c>
      <c r="T272" s="7">
        <v>162018</v>
      </c>
      <c r="U272" s="7">
        <v>161691</v>
      </c>
      <c r="V272" s="7">
        <v>210968</v>
      </c>
      <c r="W272" s="7">
        <v>207397</v>
      </c>
      <c r="X272" s="16">
        <f>SUM(Q272:W272)</f>
        <v>1150082</v>
      </c>
      <c r="Y272" s="28">
        <v>133240</v>
      </c>
      <c r="Z272" s="28">
        <v>62943</v>
      </c>
      <c r="AA272" s="7">
        <v>29117</v>
      </c>
      <c r="AB272" s="16">
        <f t="shared" si="9"/>
        <v>225300</v>
      </c>
      <c r="AC272" s="7">
        <v>1375382</v>
      </c>
      <c r="AD272" s="8">
        <v>1.6774787346169261E-3</v>
      </c>
      <c r="AE272" s="8">
        <v>3.3977190406892882E-4</v>
      </c>
      <c r="AF272" s="8">
        <v>3.0867874665598026E-4</v>
      </c>
      <c r="AG272" s="8">
        <v>3.7650137639027762E-4</v>
      </c>
      <c r="AH272" s="8">
        <v>3.5870889536214137E-4</v>
      </c>
      <c r="AI272" s="8">
        <v>3.3180387546926548E-4</v>
      </c>
      <c r="AJ272" s="8">
        <v>3.0858691302188554E-4</v>
      </c>
      <c r="AK272" s="8">
        <v>5.1035725007505248E-4</v>
      </c>
      <c r="AL272" s="8">
        <v>8.579190696344311E-4</v>
      </c>
      <c r="AM272" s="8">
        <v>3.846550125356321E-3</v>
      </c>
      <c r="AN272" s="8">
        <v>5.1622022100042029E-4</v>
      </c>
    </row>
    <row r="273" spans="1:40" x14ac:dyDescent="0.2">
      <c r="A273" t="s">
        <v>318</v>
      </c>
      <c r="B273">
        <v>2009</v>
      </c>
      <c r="C273" t="s">
        <v>319</v>
      </c>
      <c r="D273" s="7">
        <v>103</v>
      </c>
      <c r="E273" s="7">
        <v>45</v>
      </c>
      <c r="F273" s="7">
        <v>50</v>
      </c>
      <c r="G273" s="7">
        <v>71</v>
      </c>
      <c r="H273" s="7">
        <v>53</v>
      </c>
      <c r="I273" s="7">
        <v>70</v>
      </c>
      <c r="J273" s="7">
        <v>88</v>
      </c>
      <c r="K273" s="16">
        <f>SUM(D273:J273)</f>
        <v>480</v>
      </c>
      <c r="L273" s="28">
        <v>129</v>
      </c>
      <c r="M273" s="28">
        <v>363</v>
      </c>
      <c r="N273" s="7">
        <v>605</v>
      </c>
      <c r="O273" s="16">
        <f t="shared" si="8"/>
        <v>1097</v>
      </c>
      <c r="P273" s="7">
        <v>1577</v>
      </c>
      <c r="Q273" s="7">
        <v>561478.07100000011</v>
      </c>
      <c r="R273" s="7">
        <v>1146089.3670000001</v>
      </c>
      <c r="S273" s="7">
        <v>1100047.173</v>
      </c>
      <c r="T273" s="7">
        <v>1103869.0340000002</v>
      </c>
      <c r="U273" s="7">
        <v>1315711.2049999998</v>
      </c>
      <c r="V273" s="7">
        <v>1329099.5839999998</v>
      </c>
      <c r="W273" s="7">
        <v>953247.45</v>
      </c>
      <c r="X273" s="16">
        <f>SUM(Q273:W273)</f>
        <v>7509541.8840000005</v>
      </c>
      <c r="Y273" s="28">
        <v>577340.72400000016</v>
      </c>
      <c r="Z273" s="28">
        <v>402428.85099999997</v>
      </c>
      <c r="AA273" s="7">
        <v>161651.43399999998</v>
      </c>
      <c r="AB273" s="16">
        <f t="shared" si="9"/>
        <v>1141421.0090000001</v>
      </c>
      <c r="AC273" s="7">
        <v>8650962.8930000011</v>
      </c>
      <c r="AD273" s="8">
        <v>1.8344438602304732E-4</v>
      </c>
      <c r="AE273" s="8">
        <v>3.9263953837903457E-5</v>
      </c>
      <c r="AF273" s="8">
        <v>4.5452596240615946E-5</v>
      </c>
      <c r="AG273" s="8">
        <v>6.4319224303922257E-5</v>
      </c>
      <c r="AH273" s="8">
        <v>4.0282396166110027E-5</v>
      </c>
      <c r="AI273" s="8">
        <v>5.2667234902994302E-5</v>
      </c>
      <c r="AJ273" s="8">
        <v>9.2316008818067128E-5</v>
      </c>
      <c r="AK273" s="8">
        <v>2.2343824822584308E-4</v>
      </c>
      <c r="AL273" s="8">
        <v>9.0202280253509962E-4</v>
      </c>
      <c r="AM273" s="8">
        <v>3.7426206809894435E-3</v>
      </c>
      <c r="AN273" s="8">
        <v>1.8229184652682336E-4</v>
      </c>
    </row>
    <row r="274" spans="1:40" x14ac:dyDescent="0.2">
      <c r="A274" t="s">
        <v>318</v>
      </c>
      <c r="B274">
        <v>2010</v>
      </c>
      <c r="C274" t="s">
        <v>320</v>
      </c>
      <c r="D274" s="7">
        <v>121</v>
      </c>
      <c r="E274" s="7">
        <v>49</v>
      </c>
      <c r="F274" s="7">
        <v>77</v>
      </c>
      <c r="G274" s="7">
        <v>52</v>
      </c>
      <c r="H274" s="7">
        <v>40</v>
      </c>
      <c r="I274" s="7">
        <v>43</v>
      </c>
      <c r="J274" s="7">
        <v>71</v>
      </c>
      <c r="K274" s="16">
        <f>SUM(D274:J274)</f>
        <v>453</v>
      </c>
      <c r="L274" s="28">
        <v>114</v>
      </c>
      <c r="M274" s="28">
        <v>286</v>
      </c>
      <c r="N274" s="7">
        <v>546</v>
      </c>
      <c r="O274" s="16">
        <f t="shared" si="8"/>
        <v>946</v>
      </c>
      <c r="P274" s="7">
        <v>1399</v>
      </c>
      <c r="Q274" s="7">
        <v>547056.55200000003</v>
      </c>
      <c r="R274" s="7">
        <v>1156223.9809999999</v>
      </c>
      <c r="S274" s="7">
        <v>1127535.173</v>
      </c>
      <c r="T274" s="7">
        <v>1096904.2930000001</v>
      </c>
      <c r="U274" s="7">
        <v>1294285.4619999998</v>
      </c>
      <c r="V274" s="7">
        <v>1350560.2340000004</v>
      </c>
      <c r="W274" s="7">
        <v>993147.88700000034</v>
      </c>
      <c r="X274" s="16">
        <f>SUM(Q274:W274)</f>
        <v>7565713.5819999995</v>
      </c>
      <c r="Y274" s="28">
        <v>586230.98399999994</v>
      </c>
      <c r="Z274" s="28">
        <v>402941.603</v>
      </c>
      <c r="AA274" s="7">
        <v>166413.69899999999</v>
      </c>
      <c r="AB274" s="16">
        <f t="shared" si="9"/>
        <v>1155586.2859999998</v>
      </c>
      <c r="AC274" s="7">
        <v>8721299.8679999989</v>
      </c>
      <c r="AD274" s="8">
        <v>2.2118371411078538E-4</v>
      </c>
      <c r="AE274" s="8">
        <v>4.2379332037051047E-5</v>
      </c>
      <c r="AF274" s="8">
        <v>6.8290552564429852E-5</v>
      </c>
      <c r="AG274" s="8">
        <v>4.7406141385208344E-5</v>
      </c>
      <c r="AH274" s="8">
        <v>3.0905083286796591E-5</v>
      </c>
      <c r="AI274" s="8">
        <v>3.1838639193933198E-5</v>
      </c>
      <c r="AJ274" s="8">
        <v>7.1489856575609846E-5</v>
      </c>
      <c r="AK274" s="8">
        <v>1.9446259769852084E-4</v>
      </c>
      <c r="AL274" s="8">
        <v>7.0978027056689899E-4</v>
      </c>
      <c r="AM274" s="8">
        <v>3.280979890964385E-3</v>
      </c>
      <c r="AN274" s="8">
        <v>1.6041186763147313E-4</v>
      </c>
    </row>
    <row r="275" spans="1:40" x14ac:dyDescent="0.2">
      <c r="A275" t="s">
        <v>318</v>
      </c>
      <c r="B275">
        <v>2011</v>
      </c>
      <c r="C275" t="s">
        <v>321</v>
      </c>
      <c r="D275" s="7">
        <v>117</v>
      </c>
      <c r="E275" s="7">
        <v>64</v>
      </c>
      <c r="F275" s="7">
        <v>34</v>
      </c>
      <c r="G275" s="7">
        <v>55</v>
      </c>
      <c r="H275" s="7">
        <v>51</v>
      </c>
      <c r="I275" s="7">
        <v>70</v>
      </c>
      <c r="J275" s="7">
        <v>77</v>
      </c>
      <c r="K275" s="16">
        <f>SUM(D275:J275)</f>
        <v>468</v>
      </c>
      <c r="L275" s="28">
        <v>137</v>
      </c>
      <c r="M275" s="28">
        <v>292</v>
      </c>
      <c r="N275" s="7">
        <v>603</v>
      </c>
      <c r="O275" s="16">
        <f t="shared" si="8"/>
        <v>1032</v>
      </c>
      <c r="P275" s="7">
        <v>1500</v>
      </c>
      <c r="Q275" s="7">
        <v>543388.18300000008</v>
      </c>
      <c r="R275" s="7">
        <v>1150384.0800000003</v>
      </c>
      <c r="S275" s="7">
        <v>1131399.8459999999</v>
      </c>
      <c r="T275" s="7">
        <v>1103400.0019999999</v>
      </c>
      <c r="U275" s="7">
        <v>1265709.344</v>
      </c>
      <c r="V275" s="7">
        <v>1361404.7469999997</v>
      </c>
      <c r="W275" s="7">
        <v>1021105.956</v>
      </c>
      <c r="X275" s="16">
        <f>SUM(Q275:W275)</f>
        <v>7576792.1579999998</v>
      </c>
      <c r="Y275" s="28">
        <v>600153.15600000008</v>
      </c>
      <c r="Z275" s="28">
        <v>400734.31099999999</v>
      </c>
      <c r="AA275" s="7">
        <v>172153.21099999998</v>
      </c>
      <c r="AB275" s="16">
        <f t="shared" si="9"/>
        <v>1173040.6780000001</v>
      </c>
      <c r="AC275" s="7">
        <v>8749832.8359999992</v>
      </c>
      <c r="AD275" s="8">
        <v>2.1531568712822007E-4</v>
      </c>
      <c r="AE275" s="8">
        <v>5.5633593260435231E-5</v>
      </c>
      <c r="AF275" s="8">
        <v>3.0051268011220856E-5</v>
      </c>
      <c r="AG275" s="8">
        <v>4.9845930669121028E-5</v>
      </c>
      <c r="AH275" s="8">
        <v>4.0293611042504872E-5</v>
      </c>
      <c r="AI275" s="8">
        <v>5.1417479007806055E-5</v>
      </c>
      <c r="AJ275" s="8">
        <v>7.5408432932497747E-5</v>
      </c>
      <c r="AK275" s="8">
        <v>2.2827506384053738E-4</v>
      </c>
      <c r="AL275" s="8">
        <v>7.286623380746652E-4</v>
      </c>
      <c r="AM275" s="8">
        <v>3.502693888178479E-3</v>
      </c>
      <c r="AN275" s="8">
        <v>1.714318465409366E-4</v>
      </c>
    </row>
    <row r="276" spans="1:40" x14ac:dyDescent="0.2">
      <c r="A276" t="s">
        <v>318</v>
      </c>
      <c r="B276">
        <v>2012</v>
      </c>
      <c r="C276" t="s">
        <v>322</v>
      </c>
      <c r="D276" s="7">
        <v>95</v>
      </c>
      <c r="E276" s="7">
        <v>49</v>
      </c>
      <c r="F276" s="7">
        <v>44</v>
      </c>
      <c r="G276" s="7">
        <v>53</v>
      </c>
      <c r="H276" s="7">
        <v>46</v>
      </c>
      <c r="I276" s="7">
        <v>49</v>
      </c>
      <c r="J276" s="7">
        <v>69</v>
      </c>
      <c r="K276" s="16">
        <f>SUM(D276:J276)</f>
        <v>405</v>
      </c>
      <c r="L276" s="28">
        <v>114</v>
      </c>
      <c r="M276" s="28">
        <v>283</v>
      </c>
      <c r="N276" s="7">
        <v>571</v>
      </c>
      <c r="O276" s="16">
        <f t="shared" si="8"/>
        <v>968</v>
      </c>
      <c r="P276" s="7">
        <v>1373</v>
      </c>
      <c r="Q276" s="7">
        <v>538329.97499999998</v>
      </c>
      <c r="R276" s="7">
        <v>1149042.6030000001</v>
      </c>
      <c r="S276" s="7">
        <v>1137600.6180000002</v>
      </c>
      <c r="T276" s="7">
        <v>1113213.6040000003</v>
      </c>
      <c r="U276" s="7">
        <v>1242357.8949999998</v>
      </c>
      <c r="V276" s="7">
        <v>1366570.034</v>
      </c>
      <c r="W276" s="7">
        <v>1050462.6259999999</v>
      </c>
      <c r="X276" s="16">
        <f>SUM(Q276:W276)</f>
        <v>7597577.3550000004</v>
      </c>
      <c r="Y276" s="28">
        <v>622646.61100000003</v>
      </c>
      <c r="Z276" s="28">
        <v>397869.21799999994</v>
      </c>
      <c r="AA276" s="7">
        <v>177893.38400000002</v>
      </c>
      <c r="AB276" s="16">
        <f t="shared" si="9"/>
        <v>1198409.213</v>
      </c>
      <c r="AC276" s="7">
        <v>8795986.568</v>
      </c>
      <c r="AD276" s="8">
        <v>1.764716891345313E-4</v>
      </c>
      <c r="AE276" s="8">
        <v>4.2644197762613326E-5</v>
      </c>
      <c r="AF276" s="8">
        <v>3.8677897413026888E-5</v>
      </c>
      <c r="AG276" s="8">
        <v>4.7609910451651276E-5</v>
      </c>
      <c r="AH276" s="8">
        <v>3.7026367510627854E-5</v>
      </c>
      <c r="AI276" s="8">
        <v>3.5856193814359612E-5</v>
      </c>
      <c r="AJ276" s="8">
        <v>6.5685345001507945E-5</v>
      </c>
      <c r="AK276" s="8">
        <v>1.8308940896170716E-4</v>
      </c>
      <c r="AL276" s="8">
        <v>7.1128900451906799E-4</v>
      </c>
      <c r="AM276" s="8">
        <v>3.2097877231904246E-3</v>
      </c>
      <c r="AN276" s="8">
        <v>1.5609391730940169E-4</v>
      </c>
    </row>
    <row r="277" spans="1:40" x14ac:dyDescent="0.2">
      <c r="A277" t="s">
        <v>318</v>
      </c>
      <c r="B277">
        <v>2013</v>
      </c>
      <c r="C277" t="s">
        <v>323</v>
      </c>
      <c r="D277" s="7">
        <v>76</v>
      </c>
      <c r="E277" s="7">
        <v>58</v>
      </c>
      <c r="F277" s="7">
        <v>50</v>
      </c>
      <c r="G277" s="7">
        <v>62</v>
      </c>
      <c r="H277" s="7">
        <v>81</v>
      </c>
      <c r="I277" s="7">
        <v>67</v>
      </c>
      <c r="J277" s="7">
        <v>90</v>
      </c>
      <c r="K277" s="16">
        <f>SUM(D277:J277)</f>
        <v>484</v>
      </c>
      <c r="L277" s="28">
        <v>136</v>
      </c>
      <c r="M277" s="28">
        <v>334</v>
      </c>
      <c r="N277" s="7">
        <v>690</v>
      </c>
      <c r="O277" s="16">
        <f t="shared" si="8"/>
        <v>1160</v>
      </c>
      <c r="P277" s="7">
        <v>1644</v>
      </c>
      <c r="Q277" s="7">
        <v>538319.11199999996</v>
      </c>
      <c r="R277" s="7">
        <v>1142388.9810000001</v>
      </c>
      <c r="S277" s="7">
        <v>1143321.8849999998</v>
      </c>
      <c r="T277" s="7">
        <v>1122071.4100000001</v>
      </c>
      <c r="U277" s="7">
        <v>1216612.6679999998</v>
      </c>
      <c r="V277" s="7">
        <v>1369036.4140000001</v>
      </c>
      <c r="W277" s="7">
        <v>1078717.834</v>
      </c>
      <c r="X277" s="16">
        <f>SUM(Q277:W277)</f>
        <v>7610468.3039999995</v>
      </c>
      <c r="Y277" s="28">
        <v>643651.13800000015</v>
      </c>
      <c r="Z277" s="28">
        <v>393734.27300000016</v>
      </c>
      <c r="AA277" s="7">
        <v>184432.49400000004</v>
      </c>
      <c r="AB277" s="16">
        <f t="shared" si="9"/>
        <v>1221817.9050000003</v>
      </c>
      <c r="AC277" s="7">
        <v>8832286.2090000007</v>
      </c>
      <c r="AD277" s="8">
        <v>1.4118020019322666E-4</v>
      </c>
      <c r="AE277" s="8">
        <v>5.0770797832126492E-5</v>
      </c>
      <c r="AF277" s="8">
        <v>4.3732216321565479E-5</v>
      </c>
      <c r="AG277" s="8">
        <v>5.5254950306594114E-5</v>
      </c>
      <c r="AH277" s="8">
        <v>6.6578297374756586E-5</v>
      </c>
      <c r="AI277" s="8">
        <v>4.8939530983140086E-5</v>
      </c>
      <c r="AJ277" s="8">
        <v>8.3432383486486419E-5</v>
      </c>
      <c r="AK277" s="8">
        <v>2.1129458486252218E-4</v>
      </c>
      <c r="AL277" s="8">
        <v>8.4828785021719426E-4</v>
      </c>
      <c r="AM277" s="8">
        <v>3.7412062540346054E-3</v>
      </c>
      <c r="AN277" s="8">
        <v>1.8613527246487806E-4</v>
      </c>
    </row>
    <row r="278" spans="1:40" x14ac:dyDescent="0.2">
      <c r="A278" t="s">
        <v>318</v>
      </c>
      <c r="B278">
        <v>2014</v>
      </c>
      <c r="C278" t="s">
        <v>324</v>
      </c>
      <c r="D278" s="7">
        <v>113</v>
      </c>
      <c r="E278" s="7">
        <v>46</v>
      </c>
      <c r="F278" s="7">
        <v>37</v>
      </c>
      <c r="G278" s="7">
        <v>62</v>
      </c>
      <c r="H278" s="7">
        <v>47</v>
      </c>
      <c r="I278" s="7">
        <v>50</v>
      </c>
      <c r="J278" s="7">
        <v>73</v>
      </c>
      <c r="K278" s="16">
        <f>SUM(D278:J278)</f>
        <v>428</v>
      </c>
      <c r="L278" s="28">
        <v>137</v>
      </c>
      <c r="M278" s="28">
        <v>274</v>
      </c>
      <c r="N278" s="7">
        <v>633</v>
      </c>
      <c r="O278" s="16">
        <f t="shared" si="8"/>
        <v>1044</v>
      </c>
      <c r="P278" s="7">
        <v>1472</v>
      </c>
      <c r="Q278" s="7">
        <v>536678.34100000001</v>
      </c>
      <c r="R278" s="7">
        <v>1139360.4140000003</v>
      </c>
      <c r="S278" s="7">
        <v>1148660.9940000002</v>
      </c>
      <c r="T278" s="7">
        <v>1132698.93</v>
      </c>
      <c r="U278" s="7">
        <v>1201296.1939999999</v>
      </c>
      <c r="V278" s="7">
        <v>1364410.5430000001</v>
      </c>
      <c r="W278" s="7">
        <v>1107086.1979999996</v>
      </c>
      <c r="X278" s="16">
        <f>SUM(Q278:W278)</f>
        <v>7630191.614000001</v>
      </c>
      <c r="Y278" s="28">
        <v>669593.62399999995</v>
      </c>
      <c r="Z278" s="28">
        <v>389664.587</v>
      </c>
      <c r="AA278" s="7">
        <v>188698.62600000005</v>
      </c>
      <c r="AB278" s="16">
        <f t="shared" si="9"/>
        <v>1247956.8369999998</v>
      </c>
      <c r="AC278" s="7">
        <v>8878148.4510000013</v>
      </c>
      <c r="AD278" s="8">
        <v>2.1055442593313076E-4</v>
      </c>
      <c r="AE278" s="8">
        <v>4.0373528371506142E-5</v>
      </c>
      <c r="AF278" s="8">
        <v>3.221141850665123E-5</v>
      </c>
      <c r="AG278" s="8">
        <v>5.4736522087118071E-5</v>
      </c>
      <c r="AH278" s="8">
        <v>3.912440598309263E-5</v>
      </c>
      <c r="AI278" s="8">
        <v>3.6645861655438703E-5</v>
      </c>
      <c r="AJ278" s="8">
        <v>6.5938858357983098E-5</v>
      </c>
      <c r="AK278" s="8">
        <v>2.0460170928987223E-4</v>
      </c>
      <c r="AL278" s="8">
        <v>7.0316885121510925E-4</v>
      </c>
      <c r="AM278" s="8">
        <v>3.3545554274465139E-3</v>
      </c>
      <c r="AN278" s="8">
        <v>1.6580033642422362E-4</v>
      </c>
    </row>
    <row r="279" spans="1:40" x14ac:dyDescent="0.2">
      <c r="A279" t="s">
        <v>318</v>
      </c>
      <c r="B279">
        <v>2015</v>
      </c>
      <c r="C279" t="s">
        <v>325</v>
      </c>
      <c r="D279" s="7">
        <v>117</v>
      </c>
      <c r="E279" s="7">
        <v>60</v>
      </c>
      <c r="F279" s="7">
        <v>33</v>
      </c>
      <c r="G279" s="7">
        <v>46</v>
      </c>
      <c r="H279" s="7">
        <v>65</v>
      </c>
      <c r="I279" s="7">
        <v>53</v>
      </c>
      <c r="J279" s="7">
        <v>84</v>
      </c>
      <c r="K279" s="16">
        <f>SUM(D279:J279)</f>
        <v>458</v>
      </c>
      <c r="L279" s="28">
        <v>144</v>
      </c>
      <c r="M279" s="28">
        <v>331</v>
      </c>
      <c r="N279" s="7">
        <v>754</v>
      </c>
      <c r="O279" s="16">
        <f t="shared" si="8"/>
        <v>1229</v>
      </c>
      <c r="P279" s="7">
        <v>1687</v>
      </c>
      <c r="Q279" s="7">
        <v>532953.62</v>
      </c>
      <c r="R279" s="7">
        <v>1130431.9390000002</v>
      </c>
      <c r="S279" s="7">
        <v>1147502.5780000002</v>
      </c>
      <c r="T279" s="7">
        <v>1140738.6950000003</v>
      </c>
      <c r="U279" s="7">
        <v>1188731.6530000002</v>
      </c>
      <c r="V279" s="7">
        <v>1352773.8669999996</v>
      </c>
      <c r="W279" s="7">
        <v>1131040.22</v>
      </c>
      <c r="X279" s="16">
        <f>SUM(Q279:W279)</f>
        <v>7624172.5720000006</v>
      </c>
      <c r="Y279" s="28">
        <v>699335.39600000007</v>
      </c>
      <c r="Z279" s="28">
        <v>388815.15600000002</v>
      </c>
      <c r="AA279" s="7">
        <v>191618.64100000003</v>
      </c>
      <c r="AB279" s="16">
        <f t="shared" si="9"/>
        <v>1279769.1930000002</v>
      </c>
      <c r="AC279" s="7">
        <v>8903941.7650000006</v>
      </c>
      <c r="AD279" s="8">
        <v>2.1953129805178919E-4</v>
      </c>
      <c r="AE279" s="8">
        <v>5.3077056592258922E-5</v>
      </c>
      <c r="AF279" s="8">
        <v>2.8758105326016963E-5</v>
      </c>
      <c r="AG279" s="8">
        <v>4.0324747640825831E-5</v>
      </c>
      <c r="AH279" s="8">
        <v>5.4680128888601226E-5</v>
      </c>
      <c r="AI279" s="8">
        <v>3.9178758026673213E-5</v>
      </c>
      <c r="AJ279" s="8">
        <v>7.4267915954394619E-5</v>
      </c>
      <c r="AK279" s="8">
        <v>2.0590978352252599E-4</v>
      </c>
      <c r="AL279" s="8">
        <v>8.5130426345828968E-4</v>
      </c>
      <c r="AM279" s="8">
        <v>3.9348990059897143E-3</v>
      </c>
      <c r="AN279" s="8">
        <v>1.8946664797734106E-4</v>
      </c>
    </row>
    <row r="280" spans="1:40" x14ac:dyDescent="0.2">
      <c r="A280" t="s">
        <v>318</v>
      </c>
      <c r="B280">
        <v>2016</v>
      </c>
      <c r="C280" t="s">
        <v>326</v>
      </c>
      <c r="D280" s="7">
        <v>124</v>
      </c>
      <c r="E280" s="7">
        <v>56</v>
      </c>
      <c r="F280" s="7">
        <v>50</v>
      </c>
      <c r="G280" s="7">
        <v>52</v>
      </c>
      <c r="H280" s="7">
        <v>64</v>
      </c>
      <c r="I280" s="7">
        <v>54</v>
      </c>
      <c r="J280" s="7">
        <v>97</v>
      </c>
      <c r="K280" s="16">
        <f>SUM(D280:J280)</f>
        <v>497</v>
      </c>
      <c r="L280" s="28">
        <v>167</v>
      </c>
      <c r="M280" s="28">
        <v>281</v>
      </c>
      <c r="N280" s="7">
        <v>581</v>
      </c>
      <c r="O280" s="16">
        <f t="shared" si="8"/>
        <v>1029</v>
      </c>
      <c r="P280" s="7">
        <v>1526</v>
      </c>
      <c r="Q280" s="7">
        <v>524747.13300000003</v>
      </c>
      <c r="R280" s="7">
        <v>1116586.865</v>
      </c>
      <c r="S280" s="7">
        <v>1142048.6300000001</v>
      </c>
      <c r="T280" s="7">
        <v>1140935.7439999999</v>
      </c>
      <c r="U280" s="7">
        <v>1161364.8970000003</v>
      </c>
      <c r="V280" s="7">
        <v>1322254.4309999996</v>
      </c>
      <c r="W280" s="7">
        <v>1142373.9539999999</v>
      </c>
      <c r="X280" s="16">
        <f>SUM(Q280:W280)</f>
        <v>7550311.654000001</v>
      </c>
      <c r="Y280" s="28">
        <v>720345.48700000008</v>
      </c>
      <c r="Z280" s="28">
        <v>387963.21000000008</v>
      </c>
      <c r="AA280" s="7">
        <v>193387.77899999995</v>
      </c>
      <c r="AB280" s="16">
        <f t="shared" si="9"/>
        <v>1301696.476</v>
      </c>
      <c r="AC280" s="7">
        <v>8852008.1300000008</v>
      </c>
      <c r="AD280" s="8">
        <v>2.363042924905318E-4</v>
      </c>
      <c r="AE280" s="8">
        <v>5.0152837862730907E-5</v>
      </c>
      <c r="AF280" s="8">
        <v>4.3780972794477233E-5</v>
      </c>
      <c r="AG280" s="8">
        <v>4.5576624514973561E-5</v>
      </c>
      <c r="AH280" s="8">
        <v>5.5107572275796087E-5</v>
      </c>
      <c r="AI280" s="8">
        <v>4.0839341305258984E-5</v>
      </c>
      <c r="AJ280" s="8">
        <v>8.4910899500427524E-5</v>
      </c>
      <c r="AK280" s="8">
        <v>2.3183320089294871E-4</v>
      </c>
      <c r="AL280" s="8">
        <v>7.2429548152259059E-4</v>
      </c>
      <c r="AM280" s="8">
        <v>3.0043263488744041E-3</v>
      </c>
      <c r="AN280" s="8">
        <v>1.7239026191450185E-4</v>
      </c>
    </row>
    <row r="281" spans="1:40" x14ac:dyDescent="0.2">
      <c r="A281" t="s">
        <v>318</v>
      </c>
      <c r="B281">
        <v>2017</v>
      </c>
      <c r="C281" t="s">
        <v>327</v>
      </c>
      <c r="D281" s="7">
        <v>127</v>
      </c>
      <c r="E281" s="7">
        <v>65</v>
      </c>
      <c r="F281" s="7">
        <v>60</v>
      </c>
      <c r="G281" s="7">
        <v>44</v>
      </c>
      <c r="H281" s="7">
        <v>57</v>
      </c>
      <c r="I281" s="7">
        <v>72</v>
      </c>
      <c r="J281" s="7">
        <v>101</v>
      </c>
      <c r="K281" s="16">
        <f>SUM(D281:J281)</f>
        <v>526</v>
      </c>
      <c r="L281" s="28">
        <v>150</v>
      </c>
      <c r="M281" s="28">
        <v>343</v>
      </c>
      <c r="N281" s="7">
        <v>650</v>
      </c>
      <c r="O281" s="16">
        <f t="shared" si="8"/>
        <v>1143</v>
      </c>
      <c r="P281" s="7">
        <v>1669</v>
      </c>
      <c r="Q281" s="7">
        <v>540954</v>
      </c>
      <c r="R281" s="7">
        <v>1144564</v>
      </c>
      <c r="S281" s="7">
        <v>1174553</v>
      </c>
      <c r="T281" s="7">
        <v>1176857</v>
      </c>
      <c r="U281" s="7">
        <v>1184412</v>
      </c>
      <c r="V281" s="7">
        <v>1334784</v>
      </c>
      <c r="W281" s="7">
        <v>1190989</v>
      </c>
      <c r="X281" s="16">
        <f>SUM(Q281:W281)</f>
        <v>7747113</v>
      </c>
      <c r="Y281" s="28">
        <v>763913</v>
      </c>
      <c r="Z281" s="28">
        <v>404170</v>
      </c>
      <c r="AA281" s="7">
        <v>200709</v>
      </c>
      <c r="AB281" s="16">
        <f t="shared" si="9"/>
        <v>1368792</v>
      </c>
      <c r="AC281" s="7">
        <v>9115905</v>
      </c>
      <c r="AD281" s="8">
        <v>2.3477042410260392E-4</v>
      </c>
      <c r="AE281" s="8">
        <v>5.6790183860404484E-5</v>
      </c>
      <c r="AF281" s="8">
        <v>5.1083263164795455E-5</v>
      </c>
      <c r="AG281" s="8">
        <v>3.7387720003364892E-5</v>
      </c>
      <c r="AH281" s="8">
        <v>4.8125145641888128E-5</v>
      </c>
      <c r="AI281" s="8">
        <v>5.3941311852704254E-5</v>
      </c>
      <c r="AJ281" s="8">
        <v>8.480347005723815E-5</v>
      </c>
      <c r="AK281" s="8">
        <v>1.9635743860884681E-4</v>
      </c>
      <c r="AL281" s="8">
        <v>8.4865279461612689E-4</v>
      </c>
      <c r="AM281" s="8">
        <v>3.238519448554873E-3</v>
      </c>
      <c r="AN281" s="8">
        <v>1.8308659425476682E-4</v>
      </c>
    </row>
    <row r="282" spans="1:40" x14ac:dyDescent="0.2">
      <c r="A282" t="s">
        <v>328</v>
      </c>
      <c r="B282">
        <v>2009</v>
      </c>
      <c r="C282" t="s">
        <v>329</v>
      </c>
      <c r="D282" s="7">
        <v>119</v>
      </c>
      <c r="E282" s="7">
        <v>40</v>
      </c>
      <c r="F282" s="7">
        <v>48</v>
      </c>
      <c r="G282" s="7">
        <v>73</v>
      </c>
      <c r="H282" s="7">
        <v>47</v>
      </c>
      <c r="I282" s="7">
        <v>63</v>
      </c>
      <c r="J282" s="7">
        <v>68</v>
      </c>
      <c r="K282" s="16">
        <f>SUM(D282:J282)</f>
        <v>458</v>
      </c>
      <c r="L282" s="28">
        <v>56</v>
      </c>
      <c r="M282" s="28">
        <v>53</v>
      </c>
      <c r="N282" s="7">
        <v>128</v>
      </c>
      <c r="O282" s="16">
        <f t="shared" si="8"/>
        <v>237</v>
      </c>
      <c r="P282" s="7">
        <v>695</v>
      </c>
      <c r="Q282" s="7">
        <v>145687.71499999994</v>
      </c>
      <c r="R282" s="7">
        <v>271598.29399999999</v>
      </c>
      <c r="S282" s="7">
        <v>289012.26299999998</v>
      </c>
      <c r="T282" s="7">
        <v>263018.15699999995</v>
      </c>
      <c r="U282" s="7">
        <v>254305.32799999998</v>
      </c>
      <c r="V282" s="7">
        <v>275628.86100000009</v>
      </c>
      <c r="W282" s="7">
        <v>218002.09599999999</v>
      </c>
      <c r="X282" s="16">
        <f>SUM(Q282:W282)</f>
        <v>1717252.7139999997</v>
      </c>
      <c r="Y282" s="28">
        <v>132610.07300000003</v>
      </c>
      <c r="Z282" s="28">
        <v>84982.487000000023</v>
      </c>
      <c r="AA282" s="7">
        <v>31077.452000000001</v>
      </c>
      <c r="AB282" s="16">
        <f t="shared" si="9"/>
        <v>248670.01200000005</v>
      </c>
      <c r="AC282" s="7">
        <v>1965922.7259999998</v>
      </c>
      <c r="AD282" s="8">
        <v>8.1681561139180505E-4</v>
      </c>
      <c r="AE282" s="8">
        <v>1.4727633009359035E-4</v>
      </c>
      <c r="AF282" s="8">
        <v>1.6608291808019234E-4</v>
      </c>
      <c r="AG282" s="8">
        <v>2.7754737860169866E-4</v>
      </c>
      <c r="AH282" s="8">
        <v>1.8481720524549924E-4</v>
      </c>
      <c r="AI282" s="8">
        <v>2.2856822675039091E-4</v>
      </c>
      <c r="AJ282" s="8">
        <v>3.1192360645927004E-4</v>
      </c>
      <c r="AK282" s="8">
        <v>4.2229069582067107E-4</v>
      </c>
      <c r="AL282" s="8">
        <v>6.2365790730506616E-4</v>
      </c>
      <c r="AM282" s="8">
        <v>4.1187417810185983E-3</v>
      </c>
      <c r="AN282" s="8">
        <v>3.5352355960302381E-4</v>
      </c>
    </row>
    <row r="283" spans="1:40" x14ac:dyDescent="0.2">
      <c r="A283" t="s">
        <v>328</v>
      </c>
      <c r="B283">
        <v>2010</v>
      </c>
      <c r="C283" t="s">
        <v>330</v>
      </c>
      <c r="D283" s="7">
        <v>108</v>
      </c>
      <c r="E283" s="7">
        <v>64</v>
      </c>
      <c r="F283" s="7">
        <v>77</v>
      </c>
      <c r="G283" s="7">
        <v>31</v>
      </c>
      <c r="H283" s="7">
        <v>73</v>
      </c>
      <c r="I283" s="7">
        <v>52</v>
      </c>
      <c r="J283" s="7">
        <v>54</v>
      </c>
      <c r="K283" s="16">
        <f>SUM(D283:J283)</f>
        <v>459</v>
      </c>
      <c r="L283" s="28">
        <v>60</v>
      </c>
      <c r="M283" s="28">
        <v>74</v>
      </c>
      <c r="N283" s="7">
        <v>119</v>
      </c>
      <c r="O283" s="16">
        <f t="shared" si="8"/>
        <v>253</v>
      </c>
      <c r="P283" s="7">
        <v>712</v>
      </c>
      <c r="Q283" s="7">
        <v>150001.49099999998</v>
      </c>
      <c r="R283" s="7">
        <v>292463.37</v>
      </c>
      <c r="S283" s="7">
        <v>310063.80499999999</v>
      </c>
      <c r="T283" s="7">
        <v>269445.39500000002</v>
      </c>
      <c r="U283" s="7">
        <v>267406.30500000005</v>
      </c>
      <c r="V283" s="7">
        <v>301118.09699999995</v>
      </c>
      <c r="W283" s="7">
        <v>248443.29799999995</v>
      </c>
      <c r="X283" s="16">
        <f>SUM(Q283:W283)</f>
        <v>1838941.7609999999</v>
      </c>
      <c r="Y283" s="28">
        <v>149410.55100000006</v>
      </c>
      <c r="Z283" s="28">
        <v>86890.615999999995</v>
      </c>
      <c r="AA283" s="7">
        <v>31526.686000000002</v>
      </c>
      <c r="AB283" s="16">
        <f t="shared" si="9"/>
        <v>267827.85300000006</v>
      </c>
      <c r="AC283" s="7">
        <v>2106769.6140000001</v>
      </c>
      <c r="AD283" s="8">
        <v>7.1999284327113795E-4</v>
      </c>
      <c r="AE283" s="8">
        <v>2.18830823155734E-4</v>
      </c>
      <c r="AF283" s="8">
        <v>2.4833598362117759E-4</v>
      </c>
      <c r="AG283" s="8">
        <v>1.1505114051030636E-4</v>
      </c>
      <c r="AH283" s="8">
        <v>2.7299281518436891E-4</v>
      </c>
      <c r="AI283" s="8">
        <v>1.726897204720313E-4</v>
      </c>
      <c r="AJ283" s="8">
        <v>2.173534180020425E-4</v>
      </c>
      <c r="AK283" s="8">
        <v>4.0157806525992917E-4</v>
      </c>
      <c r="AL283" s="8">
        <v>8.5164547573238528E-4</v>
      </c>
      <c r="AM283" s="8">
        <v>3.7745800494222576E-3</v>
      </c>
      <c r="AN283" s="8">
        <v>3.3795816840559385E-4</v>
      </c>
    </row>
    <row r="284" spans="1:40" x14ac:dyDescent="0.2">
      <c r="A284" t="s">
        <v>328</v>
      </c>
      <c r="B284">
        <v>2011</v>
      </c>
      <c r="C284" t="s">
        <v>331</v>
      </c>
      <c r="D284" s="7">
        <v>133</v>
      </c>
      <c r="E284" s="7">
        <v>72</v>
      </c>
      <c r="F284" s="7">
        <v>52</v>
      </c>
      <c r="G284" s="7">
        <v>47</v>
      </c>
      <c r="H284" s="7">
        <v>51</v>
      </c>
      <c r="I284" s="7">
        <v>59</v>
      </c>
      <c r="J284" s="7">
        <v>57</v>
      </c>
      <c r="K284" s="16">
        <f>SUM(D284:J284)</f>
        <v>471</v>
      </c>
      <c r="L284" s="28">
        <v>62</v>
      </c>
      <c r="M284" s="28">
        <v>71</v>
      </c>
      <c r="N284" s="7">
        <v>144</v>
      </c>
      <c r="O284" s="16">
        <f t="shared" si="8"/>
        <v>277</v>
      </c>
      <c r="P284" s="7">
        <v>748</v>
      </c>
      <c r="Q284" s="7">
        <v>145428.52100000001</v>
      </c>
      <c r="R284" s="7">
        <v>284002.15899999999</v>
      </c>
      <c r="S284" s="7">
        <v>296388.12800000003</v>
      </c>
      <c r="T284" s="7">
        <v>262657.18099999998</v>
      </c>
      <c r="U284" s="7">
        <v>252639.36500000005</v>
      </c>
      <c r="V284" s="7">
        <v>291065.71100000001</v>
      </c>
      <c r="W284" s="7">
        <v>250285.33</v>
      </c>
      <c r="X284" s="16">
        <f>SUM(Q284:W284)</f>
        <v>1782466.395</v>
      </c>
      <c r="Y284" s="28">
        <v>150233.12599999999</v>
      </c>
      <c r="Z284" s="28">
        <v>84756.046999999991</v>
      </c>
      <c r="AA284" s="7">
        <v>31528.97</v>
      </c>
      <c r="AB284" s="16">
        <f t="shared" si="9"/>
        <v>266518.14299999998</v>
      </c>
      <c r="AC284" s="7">
        <v>2048984.5379999999</v>
      </c>
      <c r="AD284" s="8">
        <v>9.1453862753647884E-4</v>
      </c>
      <c r="AE284" s="8">
        <v>2.5351919947904343E-4</v>
      </c>
      <c r="AF284" s="8">
        <v>1.7544562378692845E-4</v>
      </c>
      <c r="AG284" s="8">
        <v>1.7894047221956593E-4</v>
      </c>
      <c r="AH284" s="8">
        <v>2.0186877844630423E-4</v>
      </c>
      <c r="AI284" s="8">
        <v>2.0270336824388085E-4</v>
      </c>
      <c r="AJ284" s="8">
        <v>2.2774007569680574E-4</v>
      </c>
      <c r="AK284" s="8">
        <v>4.1269193852759215E-4</v>
      </c>
      <c r="AL284" s="8">
        <v>8.3769834145285243E-4</v>
      </c>
      <c r="AM284" s="8">
        <v>4.5672281714245659E-3</v>
      </c>
      <c r="AN284" s="8">
        <v>3.6505887971712941E-4</v>
      </c>
    </row>
    <row r="285" spans="1:40" x14ac:dyDescent="0.2">
      <c r="A285" t="s">
        <v>328</v>
      </c>
      <c r="B285">
        <v>2012</v>
      </c>
      <c r="C285" t="s">
        <v>332</v>
      </c>
      <c r="D285" s="7">
        <v>100</v>
      </c>
      <c r="E285" s="7">
        <v>71</v>
      </c>
      <c r="F285" s="7">
        <v>60</v>
      </c>
      <c r="G285" s="7">
        <v>54</v>
      </c>
      <c r="H285" s="7">
        <v>54</v>
      </c>
      <c r="I285" s="7">
        <v>44</v>
      </c>
      <c r="J285" s="7">
        <v>37</v>
      </c>
      <c r="K285" s="16">
        <f>SUM(D285:J285)</f>
        <v>420</v>
      </c>
      <c r="L285" s="28">
        <v>67</v>
      </c>
      <c r="M285" s="28">
        <v>38</v>
      </c>
      <c r="N285" s="7">
        <v>112</v>
      </c>
      <c r="O285" s="16">
        <f t="shared" si="8"/>
        <v>217</v>
      </c>
      <c r="P285" s="7">
        <v>637</v>
      </c>
      <c r="Q285" s="7">
        <v>141338.978</v>
      </c>
      <c r="R285" s="7">
        <v>279260.89700000006</v>
      </c>
      <c r="S285" s="7">
        <v>288433.09999999998</v>
      </c>
      <c r="T285" s="7">
        <v>264130.989</v>
      </c>
      <c r="U285" s="7">
        <v>245823.14399999997</v>
      </c>
      <c r="V285" s="7">
        <v>281549.95399999997</v>
      </c>
      <c r="W285" s="7">
        <v>250341.323</v>
      </c>
      <c r="X285" s="16">
        <f>SUM(Q285:W285)</f>
        <v>1750878.385</v>
      </c>
      <c r="Y285" s="28">
        <v>150571.73999999996</v>
      </c>
      <c r="Z285" s="28">
        <v>83802.454999999987</v>
      </c>
      <c r="AA285" s="7">
        <v>32115.852999999992</v>
      </c>
      <c r="AB285" s="16">
        <f t="shared" si="9"/>
        <v>266490.04799999995</v>
      </c>
      <c r="AC285" s="7">
        <v>2017368.433</v>
      </c>
      <c r="AD285" s="8">
        <v>7.0751891244041681E-4</v>
      </c>
      <c r="AE285" s="8">
        <v>2.5424254080226631E-4</v>
      </c>
      <c r="AF285" s="8">
        <v>2.0802050804848683E-4</v>
      </c>
      <c r="AG285" s="8">
        <v>2.0444401546537198E-4</v>
      </c>
      <c r="AH285" s="8">
        <v>2.1967012186614946E-4</v>
      </c>
      <c r="AI285" s="8">
        <v>1.5627777371258247E-4</v>
      </c>
      <c r="AJ285" s="8">
        <v>1.477982122831555E-4</v>
      </c>
      <c r="AK285" s="8">
        <v>4.4497061666418954E-4</v>
      </c>
      <c r="AL285" s="8">
        <v>4.534473363578669E-4</v>
      </c>
      <c r="AM285" s="8">
        <v>3.4873742883304399E-3</v>
      </c>
      <c r="AN285" s="8">
        <v>3.1575789012060944E-4</v>
      </c>
    </row>
    <row r="286" spans="1:40" x14ac:dyDescent="0.2">
      <c r="A286" t="s">
        <v>328</v>
      </c>
      <c r="B286">
        <v>2013</v>
      </c>
      <c r="C286" t="s">
        <v>333</v>
      </c>
      <c r="D286" s="7">
        <v>101</v>
      </c>
      <c r="E286" s="7">
        <v>50</v>
      </c>
      <c r="F286" s="7">
        <v>60</v>
      </c>
      <c r="G286" s="7">
        <v>60</v>
      </c>
      <c r="H286" s="7">
        <v>62</v>
      </c>
      <c r="I286" s="7">
        <v>68</v>
      </c>
      <c r="J286" s="7">
        <v>54</v>
      </c>
      <c r="K286" s="16">
        <f>SUM(D286:J286)</f>
        <v>455</v>
      </c>
      <c r="L286" s="28">
        <v>51</v>
      </c>
      <c r="M286" s="28">
        <v>75</v>
      </c>
      <c r="N286" s="7">
        <v>140</v>
      </c>
      <c r="O286" s="16">
        <f t="shared" si="8"/>
        <v>266</v>
      </c>
      <c r="P286" s="7">
        <v>721</v>
      </c>
      <c r="Q286" s="7">
        <v>141825.41899999999</v>
      </c>
      <c r="R286" s="7">
        <v>285036.39299999998</v>
      </c>
      <c r="S286" s="7">
        <v>293234.66500000004</v>
      </c>
      <c r="T286" s="7">
        <v>271578.71100000007</v>
      </c>
      <c r="U286" s="7">
        <v>249241.18899999995</v>
      </c>
      <c r="V286" s="7">
        <v>282766.58199999994</v>
      </c>
      <c r="W286" s="7">
        <v>260762.19800000006</v>
      </c>
      <c r="X286" s="16">
        <f>SUM(Q286:W286)</f>
        <v>1784445.1570000001</v>
      </c>
      <c r="Y286" s="28">
        <v>161558.23200000005</v>
      </c>
      <c r="Z286" s="28">
        <v>88173.687999999995</v>
      </c>
      <c r="AA286" s="7">
        <v>33530.392999999996</v>
      </c>
      <c r="AB286" s="16">
        <f t="shared" si="9"/>
        <v>283262.31300000002</v>
      </c>
      <c r="AC286" s="7">
        <v>2067707.4700000002</v>
      </c>
      <c r="AD286" s="8">
        <v>7.1214314551046732E-4</v>
      </c>
      <c r="AE286" s="8">
        <v>1.7541619676614419E-4</v>
      </c>
      <c r="AF286" s="8">
        <v>2.0461428051148043E-4</v>
      </c>
      <c r="AG286" s="8">
        <v>2.2093042484467784E-4</v>
      </c>
      <c r="AH286" s="8">
        <v>2.4875503221901259E-4</v>
      </c>
      <c r="AI286" s="8">
        <v>2.4048103392924986E-4</v>
      </c>
      <c r="AJ286" s="8">
        <v>2.0708523096587791E-4</v>
      </c>
      <c r="AK286" s="8">
        <v>3.1567565062237115E-4</v>
      </c>
      <c r="AL286" s="8">
        <v>8.5059388692009799E-4</v>
      </c>
      <c r="AM286" s="8">
        <v>4.1753164062228567E-3</v>
      </c>
      <c r="AN286" s="8">
        <v>3.4869535969708515E-4</v>
      </c>
    </row>
    <row r="287" spans="1:40" x14ac:dyDescent="0.2">
      <c r="A287" t="s">
        <v>328</v>
      </c>
      <c r="B287">
        <v>2014</v>
      </c>
      <c r="C287" t="s">
        <v>334</v>
      </c>
      <c r="D287" s="7">
        <v>115</v>
      </c>
      <c r="E287" s="7">
        <v>56</v>
      </c>
      <c r="F287" s="7">
        <v>63</v>
      </c>
      <c r="G287" s="7">
        <v>59</v>
      </c>
      <c r="H287" s="7">
        <v>53</v>
      </c>
      <c r="I287" s="7">
        <v>41</v>
      </c>
      <c r="J287" s="7">
        <v>66</v>
      </c>
      <c r="K287" s="16">
        <f>SUM(D287:J287)</f>
        <v>453</v>
      </c>
      <c r="L287" s="28">
        <v>60</v>
      </c>
      <c r="M287" s="28">
        <v>63</v>
      </c>
      <c r="N287" s="7">
        <v>114</v>
      </c>
      <c r="O287" s="16">
        <f t="shared" si="8"/>
        <v>237</v>
      </c>
      <c r="P287" s="7">
        <v>690</v>
      </c>
      <c r="Q287" s="7">
        <v>135156.05300000001</v>
      </c>
      <c r="R287" s="7">
        <v>277341.34200000006</v>
      </c>
      <c r="S287" s="7">
        <v>285033.98399999994</v>
      </c>
      <c r="T287" s="7">
        <v>264852.35099999997</v>
      </c>
      <c r="U287" s="7">
        <v>239268.01699999999</v>
      </c>
      <c r="V287" s="7">
        <v>268354.17899999989</v>
      </c>
      <c r="W287" s="7">
        <v>256777.95099999994</v>
      </c>
      <c r="X287" s="16">
        <f>SUM(Q287:W287)</f>
        <v>1726783.8769999999</v>
      </c>
      <c r="Y287" s="28">
        <v>163638.78600000002</v>
      </c>
      <c r="Z287" s="28">
        <v>87909.217000000004</v>
      </c>
      <c r="AA287" s="7">
        <v>32156.393999999997</v>
      </c>
      <c r="AB287" s="16">
        <f t="shared" si="9"/>
        <v>283704.397</v>
      </c>
      <c r="AC287" s="7">
        <v>2010488.274</v>
      </c>
      <c r="AD287" s="8">
        <v>8.5086829222513608E-4</v>
      </c>
      <c r="AE287" s="8">
        <v>2.0191724607721841E-4</v>
      </c>
      <c r="AF287" s="8">
        <v>2.210262759404858E-4</v>
      </c>
      <c r="AG287" s="8">
        <v>2.2276562687563234E-4</v>
      </c>
      <c r="AH287" s="8">
        <v>2.2150891984865659E-4</v>
      </c>
      <c r="AI287" s="8">
        <v>1.5278316198683091E-4</v>
      </c>
      <c r="AJ287" s="8">
        <v>2.5703141466379257E-4</v>
      </c>
      <c r="AK287" s="8">
        <v>3.666612388581274E-4</v>
      </c>
      <c r="AL287" s="8">
        <v>7.1664840331816398E-4</v>
      </c>
      <c r="AM287" s="8">
        <v>3.5451736286102233E-3</v>
      </c>
      <c r="AN287" s="8">
        <v>3.4320021107469537E-4</v>
      </c>
    </row>
    <row r="288" spans="1:40" x14ac:dyDescent="0.2">
      <c r="A288" t="s">
        <v>328</v>
      </c>
      <c r="B288">
        <v>2015</v>
      </c>
      <c r="C288" t="s">
        <v>335</v>
      </c>
      <c r="D288" s="7">
        <v>128</v>
      </c>
      <c r="E288" s="7">
        <v>55</v>
      </c>
      <c r="F288" s="7">
        <v>54</v>
      </c>
      <c r="G288" s="7">
        <v>49</v>
      </c>
      <c r="H288" s="7">
        <v>60</v>
      </c>
      <c r="I288" s="7">
        <v>36</v>
      </c>
      <c r="J288" s="7">
        <v>72</v>
      </c>
      <c r="K288" s="16">
        <f>SUM(D288:J288)</f>
        <v>454</v>
      </c>
      <c r="L288" s="28">
        <v>79</v>
      </c>
      <c r="M288" s="28">
        <v>76</v>
      </c>
      <c r="N288" s="7">
        <v>108</v>
      </c>
      <c r="O288" s="16">
        <f t="shared" si="8"/>
        <v>263</v>
      </c>
      <c r="P288" s="7">
        <v>717</v>
      </c>
      <c r="Q288" s="7">
        <v>128869.73799999998</v>
      </c>
      <c r="R288" s="7">
        <v>266470.16500000004</v>
      </c>
      <c r="S288" s="7">
        <v>272675.62900000002</v>
      </c>
      <c r="T288" s="7">
        <v>260844.261</v>
      </c>
      <c r="U288" s="7">
        <v>229266.54499999995</v>
      </c>
      <c r="V288" s="7">
        <v>252581.16699999996</v>
      </c>
      <c r="W288" s="7">
        <v>248354.46399999998</v>
      </c>
      <c r="X288" s="16">
        <f>SUM(Q288:W288)</f>
        <v>1659061.9689999998</v>
      </c>
      <c r="Y288" s="28">
        <v>163729.35499999998</v>
      </c>
      <c r="Z288" s="28">
        <v>85568.476999999984</v>
      </c>
      <c r="AA288" s="7">
        <v>31964.423000000006</v>
      </c>
      <c r="AB288" s="16">
        <f t="shared" si="9"/>
        <v>281262.25499999995</v>
      </c>
      <c r="AC288" s="7">
        <v>1940324.2239999997</v>
      </c>
      <c r="AD288" s="8">
        <v>9.9325102996639927E-4</v>
      </c>
      <c r="AE288" s="8">
        <v>2.0640209383290619E-4</v>
      </c>
      <c r="AF288" s="8">
        <v>1.9803750044709715E-4</v>
      </c>
      <c r="AG288" s="8">
        <v>1.8785155484022707E-4</v>
      </c>
      <c r="AH288" s="8">
        <v>2.6170412259669205E-4</v>
      </c>
      <c r="AI288" s="8">
        <v>1.4252844116441986E-4</v>
      </c>
      <c r="AJ288" s="8">
        <v>2.8990821763525863E-4</v>
      </c>
      <c r="AK288" s="8">
        <v>4.8250358037506475E-4</v>
      </c>
      <c r="AL288" s="8">
        <v>8.8817754697211699E-4</v>
      </c>
      <c r="AM288" s="8">
        <v>3.378756438056147E-3</v>
      </c>
      <c r="AN288" s="8">
        <v>3.6952587156897758E-4</v>
      </c>
    </row>
    <row r="289" spans="1:40" x14ac:dyDescent="0.2">
      <c r="A289" t="s">
        <v>328</v>
      </c>
      <c r="B289">
        <v>2016</v>
      </c>
      <c r="C289" t="s">
        <v>336</v>
      </c>
      <c r="D289" s="7">
        <v>109</v>
      </c>
      <c r="E289" s="7">
        <v>48</v>
      </c>
      <c r="F289" s="7">
        <v>67</v>
      </c>
      <c r="G289" s="7">
        <v>37</v>
      </c>
      <c r="H289" s="7">
        <v>56</v>
      </c>
      <c r="I289" s="7">
        <v>53</v>
      </c>
      <c r="J289" s="7">
        <v>41</v>
      </c>
      <c r="K289" s="16">
        <f>SUM(D289:J289)</f>
        <v>411</v>
      </c>
      <c r="L289" s="28">
        <v>59</v>
      </c>
      <c r="M289" s="28">
        <v>78</v>
      </c>
      <c r="N289" s="7">
        <v>105</v>
      </c>
      <c r="O289" s="16">
        <f t="shared" si="8"/>
        <v>242</v>
      </c>
      <c r="P289" s="7">
        <v>653</v>
      </c>
      <c r="Q289" s="7">
        <v>131566.00099999996</v>
      </c>
      <c r="R289" s="7">
        <v>280874.83199999988</v>
      </c>
      <c r="S289" s="7">
        <v>287261.99300000002</v>
      </c>
      <c r="T289" s="7">
        <v>274733.90899999999</v>
      </c>
      <c r="U289" s="7">
        <v>245429.82700000002</v>
      </c>
      <c r="V289" s="7">
        <v>263946.48200000002</v>
      </c>
      <c r="W289" s="7">
        <v>268325.53499999992</v>
      </c>
      <c r="X289" s="16">
        <f>SUM(Q289:W289)</f>
        <v>1752138.5789999999</v>
      </c>
      <c r="Y289" s="28">
        <v>183832.69499999998</v>
      </c>
      <c r="Z289" s="28">
        <v>92547.8</v>
      </c>
      <c r="AA289" s="7">
        <v>34864.471999999994</v>
      </c>
      <c r="AB289" s="16">
        <f t="shared" si="9"/>
        <v>311244.967</v>
      </c>
      <c r="AC289" s="7">
        <v>2063383.5460000001</v>
      </c>
      <c r="AD289" s="8">
        <v>8.284815162847432E-4</v>
      </c>
      <c r="AE289" s="8">
        <v>1.7089462825206077E-4</v>
      </c>
      <c r="AF289" s="8">
        <v>2.3323656325116422E-4</v>
      </c>
      <c r="AG289" s="8">
        <v>1.3467576730763148E-4</v>
      </c>
      <c r="AH289" s="8">
        <v>2.2817112607914601E-4</v>
      </c>
      <c r="AI289" s="8">
        <v>2.007982815243584E-4</v>
      </c>
      <c r="AJ289" s="8">
        <v>1.5279947173123129E-4</v>
      </c>
      <c r="AK289" s="8">
        <v>3.2094399747553069E-4</v>
      </c>
      <c r="AL289" s="8">
        <v>8.4280771666101189E-4</v>
      </c>
      <c r="AM289" s="8">
        <v>3.0116618430360859E-3</v>
      </c>
      <c r="AN289" s="8">
        <v>3.1647048909829773E-4</v>
      </c>
    </row>
    <row r="290" spans="1:40" x14ac:dyDescent="0.2">
      <c r="A290" t="s">
        <v>328</v>
      </c>
      <c r="B290">
        <v>2017</v>
      </c>
      <c r="C290" t="s">
        <v>337</v>
      </c>
      <c r="D290" s="7">
        <v>112</v>
      </c>
      <c r="E290" s="7">
        <v>60</v>
      </c>
      <c r="F290" s="7">
        <v>34</v>
      </c>
      <c r="G290" s="7">
        <v>63</v>
      </c>
      <c r="H290" s="7">
        <v>41</v>
      </c>
      <c r="I290" s="7">
        <v>48</v>
      </c>
      <c r="J290" s="7">
        <v>52</v>
      </c>
      <c r="K290" s="16">
        <f>SUM(D290:J290)</f>
        <v>410</v>
      </c>
      <c r="L290" s="28">
        <v>69</v>
      </c>
      <c r="M290" s="28">
        <v>86</v>
      </c>
      <c r="N290" s="7">
        <v>83</v>
      </c>
      <c r="O290" s="16">
        <f t="shared" si="8"/>
        <v>238</v>
      </c>
      <c r="P290" s="7">
        <v>648</v>
      </c>
      <c r="Q290" s="7">
        <v>131975</v>
      </c>
      <c r="R290" s="7">
        <v>282371</v>
      </c>
      <c r="S290" s="7">
        <v>286425</v>
      </c>
      <c r="T290" s="7">
        <v>278333</v>
      </c>
      <c r="U290" s="7">
        <v>243737</v>
      </c>
      <c r="V290" s="7">
        <v>256900</v>
      </c>
      <c r="W290" s="7">
        <v>267011</v>
      </c>
      <c r="X290" s="16">
        <f>SUM(Q290:W290)</f>
        <v>1746752</v>
      </c>
      <c r="Y290" s="28">
        <v>188108</v>
      </c>
      <c r="Z290" s="28">
        <v>94595</v>
      </c>
      <c r="AA290" s="7">
        <v>36113</v>
      </c>
      <c r="AB290" s="16">
        <f t="shared" si="9"/>
        <v>318816</v>
      </c>
      <c r="AC290" s="7">
        <v>2065568</v>
      </c>
      <c r="AD290" s="8">
        <v>8.486455768137905E-4</v>
      </c>
      <c r="AE290" s="8">
        <v>2.1248640972337812E-4</v>
      </c>
      <c r="AF290" s="8">
        <v>1.1870472200401501E-4</v>
      </c>
      <c r="AG290" s="8">
        <v>2.2634757646416344E-4</v>
      </c>
      <c r="AH290" s="8">
        <v>1.682140996237748E-4</v>
      </c>
      <c r="AI290" s="8">
        <v>1.8684312962242118E-4</v>
      </c>
      <c r="AJ290" s="8">
        <v>1.9474853095939867E-4</v>
      </c>
      <c r="AK290" s="8">
        <v>3.6681055563825038E-4</v>
      </c>
      <c r="AL290" s="8">
        <v>9.09138960833025E-4</v>
      </c>
      <c r="AM290" s="8">
        <v>2.2983413175310828E-3</v>
      </c>
      <c r="AN290" s="8">
        <v>3.1371516212489738E-4</v>
      </c>
    </row>
    <row r="291" spans="1:40" x14ac:dyDescent="0.2">
      <c r="A291" t="s">
        <v>338</v>
      </c>
      <c r="B291">
        <v>2009</v>
      </c>
      <c r="C291" t="s">
        <v>339</v>
      </c>
      <c r="D291" s="7">
        <v>112</v>
      </c>
      <c r="E291" s="7">
        <v>49</v>
      </c>
      <c r="F291" s="7">
        <v>60</v>
      </c>
      <c r="G291" s="7">
        <v>55</v>
      </c>
      <c r="H291" s="7">
        <v>73</v>
      </c>
      <c r="I291" s="7">
        <v>191</v>
      </c>
      <c r="J291" s="7">
        <v>286</v>
      </c>
      <c r="K291" s="16">
        <f>SUM(D291:J291)</f>
        <v>826</v>
      </c>
      <c r="L291" s="28">
        <v>534</v>
      </c>
      <c r="M291" s="28">
        <v>1254</v>
      </c>
      <c r="N291" s="7">
        <v>2090</v>
      </c>
      <c r="O291" s="16">
        <f t="shared" si="8"/>
        <v>3878</v>
      </c>
      <c r="P291" s="7">
        <v>4704</v>
      </c>
      <c r="Q291" s="7">
        <v>1218885.2499999998</v>
      </c>
      <c r="R291" s="7">
        <v>2458883.1009999993</v>
      </c>
      <c r="S291" s="7">
        <v>2697088.4880000013</v>
      </c>
      <c r="T291" s="7">
        <v>2607132.2549999999</v>
      </c>
      <c r="U291" s="7">
        <v>2835916.2369999993</v>
      </c>
      <c r="V291" s="7">
        <v>2882213.9930000002</v>
      </c>
      <c r="W291" s="7">
        <v>2162934.6440000003</v>
      </c>
      <c r="X291" s="16">
        <f>SUM(Q291:W291)</f>
        <v>16863053.968000002</v>
      </c>
      <c r="Y291" s="28">
        <v>1304993.3239999998</v>
      </c>
      <c r="Z291" s="28">
        <v>891487.5429999996</v>
      </c>
      <c r="AA291" s="7">
        <v>365830.23300000001</v>
      </c>
      <c r="AB291" s="16">
        <f t="shared" si="9"/>
        <v>2562311.0999999996</v>
      </c>
      <c r="AC291" s="7">
        <v>19425365.068</v>
      </c>
      <c r="AD291" s="8">
        <v>9.1887238770015488E-5</v>
      </c>
      <c r="AE291" s="8">
        <v>1.9927746862009125E-5</v>
      </c>
      <c r="AF291" s="8">
        <v>2.2246211152119962E-5</v>
      </c>
      <c r="AG291" s="8">
        <v>2.1095976199335543E-5</v>
      </c>
      <c r="AH291" s="8">
        <v>2.5741239831971814E-5</v>
      </c>
      <c r="AI291" s="8">
        <v>6.6268500695603966E-5</v>
      </c>
      <c r="AJ291" s="8">
        <v>1.3222775861183162E-4</v>
      </c>
      <c r="AK291" s="8">
        <v>4.0919749563408502E-4</v>
      </c>
      <c r="AL291" s="8">
        <v>1.4066377145103871E-3</v>
      </c>
      <c r="AM291" s="8">
        <v>5.7130324709931775E-3</v>
      </c>
      <c r="AN291" s="8">
        <v>2.4215761111996004E-4</v>
      </c>
    </row>
    <row r="292" spans="1:40" x14ac:dyDescent="0.2">
      <c r="A292" t="s">
        <v>338</v>
      </c>
      <c r="B292">
        <v>2010</v>
      </c>
      <c r="C292" t="s">
        <v>340</v>
      </c>
      <c r="D292" s="7">
        <v>119</v>
      </c>
      <c r="E292" s="7">
        <v>71</v>
      </c>
      <c r="F292" s="7">
        <v>32</v>
      </c>
      <c r="G292" s="7">
        <v>34</v>
      </c>
      <c r="H292" s="7">
        <v>50</v>
      </c>
      <c r="I292" s="7">
        <v>133</v>
      </c>
      <c r="J292" s="7">
        <v>326</v>
      </c>
      <c r="K292" s="16">
        <f>SUM(D292:J292)</f>
        <v>765</v>
      </c>
      <c r="L292" s="28">
        <v>523</v>
      </c>
      <c r="M292" s="28">
        <v>1269</v>
      </c>
      <c r="N292" s="7">
        <v>2273</v>
      </c>
      <c r="O292" s="16">
        <f t="shared" si="8"/>
        <v>4065</v>
      </c>
      <c r="P292" s="7">
        <v>4830</v>
      </c>
      <c r="Q292" s="7">
        <v>1160340.3079999997</v>
      </c>
      <c r="R292" s="7">
        <v>2408401.919999999</v>
      </c>
      <c r="S292" s="7">
        <v>2752967.0009999992</v>
      </c>
      <c r="T292" s="7">
        <v>2606551.7590000001</v>
      </c>
      <c r="U292" s="7">
        <v>2726523.8130000001</v>
      </c>
      <c r="V292" s="7">
        <v>2837319.5559999989</v>
      </c>
      <c r="W292" s="7">
        <v>2192211.06</v>
      </c>
      <c r="X292" s="16">
        <f>SUM(Q292:W292)</f>
        <v>16684315.416999998</v>
      </c>
      <c r="Y292" s="28">
        <v>1306542.328</v>
      </c>
      <c r="Z292" s="28">
        <v>883289.32199999993</v>
      </c>
      <c r="AA292" s="7">
        <v>366708.0610000001</v>
      </c>
      <c r="AB292" s="16">
        <f t="shared" si="9"/>
        <v>2556539.7110000001</v>
      </c>
      <c r="AC292" s="7">
        <v>19240855.127999999</v>
      </c>
      <c r="AD292" s="8">
        <v>1.0255612011368653E-4</v>
      </c>
      <c r="AE292" s="8">
        <v>2.9480129296691489E-5</v>
      </c>
      <c r="AF292" s="8">
        <v>1.1623822584279501E-5</v>
      </c>
      <c r="AG292" s="8">
        <v>1.3044053271761637E-5</v>
      </c>
      <c r="AH292" s="8">
        <v>1.8338369084326791E-5</v>
      </c>
      <c r="AI292" s="8">
        <v>4.6875227613593501E-5</v>
      </c>
      <c r="AJ292" s="8">
        <v>1.4870830913516145E-4</v>
      </c>
      <c r="AK292" s="8">
        <v>4.002931927973481E-4</v>
      </c>
      <c r="AL292" s="8">
        <v>1.4366753547146358E-3</v>
      </c>
      <c r="AM292" s="8">
        <v>6.1983911501743601E-3</v>
      </c>
      <c r="AN292" s="8">
        <v>2.5102834400385907E-4</v>
      </c>
    </row>
    <row r="293" spans="1:40" x14ac:dyDescent="0.2">
      <c r="A293" t="s">
        <v>338</v>
      </c>
      <c r="B293">
        <v>2011</v>
      </c>
      <c r="C293" t="s">
        <v>341</v>
      </c>
      <c r="D293" s="7">
        <v>103</v>
      </c>
      <c r="E293" s="7">
        <v>61</v>
      </c>
      <c r="F293" s="7">
        <v>55</v>
      </c>
      <c r="G293" s="7">
        <v>41</v>
      </c>
      <c r="H293" s="7">
        <v>63</v>
      </c>
      <c r="I293" s="7">
        <v>159</v>
      </c>
      <c r="J293" s="7">
        <v>333</v>
      </c>
      <c r="K293" s="16">
        <f>SUM(D293:J293)</f>
        <v>815</v>
      </c>
      <c r="L293" s="28">
        <v>530</v>
      </c>
      <c r="M293" s="28">
        <v>1268</v>
      </c>
      <c r="N293" s="7">
        <v>2498</v>
      </c>
      <c r="O293" s="16">
        <f t="shared" si="8"/>
        <v>4296</v>
      </c>
      <c r="P293" s="7">
        <v>5111</v>
      </c>
      <c r="Q293" s="7">
        <v>1161309.5910000002</v>
      </c>
      <c r="R293" s="7">
        <v>2391236.1820000005</v>
      </c>
      <c r="S293" s="7">
        <v>2759587.9280000003</v>
      </c>
      <c r="T293" s="7">
        <v>2637720.3079999997</v>
      </c>
      <c r="U293" s="7">
        <v>2676821.9560000012</v>
      </c>
      <c r="V293" s="7">
        <v>2856004.6560000004</v>
      </c>
      <c r="W293" s="7">
        <v>2264508.1720000007</v>
      </c>
      <c r="X293" s="16">
        <f>SUM(Q293:W293)</f>
        <v>16747188.793000003</v>
      </c>
      <c r="Y293" s="28">
        <v>1343995.726</v>
      </c>
      <c r="Z293" s="28">
        <v>880994.24300000002</v>
      </c>
      <c r="AA293" s="7">
        <v>378953.23299999995</v>
      </c>
      <c r="AB293" s="16">
        <f t="shared" si="9"/>
        <v>2603943.202</v>
      </c>
      <c r="AC293" s="7">
        <v>19351131.995000005</v>
      </c>
      <c r="AD293" s="8">
        <v>8.8692972828466015E-5</v>
      </c>
      <c r="AE293" s="8">
        <v>2.5509818084544185E-5</v>
      </c>
      <c r="AF293" s="8">
        <v>1.9930511886193464E-5</v>
      </c>
      <c r="AG293" s="8">
        <v>1.5543725343301261E-5</v>
      </c>
      <c r="AH293" s="8">
        <v>2.353537180864336E-5</v>
      </c>
      <c r="AI293" s="8">
        <v>5.5672178147877633E-5</v>
      </c>
      <c r="AJ293" s="8">
        <v>1.4705179876030048E-4</v>
      </c>
      <c r="AK293" s="8">
        <v>3.9434649214055613E-4</v>
      </c>
      <c r="AL293" s="8">
        <v>1.4392829579477739E-3</v>
      </c>
      <c r="AM293" s="8">
        <v>6.5918424292741168E-3</v>
      </c>
      <c r="AN293" s="8">
        <v>2.6411891569550524E-4</v>
      </c>
    </row>
    <row r="294" spans="1:40" x14ac:dyDescent="0.2">
      <c r="A294" t="s">
        <v>338</v>
      </c>
      <c r="B294">
        <v>2012</v>
      </c>
      <c r="C294" t="s">
        <v>342</v>
      </c>
      <c r="D294" s="7">
        <v>86</v>
      </c>
      <c r="E294" s="7">
        <v>42</v>
      </c>
      <c r="F294" s="7">
        <v>60</v>
      </c>
      <c r="G294" s="7">
        <v>60</v>
      </c>
      <c r="H294" s="7">
        <v>49</v>
      </c>
      <c r="I294" s="7">
        <v>120</v>
      </c>
      <c r="J294" s="7">
        <v>307</v>
      </c>
      <c r="K294" s="16">
        <f>SUM(D294:J294)</f>
        <v>724</v>
      </c>
      <c r="L294" s="28">
        <v>509</v>
      </c>
      <c r="M294" s="28">
        <v>1152</v>
      </c>
      <c r="N294" s="7">
        <v>2208</v>
      </c>
      <c r="O294" s="16">
        <f t="shared" si="8"/>
        <v>3869</v>
      </c>
      <c r="P294" s="7">
        <v>4593</v>
      </c>
      <c r="Q294" s="7">
        <v>1155553.4049999998</v>
      </c>
      <c r="R294" s="7">
        <v>2360066.9589999998</v>
      </c>
      <c r="S294" s="7">
        <v>2757531.2750000004</v>
      </c>
      <c r="T294" s="7">
        <v>2665410.2249999996</v>
      </c>
      <c r="U294" s="7">
        <v>2609422.5750000002</v>
      </c>
      <c r="V294" s="7">
        <v>2838288.5530000008</v>
      </c>
      <c r="W294" s="7">
        <v>2294543.4690000005</v>
      </c>
      <c r="X294" s="16">
        <f>SUM(Q294:W294)</f>
        <v>16680816.461000001</v>
      </c>
      <c r="Y294" s="28">
        <v>1370042.405</v>
      </c>
      <c r="Z294" s="28">
        <v>864131.21099999966</v>
      </c>
      <c r="AA294" s="7">
        <v>388289.71400000027</v>
      </c>
      <c r="AB294" s="16">
        <f t="shared" si="9"/>
        <v>2622463.3299999996</v>
      </c>
      <c r="AC294" s="7">
        <v>19303279.791000001</v>
      </c>
      <c r="AD294" s="8">
        <v>7.4423215428974493E-5</v>
      </c>
      <c r="AE294" s="8">
        <v>1.7796105250249387E-5</v>
      </c>
      <c r="AF294" s="8">
        <v>2.1758592747057781E-5</v>
      </c>
      <c r="AG294" s="8">
        <v>2.2510606223850592E-5</v>
      </c>
      <c r="AH294" s="8">
        <v>1.8778100745142821E-5</v>
      </c>
      <c r="AI294" s="8">
        <v>4.2278999389671982E-5</v>
      </c>
      <c r="AJ294" s="8">
        <v>1.3379567837683878E-4</v>
      </c>
      <c r="AK294" s="8">
        <v>3.715213471804911E-4</v>
      </c>
      <c r="AL294" s="8">
        <v>1.3331308779680224E-3</v>
      </c>
      <c r="AM294" s="8">
        <v>5.6864756401968416E-3</v>
      </c>
      <c r="AN294" s="8">
        <v>2.3793883991369432E-4</v>
      </c>
    </row>
    <row r="295" spans="1:40" x14ac:dyDescent="0.2">
      <c r="A295" t="s">
        <v>338</v>
      </c>
      <c r="B295">
        <v>2013</v>
      </c>
      <c r="C295" t="s">
        <v>343</v>
      </c>
      <c r="D295" s="7">
        <v>118</v>
      </c>
      <c r="E295" s="7">
        <v>44</v>
      </c>
      <c r="F295" s="7">
        <v>43</v>
      </c>
      <c r="G295" s="7">
        <v>47</v>
      </c>
      <c r="H295" s="7">
        <v>39</v>
      </c>
      <c r="I295" s="7">
        <v>149</v>
      </c>
      <c r="J295" s="7">
        <v>350</v>
      </c>
      <c r="K295" s="16">
        <f>SUM(D295:J295)</f>
        <v>790</v>
      </c>
      <c r="L295" s="28">
        <v>636</v>
      </c>
      <c r="M295" s="28">
        <v>1216</v>
      </c>
      <c r="N295" s="7">
        <v>2430</v>
      </c>
      <c r="O295" s="16">
        <f t="shared" si="8"/>
        <v>4282</v>
      </c>
      <c r="P295" s="7">
        <v>5072</v>
      </c>
      <c r="Q295" s="7">
        <v>1167972.2340000002</v>
      </c>
      <c r="R295" s="7">
        <v>2357883.3689999995</v>
      </c>
      <c r="S295" s="7">
        <v>2755115.7750000008</v>
      </c>
      <c r="T295" s="7">
        <v>2717090.8940000003</v>
      </c>
      <c r="U295" s="7">
        <v>2574909.200999999</v>
      </c>
      <c r="V295" s="7">
        <v>2852770.4209999992</v>
      </c>
      <c r="W295" s="7">
        <v>2368686.298</v>
      </c>
      <c r="X295" s="16">
        <f>SUM(Q295:W295)</f>
        <v>16794428.191999998</v>
      </c>
      <c r="Y295" s="28">
        <v>1428236.8420000004</v>
      </c>
      <c r="Z295" s="28">
        <v>870200.72499999998</v>
      </c>
      <c r="AA295" s="7">
        <v>401523.64200000011</v>
      </c>
      <c r="AB295" s="16">
        <f t="shared" si="9"/>
        <v>2699961.2090000003</v>
      </c>
      <c r="AC295" s="7">
        <v>19494389.401000001</v>
      </c>
      <c r="AD295" s="8">
        <v>1.0102979896695043E-4</v>
      </c>
      <c r="AE295" s="8">
        <v>1.8660804252867185E-5</v>
      </c>
      <c r="AF295" s="8">
        <v>1.5607329604869322E-5</v>
      </c>
      <c r="AG295" s="8">
        <v>1.7297912301641242E-5</v>
      </c>
      <c r="AH295" s="8">
        <v>1.5146165148213324E-5</v>
      </c>
      <c r="AI295" s="8">
        <v>5.2229930212109432E-5</v>
      </c>
      <c r="AJ295" s="8">
        <v>1.4776122962991024E-4</v>
      </c>
      <c r="AK295" s="8">
        <v>4.4530429498611116E-4</v>
      </c>
      <c r="AL295" s="8">
        <v>1.3973787484491008E-3</v>
      </c>
      <c r="AM295" s="8">
        <v>6.0519474965312235E-3</v>
      </c>
      <c r="AN295" s="8">
        <v>2.6017742313795284E-4</v>
      </c>
    </row>
    <row r="296" spans="1:40" x14ac:dyDescent="0.2">
      <c r="A296" t="s">
        <v>338</v>
      </c>
      <c r="B296">
        <v>2014</v>
      </c>
      <c r="C296" t="s">
        <v>344</v>
      </c>
      <c r="D296" s="7">
        <v>91</v>
      </c>
      <c r="E296" s="7">
        <v>46</v>
      </c>
      <c r="F296" s="7">
        <v>52</v>
      </c>
      <c r="G296" s="7">
        <v>70</v>
      </c>
      <c r="H296" s="7">
        <v>78</v>
      </c>
      <c r="I296" s="7">
        <v>164</v>
      </c>
      <c r="J296" s="7">
        <v>394</v>
      </c>
      <c r="K296" s="16">
        <f>SUM(D296:J296)</f>
        <v>895</v>
      </c>
      <c r="L296" s="28">
        <v>615</v>
      </c>
      <c r="M296" s="28">
        <v>1171</v>
      </c>
      <c r="N296" s="7">
        <v>2244</v>
      </c>
      <c r="O296" s="16">
        <f t="shared" si="8"/>
        <v>4030</v>
      </c>
      <c r="P296" s="7">
        <v>4925</v>
      </c>
      <c r="Q296" s="7">
        <v>1172846.3819999998</v>
      </c>
      <c r="R296" s="7">
        <v>2351554.7519999999</v>
      </c>
      <c r="S296" s="7">
        <v>2750810.3690000004</v>
      </c>
      <c r="T296" s="7">
        <v>2766621.206999999</v>
      </c>
      <c r="U296" s="7">
        <v>2559998.5490000015</v>
      </c>
      <c r="V296" s="7">
        <v>2847688.9220000007</v>
      </c>
      <c r="W296" s="7">
        <v>2422883.5099999998</v>
      </c>
      <c r="X296" s="16">
        <f>SUM(Q296:W296)</f>
        <v>16872403.691</v>
      </c>
      <c r="Y296" s="28">
        <v>1485206.8329999999</v>
      </c>
      <c r="Z296" s="28">
        <v>865509.38400000008</v>
      </c>
      <c r="AA296" s="7">
        <v>413032.59399999992</v>
      </c>
      <c r="AB296" s="16">
        <f t="shared" si="9"/>
        <v>2763748.8110000002</v>
      </c>
      <c r="AC296" s="7">
        <v>19636152.502</v>
      </c>
      <c r="AD296" s="8">
        <v>7.758901881491247E-5</v>
      </c>
      <c r="AE296" s="8">
        <v>1.9561526245934505E-5</v>
      </c>
      <c r="AF296" s="8">
        <v>1.8903520426565614E-5</v>
      </c>
      <c r="AG296" s="8">
        <v>2.5301620555386723E-5</v>
      </c>
      <c r="AH296" s="8">
        <v>3.0468767269602054E-5</v>
      </c>
      <c r="AI296" s="8">
        <v>5.7590560096999233E-5</v>
      </c>
      <c r="AJ296" s="8">
        <v>1.6261615483114994E-4</v>
      </c>
      <c r="AK296" s="8">
        <v>4.1408373994465729E-4</v>
      </c>
      <c r="AL296" s="8">
        <v>1.3529604896808374E-3</v>
      </c>
      <c r="AM296" s="8">
        <v>5.4329852718596836E-3</v>
      </c>
      <c r="AN296" s="8">
        <v>2.5081288197870605E-4</v>
      </c>
    </row>
    <row r="297" spans="1:40" x14ac:dyDescent="0.2">
      <c r="A297" t="s">
        <v>338</v>
      </c>
      <c r="B297">
        <v>2015</v>
      </c>
      <c r="C297" t="s">
        <v>345</v>
      </c>
      <c r="D297" s="7">
        <v>105</v>
      </c>
      <c r="E297" s="7">
        <v>54</v>
      </c>
      <c r="F297" s="7">
        <v>43</v>
      </c>
      <c r="G297" s="7">
        <v>64</v>
      </c>
      <c r="H297" s="7">
        <v>62</v>
      </c>
      <c r="I297" s="7">
        <v>143</v>
      </c>
      <c r="J297" s="7">
        <v>329</v>
      </c>
      <c r="K297" s="16">
        <f>SUM(D297:J297)</f>
        <v>800</v>
      </c>
      <c r="L297" s="28">
        <v>620</v>
      </c>
      <c r="M297" s="28">
        <v>1214</v>
      </c>
      <c r="N297" s="7">
        <v>2464</v>
      </c>
      <c r="O297" s="16">
        <f t="shared" si="8"/>
        <v>4298</v>
      </c>
      <c r="P297" s="7">
        <v>5098</v>
      </c>
      <c r="Q297" s="7">
        <v>1174371.4610000001</v>
      </c>
      <c r="R297" s="7">
        <v>2322048.2440000004</v>
      </c>
      <c r="S297" s="7">
        <v>2720067.3799999994</v>
      </c>
      <c r="T297" s="7">
        <v>2796624.49</v>
      </c>
      <c r="U297" s="7">
        <v>2525875.1329999994</v>
      </c>
      <c r="V297" s="7">
        <v>2808279.6739999992</v>
      </c>
      <c r="W297" s="7">
        <v>2452635.3820000007</v>
      </c>
      <c r="X297" s="16">
        <f>SUM(Q297:W297)</f>
        <v>16799901.763999999</v>
      </c>
      <c r="Y297" s="28">
        <v>1530208.2769999998</v>
      </c>
      <c r="Z297" s="28">
        <v>856842.897</v>
      </c>
      <c r="AA297" s="7">
        <v>415314.22299999982</v>
      </c>
      <c r="AB297" s="16">
        <f t="shared" si="9"/>
        <v>2802365.3969999994</v>
      </c>
      <c r="AC297" s="7">
        <v>19602267.160999998</v>
      </c>
      <c r="AD297" s="8">
        <v>8.9409529682022809E-5</v>
      </c>
      <c r="AE297" s="8">
        <v>2.3255330779423715E-5</v>
      </c>
      <c r="AF297" s="8">
        <v>1.5808431922006287E-5</v>
      </c>
      <c r="AG297" s="8">
        <v>2.2884731299767741E-5</v>
      </c>
      <c r="AH297" s="8">
        <v>2.4545948130999716E-5</v>
      </c>
      <c r="AI297" s="8">
        <v>5.0920854259617465E-5</v>
      </c>
      <c r="AJ297" s="8">
        <v>1.3414142290148201E-4</v>
      </c>
      <c r="AK297" s="8">
        <v>4.0517360239059801E-4</v>
      </c>
      <c r="AL297" s="8">
        <v>1.4168291576559572E-3</v>
      </c>
      <c r="AM297" s="8">
        <v>5.9328572525193801E-3</v>
      </c>
      <c r="AN297" s="8">
        <v>2.6007195790815499E-4</v>
      </c>
    </row>
    <row r="298" spans="1:40" x14ac:dyDescent="0.2">
      <c r="A298" t="s">
        <v>338</v>
      </c>
      <c r="B298">
        <v>2016</v>
      </c>
      <c r="C298" t="s">
        <v>346</v>
      </c>
      <c r="D298" s="7">
        <v>90</v>
      </c>
      <c r="E298" s="7">
        <v>62</v>
      </c>
      <c r="F298" s="7">
        <v>53</v>
      </c>
      <c r="G298" s="7">
        <v>63</v>
      </c>
      <c r="H298" s="7">
        <v>64</v>
      </c>
      <c r="I298" s="7">
        <v>110</v>
      </c>
      <c r="J298" s="7">
        <v>376</v>
      </c>
      <c r="K298" s="16">
        <f>SUM(D298:J298)</f>
        <v>818</v>
      </c>
      <c r="L298" s="28">
        <v>695</v>
      </c>
      <c r="M298" s="28">
        <v>1127</v>
      </c>
      <c r="N298" s="7">
        <v>2081</v>
      </c>
      <c r="O298" s="16">
        <f t="shared" si="8"/>
        <v>3903</v>
      </c>
      <c r="P298" s="7">
        <v>4721</v>
      </c>
      <c r="Q298" s="7">
        <v>1176474.4199999997</v>
      </c>
      <c r="R298" s="7">
        <v>2330615.0690000011</v>
      </c>
      <c r="S298" s="7">
        <v>2708684.2859999994</v>
      </c>
      <c r="T298" s="7">
        <v>2842284.2909999997</v>
      </c>
      <c r="U298" s="7">
        <v>2514912.003</v>
      </c>
      <c r="V298" s="7">
        <v>2790798.9110000003</v>
      </c>
      <c r="W298" s="7">
        <v>2509298.3849999993</v>
      </c>
      <c r="X298" s="16">
        <f>SUM(Q298:W298)</f>
        <v>16873067.364999998</v>
      </c>
      <c r="Y298" s="28">
        <v>1607112.1069999994</v>
      </c>
      <c r="Z298" s="28">
        <v>873029.51699999999</v>
      </c>
      <c r="AA298" s="7">
        <v>427625.87399999995</v>
      </c>
      <c r="AB298" s="16">
        <f t="shared" si="9"/>
        <v>2907767.4979999992</v>
      </c>
      <c r="AC298" s="7">
        <v>19780834.863000002</v>
      </c>
      <c r="AD298" s="8">
        <v>7.649975084031153E-5</v>
      </c>
      <c r="AE298" s="8">
        <v>2.6602419603595197E-5</v>
      </c>
      <c r="AF298" s="8">
        <v>1.9566695267489735E-5</v>
      </c>
      <c r="AG298" s="8">
        <v>2.216527044795886E-5</v>
      </c>
      <c r="AH298" s="8">
        <v>2.5448206507287484E-5</v>
      </c>
      <c r="AI298" s="8">
        <v>3.9415236822127306E-5</v>
      </c>
      <c r="AJ298" s="8">
        <v>1.4984268202125357E-4</v>
      </c>
      <c r="AK298" s="8">
        <v>4.3245271874490349E-4</v>
      </c>
      <c r="AL298" s="8">
        <v>1.2909070977035477E-3</v>
      </c>
      <c r="AM298" s="8">
        <v>4.8664033832527178E-3</v>
      </c>
      <c r="AN298" s="8">
        <v>2.3866535627526105E-4</v>
      </c>
    </row>
    <row r="299" spans="1:40" x14ac:dyDescent="0.2">
      <c r="A299" t="s">
        <v>338</v>
      </c>
      <c r="B299">
        <v>2017</v>
      </c>
      <c r="C299" t="s">
        <v>347</v>
      </c>
      <c r="D299" s="7">
        <v>75</v>
      </c>
      <c r="E299" s="7">
        <v>50</v>
      </c>
      <c r="F299" s="7">
        <v>47</v>
      </c>
      <c r="G299" s="7">
        <v>56</v>
      </c>
      <c r="H299" s="7">
        <v>45</v>
      </c>
      <c r="I299" s="7">
        <v>119</v>
      </c>
      <c r="J299" s="7">
        <v>333</v>
      </c>
      <c r="K299" s="16">
        <f>SUM(D299:J299)</f>
        <v>725</v>
      </c>
      <c r="L299" s="28">
        <v>655</v>
      </c>
      <c r="M299" s="28">
        <v>1134</v>
      </c>
      <c r="N299" s="7">
        <v>2166</v>
      </c>
      <c r="O299" s="16">
        <f t="shared" si="8"/>
        <v>3955</v>
      </c>
      <c r="P299" s="7">
        <v>4680</v>
      </c>
      <c r="Q299" s="7">
        <v>1185788</v>
      </c>
      <c r="R299" s="7">
        <v>2318593</v>
      </c>
      <c r="S299" s="7">
        <v>2683001</v>
      </c>
      <c r="T299" s="7">
        <v>2901294</v>
      </c>
      <c r="U299" s="7">
        <v>2500734</v>
      </c>
      <c r="V299" s="7">
        <v>2754470</v>
      </c>
      <c r="W299" s="7">
        <v>2544427</v>
      </c>
      <c r="X299" s="16">
        <f>SUM(Q299:W299)</f>
        <v>16888307</v>
      </c>
      <c r="Y299" s="28">
        <v>1677241</v>
      </c>
      <c r="Z299" s="28">
        <v>896084</v>
      </c>
      <c r="AA299" s="7">
        <v>438169</v>
      </c>
      <c r="AB299" s="16">
        <f t="shared" si="9"/>
        <v>3011494</v>
      </c>
      <c r="AC299" s="7">
        <v>19899801</v>
      </c>
      <c r="AD299" s="8">
        <v>6.3249079936717189E-5</v>
      </c>
      <c r="AE299" s="8">
        <v>2.1564802447001264E-5</v>
      </c>
      <c r="AF299" s="8">
        <v>1.7517697533470917E-5</v>
      </c>
      <c r="AG299" s="8">
        <v>1.9301732261535716E-5</v>
      </c>
      <c r="AH299" s="8">
        <v>1.7994716751161858E-5</v>
      </c>
      <c r="AI299" s="8">
        <v>4.3202503566929391E-5</v>
      </c>
      <c r="AJ299" s="8">
        <v>1.3087425970562331E-4</v>
      </c>
      <c r="AK299" s="8">
        <v>3.9052229226449865E-4</v>
      </c>
      <c r="AL299" s="8">
        <v>1.2655063587788645E-3</v>
      </c>
      <c r="AM299" s="8">
        <v>4.9432981338250765E-3</v>
      </c>
      <c r="AN299" s="8">
        <v>2.3517823117929671E-4</v>
      </c>
    </row>
    <row r="300" spans="1:40" x14ac:dyDescent="0.2">
      <c r="A300" t="s">
        <v>348</v>
      </c>
      <c r="B300">
        <v>2009</v>
      </c>
      <c r="C300" t="s">
        <v>349</v>
      </c>
      <c r="D300" s="7">
        <v>99</v>
      </c>
      <c r="E300" s="7">
        <v>49</v>
      </c>
      <c r="F300" s="7">
        <v>50</v>
      </c>
      <c r="G300" s="7">
        <v>70</v>
      </c>
      <c r="H300" s="7">
        <v>46</v>
      </c>
      <c r="I300" s="7">
        <v>99</v>
      </c>
      <c r="J300" s="7">
        <v>103</v>
      </c>
      <c r="K300" s="16">
        <f>SUM(D300:J300)</f>
        <v>516</v>
      </c>
      <c r="L300" s="28">
        <v>260</v>
      </c>
      <c r="M300" s="28">
        <v>475</v>
      </c>
      <c r="N300" s="7">
        <v>697</v>
      </c>
      <c r="O300" s="16">
        <f t="shared" si="8"/>
        <v>1432</v>
      </c>
      <c r="P300" s="7">
        <v>1948</v>
      </c>
      <c r="Q300" s="7">
        <v>630215.50199999998</v>
      </c>
      <c r="R300" s="7">
        <v>1194596.523</v>
      </c>
      <c r="S300" s="7">
        <v>1260248.3470000005</v>
      </c>
      <c r="T300" s="7">
        <v>1200879.5649999999</v>
      </c>
      <c r="U300" s="7">
        <v>1313498.8049999997</v>
      </c>
      <c r="V300" s="7">
        <v>1276094.4870000002</v>
      </c>
      <c r="W300" s="7">
        <v>997941.21900000039</v>
      </c>
      <c r="X300" s="16">
        <f>SUM(Q300:W300)</f>
        <v>7873474.4480000008</v>
      </c>
      <c r="Y300" s="28">
        <v>601078.45099999977</v>
      </c>
      <c r="Z300" s="28">
        <v>378789.49199999991</v>
      </c>
      <c r="AA300" s="7">
        <v>132131.14600000007</v>
      </c>
      <c r="AB300" s="16">
        <f t="shared" si="9"/>
        <v>1111999.0889999997</v>
      </c>
      <c r="AC300" s="7">
        <v>8985473.5370000005</v>
      </c>
      <c r="AD300" s="8">
        <v>1.5708912219045986E-4</v>
      </c>
      <c r="AE300" s="8">
        <v>4.101803333308379E-5</v>
      </c>
      <c r="AF300" s="8">
        <v>3.9674719763786353E-5</v>
      </c>
      <c r="AG300" s="8">
        <v>5.8290608017799024E-5</v>
      </c>
      <c r="AH300" s="8">
        <v>3.5020968290869523E-5</v>
      </c>
      <c r="AI300" s="8">
        <v>7.7580462111972114E-5</v>
      </c>
      <c r="AJ300" s="8">
        <v>1.0321249191732199E-4</v>
      </c>
      <c r="AK300" s="8">
        <v>4.3255584951921707E-4</v>
      </c>
      <c r="AL300" s="8">
        <v>1.2539946593872254E-3</v>
      </c>
      <c r="AM300" s="8">
        <v>5.2750620962600265E-3</v>
      </c>
      <c r="AN300" s="8">
        <v>2.1679436169708903E-4</v>
      </c>
    </row>
    <row r="301" spans="1:40" x14ac:dyDescent="0.2">
      <c r="A301" t="s">
        <v>348</v>
      </c>
      <c r="B301">
        <v>2010</v>
      </c>
      <c r="C301" t="s">
        <v>350</v>
      </c>
      <c r="D301" s="7">
        <v>106</v>
      </c>
      <c r="E301" s="7">
        <v>48</v>
      </c>
      <c r="F301" s="7">
        <v>56</v>
      </c>
      <c r="G301" s="7">
        <v>40</v>
      </c>
      <c r="H301" s="7">
        <v>55</v>
      </c>
      <c r="I301" s="7">
        <v>64</v>
      </c>
      <c r="J301" s="7">
        <v>124</v>
      </c>
      <c r="K301" s="16">
        <f>SUM(D301:J301)</f>
        <v>493</v>
      </c>
      <c r="L301" s="28">
        <v>213</v>
      </c>
      <c r="M301" s="28">
        <v>440</v>
      </c>
      <c r="N301" s="7">
        <v>783</v>
      </c>
      <c r="O301" s="16">
        <f t="shared" si="8"/>
        <v>1436</v>
      </c>
      <c r="P301" s="7">
        <v>1929</v>
      </c>
      <c r="Q301" s="7">
        <v>621026.22999999986</v>
      </c>
      <c r="R301" s="7">
        <v>1234636.1080000005</v>
      </c>
      <c r="S301" s="7">
        <v>1290162.987</v>
      </c>
      <c r="T301" s="7">
        <v>1218514.0670000007</v>
      </c>
      <c r="U301" s="7">
        <v>1336445.3519999995</v>
      </c>
      <c r="V301" s="7">
        <v>1327565.7380000004</v>
      </c>
      <c r="W301" s="7">
        <v>1066105.034</v>
      </c>
      <c r="X301" s="16">
        <f>SUM(Q301:W301)</f>
        <v>8094455.5160000008</v>
      </c>
      <c r="Y301" s="28">
        <v>649584.50000000012</v>
      </c>
      <c r="Z301" s="28">
        <v>381368.7919999999</v>
      </c>
      <c r="AA301" s="7">
        <v>134982.21700000006</v>
      </c>
      <c r="AB301" s="16">
        <f t="shared" si="9"/>
        <v>1165935.5090000001</v>
      </c>
      <c r="AC301" s="7">
        <v>9260391.0250000004</v>
      </c>
      <c r="AD301" s="8">
        <v>1.7068522210406478E-4</v>
      </c>
      <c r="AE301" s="8">
        <v>3.8877852096643835E-5</v>
      </c>
      <c r="AF301" s="8">
        <v>4.3405368596270234E-5</v>
      </c>
      <c r="AG301" s="8">
        <v>3.2826867644195999E-5</v>
      </c>
      <c r="AH301" s="8">
        <v>4.115394611361559E-5</v>
      </c>
      <c r="AI301" s="8">
        <v>4.8208535493253279E-5</v>
      </c>
      <c r="AJ301" s="8">
        <v>1.16311241430645E-4</v>
      </c>
      <c r="AK301" s="8">
        <v>3.2790191268418497E-4</v>
      </c>
      <c r="AL301" s="8">
        <v>1.1537388722672414E-3</v>
      </c>
      <c r="AM301" s="8">
        <v>5.8007641110236E-3</v>
      </c>
      <c r="AN301" s="8">
        <v>2.0830653854597895E-4</v>
      </c>
    </row>
    <row r="302" spans="1:40" x14ac:dyDescent="0.2">
      <c r="A302" t="s">
        <v>348</v>
      </c>
      <c r="B302">
        <v>2011</v>
      </c>
      <c r="C302" t="s">
        <v>351</v>
      </c>
      <c r="D302" s="7">
        <v>123</v>
      </c>
      <c r="E302" s="7">
        <v>62</v>
      </c>
      <c r="F302" s="7">
        <v>48</v>
      </c>
      <c r="G302" s="7">
        <v>68</v>
      </c>
      <c r="H302" s="7">
        <v>69</v>
      </c>
      <c r="I302" s="7">
        <v>69</v>
      </c>
      <c r="J302" s="7">
        <v>106</v>
      </c>
      <c r="K302" s="16">
        <f>SUM(D302:J302)</f>
        <v>545</v>
      </c>
      <c r="L302" s="28">
        <v>223</v>
      </c>
      <c r="M302" s="28">
        <v>412</v>
      </c>
      <c r="N302" s="7">
        <v>709</v>
      </c>
      <c r="O302" s="16">
        <f t="shared" si="8"/>
        <v>1344</v>
      </c>
      <c r="P302" s="7">
        <v>1889</v>
      </c>
      <c r="Q302" s="7">
        <v>621963.02699999989</v>
      </c>
      <c r="R302" s="7">
        <v>1242709.3729999999</v>
      </c>
      <c r="S302" s="7">
        <v>1299089.6369999994</v>
      </c>
      <c r="T302" s="7">
        <v>1222384.9650000005</v>
      </c>
      <c r="U302" s="7">
        <v>1323299.9129999999</v>
      </c>
      <c r="V302" s="7">
        <v>1334057.007</v>
      </c>
      <c r="W302" s="7">
        <v>1094142.098</v>
      </c>
      <c r="X302" s="16">
        <f>SUM(Q302:W302)</f>
        <v>8137646.0200000005</v>
      </c>
      <c r="Y302" s="28">
        <v>664476.78199999989</v>
      </c>
      <c r="Z302" s="28">
        <v>383288.87899999996</v>
      </c>
      <c r="AA302" s="7">
        <v>138313.62000000002</v>
      </c>
      <c r="AB302" s="16">
        <f t="shared" si="9"/>
        <v>1186079.281</v>
      </c>
      <c r="AC302" s="7">
        <v>9323725.3010000009</v>
      </c>
      <c r="AD302" s="8">
        <v>1.9776095147212025E-4</v>
      </c>
      <c r="AE302" s="8">
        <v>4.9890989274770689E-5</v>
      </c>
      <c r="AF302" s="8">
        <v>3.6948951506415582E-5</v>
      </c>
      <c r="AG302" s="8">
        <v>5.5628956463809233E-5</v>
      </c>
      <c r="AH302" s="8">
        <v>5.2142374772452665E-5</v>
      </c>
      <c r="AI302" s="8">
        <v>5.1721927652226636E-5</v>
      </c>
      <c r="AJ302" s="8">
        <v>9.687955540122175E-5</v>
      </c>
      <c r="AK302" s="8">
        <v>3.356023958110248E-4</v>
      </c>
      <c r="AL302" s="8">
        <v>1.0749072633542286E-3</v>
      </c>
      <c r="AM302" s="8">
        <v>5.1260316952155532E-3</v>
      </c>
      <c r="AN302" s="8">
        <v>2.0260142153666824E-4</v>
      </c>
    </row>
    <row r="303" spans="1:40" x14ac:dyDescent="0.2">
      <c r="A303" t="s">
        <v>348</v>
      </c>
      <c r="B303">
        <v>2012</v>
      </c>
      <c r="C303" t="s">
        <v>352</v>
      </c>
      <c r="D303" s="7">
        <v>93</v>
      </c>
      <c r="E303" s="7">
        <v>49</v>
      </c>
      <c r="F303" s="7">
        <v>36</v>
      </c>
      <c r="G303" s="7">
        <v>42</v>
      </c>
      <c r="H303" s="7">
        <v>59</v>
      </c>
      <c r="I303" s="7">
        <v>64</v>
      </c>
      <c r="J303" s="7">
        <v>174</v>
      </c>
      <c r="K303" s="16">
        <f>SUM(D303:J303)</f>
        <v>517</v>
      </c>
      <c r="L303" s="28">
        <v>293</v>
      </c>
      <c r="M303" s="28">
        <v>510</v>
      </c>
      <c r="N303" s="7">
        <v>794</v>
      </c>
      <c r="O303" s="16">
        <f t="shared" si="8"/>
        <v>1597</v>
      </c>
      <c r="P303" s="7">
        <v>2114</v>
      </c>
      <c r="Q303" s="7">
        <v>624338.95599999977</v>
      </c>
      <c r="R303" s="7">
        <v>1258644.4219999998</v>
      </c>
      <c r="S303" s="7">
        <v>1320695.3369999998</v>
      </c>
      <c r="T303" s="7">
        <v>1241325.1839999999</v>
      </c>
      <c r="U303" s="7">
        <v>1321060.3829999994</v>
      </c>
      <c r="V303" s="7">
        <v>1348089.2229999998</v>
      </c>
      <c r="W303" s="7">
        <v>1128944.9700000002</v>
      </c>
      <c r="X303" s="16">
        <f>SUM(Q303:W303)</f>
        <v>8243098.4749999996</v>
      </c>
      <c r="Y303" s="28">
        <v>697279.45000000007</v>
      </c>
      <c r="Z303" s="28">
        <v>388991.82699999999</v>
      </c>
      <c r="AA303" s="7">
        <v>142797.63200000004</v>
      </c>
      <c r="AB303" s="16">
        <f t="shared" si="9"/>
        <v>1229068.909</v>
      </c>
      <c r="AC303" s="7">
        <v>9472167.3839999977</v>
      </c>
      <c r="AD303" s="8">
        <v>1.4895754798936498E-4</v>
      </c>
      <c r="AE303" s="8">
        <v>3.8930772777063167E-5</v>
      </c>
      <c r="AF303" s="8">
        <v>2.7258368369631038E-5</v>
      </c>
      <c r="AG303" s="8">
        <v>3.3834808591138682E-5</v>
      </c>
      <c r="AH303" s="8">
        <v>4.4661092527819768E-5</v>
      </c>
      <c r="AI303" s="8">
        <v>4.7474602502626796E-5</v>
      </c>
      <c r="AJ303" s="8">
        <v>1.54126201563217E-4</v>
      </c>
      <c r="AK303" s="8">
        <v>4.2020455356887398E-4</v>
      </c>
      <c r="AL303" s="8">
        <v>1.3110815307695398E-3</v>
      </c>
      <c r="AM303" s="8">
        <v>5.5603162943206209E-3</v>
      </c>
      <c r="AN303" s="8">
        <v>2.231801777036672E-4</v>
      </c>
    </row>
    <row r="304" spans="1:40" x14ac:dyDescent="0.2">
      <c r="A304" t="s">
        <v>348</v>
      </c>
      <c r="B304">
        <v>2013</v>
      </c>
      <c r="C304" t="s">
        <v>353</v>
      </c>
      <c r="D304" s="7">
        <v>111</v>
      </c>
      <c r="E304" s="7">
        <v>55</v>
      </c>
      <c r="F304" s="7">
        <v>52</v>
      </c>
      <c r="G304" s="7">
        <v>37</v>
      </c>
      <c r="H304" s="7">
        <v>54</v>
      </c>
      <c r="I304" s="7">
        <v>94</v>
      </c>
      <c r="J304" s="7">
        <v>160</v>
      </c>
      <c r="K304" s="16">
        <f>SUM(D304:J304)</f>
        <v>563</v>
      </c>
      <c r="L304" s="28">
        <v>288</v>
      </c>
      <c r="M304" s="28">
        <v>501</v>
      </c>
      <c r="N304" s="7">
        <v>797</v>
      </c>
      <c r="O304" s="16">
        <f t="shared" si="8"/>
        <v>1586</v>
      </c>
      <c r="P304" s="7">
        <v>2149</v>
      </c>
      <c r="Q304" s="7">
        <v>638918.07999999984</v>
      </c>
      <c r="R304" s="7">
        <v>1315040.1199999999</v>
      </c>
      <c r="S304" s="7">
        <v>1370776.1169999999</v>
      </c>
      <c r="T304" s="7">
        <v>1282069.4330000002</v>
      </c>
      <c r="U304" s="7">
        <v>1350789.5750000002</v>
      </c>
      <c r="V304" s="7">
        <v>1398553.1780000003</v>
      </c>
      <c r="W304" s="7">
        <v>1196781.4820000001</v>
      </c>
      <c r="X304" s="16">
        <f>SUM(Q304:W304)</f>
        <v>8552927.9850000013</v>
      </c>
      <c r="Y304" s="28">
        <v>758092.27499999991</v>
      </c>
      <c r="Z304" s="28">
        <v>408647.06400000001</v>
      </c>
      <c r="AA304" s="7">
        <v>154484.06900000002</v>
      </c>
      <c r="AB304" s="16">
        <f t="shared" si="9"/>
        <v>1321223.4079999998</v>
      </c>
      <c r="AC304" s="7">
        <v>9874151.3930000011</v>
      </c>
      <c r="AD304" s="8">
        <v>1.7373119258105833E-4</v>
      </c>
      <c r="AE304" s="8">
        <v>4.18238190329889E-5</v>
      </c>
      <c r="AF304" s="8">
        <v>3.793471403178817E-5</v>
      </c>
      <c r="AG304" s="8">
        <v>2.885959141340826E-5</v>
      </c>
      <c r="AH304" s="8">
        <v>3.9976618860121119E-5</v>
      </c>
      <c r="AI304" s="8">
        <v>6.7212317328129505E-5</v>
      </c>
      <c r="AJ304" s="8">
        <v>1.3369190817743619E-4</v>
      </c>
      <c r="AK304" s="8">
        <v>3.7990098237051687E-4</v>
      </c>
      <c r="AL304" s="8">
        <v>1.2259968176352785E-3</v>
      </c>
      <c r="AM304" s="8">
        <v>5.1591080242714216E-3</v>
      </c>
      <c r="AN304" s="8">
        <v>2.1763895594344163E-4</v>
      </c>
    </row>
    <row r="305" spans="1:40" x14ac:dyDescent="0.2">
      <c r="A305" t="s">
        <v>348</v>
      </c>
      <c r="B305">
        <v>2014</v>
      </c>
      <c r="C305" t="s">
        <v>354</v>
      </c>
      <c r="D305" s="7">
        <v>116</v>
      </c>
      <c r="E305" s="7">
        <v>54</v>
      </c>
      <c r="F305" s="7">
        <v>63</v>
      </c>
      <c r="G305" s="7">
        <v>43</v>
      </c>
      <c r="H305" s="7">
        <v>66</v>
      </c>
      <c r="I305" s="7">
        <v>115</v>
      </c>
      <c r="J305" s="7">
        <v>184</v>
      </c>
      <c r="K305" s="16">
        <f>SUM(D305:J305)</f>
        <v>641</v>
      </c>
      <c r="L305" s="28">
        <v>304</v>
      </c>
      <c r="M305" s="28">
        <v>479</v>
      </c>
      <c r="N305" s="7">
        <v>745</v>
      </c>
      <c r="O305" s="16">
        <f t="shared" si="8"/>
        <v>1528</v>
      </c>
      <c r="P305" s="7">
        <v>2169</v>
      </c>
      <c r="Q305" s="7">
        <v>642453.79600000009</v>
      </c>
      <c r="R305" s="7">
        <v>1337812.537999999</v>
      </c>
      <c r="S305" s="7">
        <v>1413455.9739999999</v>
      </c>
      <c r="T305" s="7">
        <v>1313194.1970000002</v>
      </c>
      <c r="U305" s="7">
        <v>1358071.8729999999</v>
      </c>
      <c r="V305" s="7">
        <v>1418902.9949999994</v>
      </c>
      <c r="W305" s="7">
        <v>1248545.5239999993</v>
      </c>
      <c r="X305" s="16">
        <f>SUM(Q305:W305)</f>
        <v>8732436.8969999962</v>
      </c>
      <c r="Y305" s="28">
        <v>813232.29999999981</v>
      </c>
      <c r="Z305" s="28">
        <v>426393.27099999995</v>
      </c>
      <c r="AA305" s="7">
        <v>166056.75900000002</v>
      </c>
      <c r="AB305" s="16">
        <f t="shared" si="9"/>
        <v>1405682.3299999998</v>
      </c>
      <c r="AC305" s="7">
        <v>10138119.226999996</v>
      </c>
      <c r="AD305" s="8">
        <v>1.8055773150105255E-4</v>
      </c>
      <c r="AE305" s="8">
        <v>4.0364399694391295E-5</v>
      </c>
      <c r="AF305" s="8">
        <v>4.4571604039221389E-5</v>
      </c>
      <c r="AG305" s="8">
        <v>3.2744585757562555E-5</v>
      </c>
      <c r="AH305" s="8">
        <v>4.8598311556372252E-5</v>
      </c>
      <c r="AI305" s="8">
        <v>8.1048528620520703E-5</v>
      </c>
      <c r="AJ305" s="8">
        <v>1.4737147862299341E-4</v>
      </c>
      <c r="AK305" s="8">
        <v>3.7381692783230579E-4</v>
      </c>
      <c r="AL305" s="8">
        <v>1.1233760769174992E-3</v>
      </c>
      <c r="AM305" s="8">
        <v>4.4864178036860269E-3</v>
      </c>
      <c r="AN305" s="8">
        <v>2.1394500808626175E-4</v>
      </c>
    </row>
    <row r="306" spans="1:40" x14ac:dyDescent="0.2">
      <c r="A306" t="s">
        <v>348</v>
      </c>
      <c r="B306">
        <v>2015</v>
      </c>
      <c r="C306" t="s">
        <v>355</v>
      </c>
      <c r="D306" s="7">
        <v>116</v>
      </c>
      <c r="E306" s="7">
        <v>66</v>
      </c>
      <c r="F306" s="7">
        <v>60</v>
      </c>
      <c r="G306" s="7">
        <v>66</v>
      </c>
      <c r="H306" s="7">
        <v>42</v>
      </c>
      <c r="I306" s="7">
        <v>85</v>
      </c>
      <c r="J306" s="7">
        <v>178</v>
      </c>
      <c r="K306" s="16">
        <f>SUM(D306:J306)</f>
        <v>613</v>
      </c>
      <c r="L306" s="28">
        <v>365</v>
      </c>
      <c r="M306" s="28">
        <v>510</v>
      </c>
      <c r="N306" s="7">
        <v>903</v>
      </c>
      <c r="O306" s="16">
        <f t="shared" si="8"/>
        <v>1778</v>
      </c>
      <c r="P306" s="7">
        <v>2391</v>
      </c>
      <c r="Q306" s="7">
        <v>600187.78300000005</v>
      </c>
      <c r="R306" s="7">
        <v>1269456.865</v>
      </c>
      <c r="S306" s="7">
        <v>1331997.9370000002</v>
      </c>
      <c r="T306" s="7">
        <v>1245965.4589999996</v>
      </c>
      <c r="U306" s="7">
        <v>1279959.4000000004</v>
      </c>
      <c r="V306" s="7">
        <v>1335008.206</v>
      </c>
      <c r="W306" s="7">
        <v>1187533.7150000003</v>
      </c>
      <c r="X306" s="16">
        <f>SUM(Q306:W306)</f>
        <v>8250109.3650000002</v>
      </c>
      <c r="Y306" s="28">
        <v>792293.06300000055</v>
      </c>
      <c r="Z306" s="28">
        <v>404128.42700000003</v>
      </c>
      <c r="AA306" s="7">
        <v>153869.53700000004</v>
      </c>
      <c r="AB306" s="16">
        <f t="shared" si="9"/>
        <v>1350291.0270000007</v>
      </c>
      <c r="AC306" s="7">
        <v>9600400.3920000009</v>
      </c>
      <c r="AD306" s="8">
        <v>1.932728444090972E-4</v>
      </c>
      <c r="AE306" s="8">
        <v>5.1990738574642311E-5</v>
      </c>
      <c r="AF306" s="8">
        <v>4.5045114810864754E-5</v>
      </c>
      <c r="AG306" s="8">
        <v>5.2970970842940534E-5</v>
      </c>
      <c r="AH306" s="8">
        <v>3.2813540804497382E-5</v>
      </c>
      <c r="AI306" s="8">
        <v>6.3670020617086751E-5</v>
      </c>
      <c r="AJ306" s="8">
        <v>1.4989048121467435E-4</v>
      </c>
      <c r="AK306" s="8">
        <v>4.6068811787640217E-4</v>
      </c>
      <c r="AL306" s="8">
        <v>1.2619750701179948E-3</v>
      </c>
      <c r="AM306" s="8">
        <v>5.8686080273316205E-3</v>
      </c>
      <c r="AN306" s="8">
        <v>2.4905211265901123E-4</v>
      </c>
    </row>
    <row r="307" spans="1:40" x14ac:dyDescent="0.2">
      <c r="A307" t="s">
        <v>348</v>
      </c>
      <c r="B307">
        <v>2016</v>
      </c>
      <c r="C307" t="s">
        <v>356</v>
      </c>
      <c r="D307" s="7">
        <v>97</v>
      </c>
      <c r="E307" s="7">
        <v>56</v>
      </c>
      <c r="F307" s="7">
        <v>69</v>
      </c>
      <c r="G307" s="7">
        <v>43</v>
      </c>
      <c r="H307" s="7">
        <v>56</v>
      </c>
      <c r="I307" s="7">
        <v>88</v>
      </c>
      <c r="J307" s="7">
        <v>187</v>
      </c>
      <c r="K307" s="16">
        <f>SUM(D307:J307)</f>
        <v>596</v>
      </c>
      <c r="L307" s="28">
        <v>323</v>
      </c>
      <c r="M307" s="28">
        <v>487</v>
      </c>
      <c r="N307" s="7">
        <v>740</v>
      </c>
      <c r="O307" s="16">
        <f t="shared" si="8"/>
        <v>1550</v>
      </c>
      <c r="P307" s="7">
        <v>2146</v>
      </c>
      <c r="Q307" s="7">
        <v>600763.30199999979</v>
      </c>
      <c r="R307" s="7">
        <v>1283608.5249999997</v>
      </c>
      <c r="S307" s="7">
        <v>1345714.0289999996</v>
      </c>
      <c r="T307" s="7">
        <v>1282140.7089999993</v>
      </c>
      <c r="U307" s="7">
        <v>1288502.5759999999</v>
      </c>
      <c r="V307" s="7">
        <v>1355691.3520000002</v>
      </c>
      <c r="W307" s="7">
        <v>1223048.2520000003</v>
      </c>
      <c r="X307" s="16">
        <f>SUM(Q307:W307)</f>
        <v>8379468.7449999992</v>
      </c>
      <c r="Y307" s="28">
        <v>833165.0619999998</v>
      </c>
      <c r="Z307" s="28">
        <v>418155.47999999981</v>
      </c>
      <c r="AA307" s="7">
        <v>159382.26599999989</v>
      </c>
      <c r="AB307" s="16">
        <f t="shared" si="9"/>
        <v>1410702.8079999995</v>
      </c>
      <c r="AC307" s="7">
        <v>9790171.5529999994</v>
      </c>
      <c r="AD307" s="8">
        <v>1.6146126049490292E-4</v>
      </c>
      <c r="AE307" s="8">
        <v>4.3627008475968179E-5</v>
      </c>
      <c r="AF307" s="8">
        <v>5.1273895131548801E-5</v>
      </c>
      <c r="AG307" s="8">
        <v>3.3537660646886163E-5</v>
      </c>
      <c r="AH307" s="8">
        <v>4.346130232338783E-5</v>
      </c>
      <c r="AI307" s="8">
        <v>6.4911530098777227E-5</v>
      </c>
      <c r="AJ307" s="8">
        <v>1.528966659281076E-4</v>
      </c>
      <c r="AK307" s="8">
        <v>3.8767828216973416E-4</v>
      </c>
      <c r="AL307" s="8">
        <v>1.1646385693665912E-3</v>
      </c>
      <c r="AM307" s="8">
        <v>4.6429255811935846E-3</v>
      </c>
      <c r="AN307" s="8">
        <v>2.1919942754653791E-4</v>
      </c>
    </row>
    <row r="308" spans="1:40" x14ac:dyDescent="0.2">
      <c r="A308" t="s">
        <v>348</v>
      </c>
      <c r="B308">
        <v>2017</v>
      </c>
      <c r="C308" t="s">
        <v>357</v>
      </c>
      <c r="D308" s="7">
        <v>94</v>
      </c>
      <c r="E308" s="7">
        <v>44</v>
      </c>
      <c r="F308" s="7">
        <v>46</v>
      </c>
      <c r="G308" s="7">
        <v>60</v>
      </c>
      <c r="H308" s="7">
        <v>53</v>
      </c>
      <c r="I308" s="7">
        <v>91</v>
      </c>
      <c r="J308" s="7">
        <v>215</v>
      </c>
      <c r="K308" s="16">
        <f>SUM(D308:J308)</f>
        <v>603</v>
      </c>
      <c r="L308" s="28">
        <v>363</v>
      </c>
      <c r="M308" s="28">
        <v>514</v>
      </c>
      <c r="N308" s="7">
        <v>813</v>
      </c>
      <c r="O308" s="16">
        <f t="shared" si="8"/>
        <v>1690</v>
      </c>
      <c r="P308" s="7">
        <v>2293</v>
      </c>
      <c r="Q308" s="7">
        <v>617136</v>
      </c>
      <c r="R308" s="7">
        <v>1321950</v>
      </c>
      <c r="S308" s="7">
        <v>1395287</v>
      </c>
      <c r="T308" s="7">
        <v>1342357</v>
      </c>
      <c r="U308" s="7">
        <v>1324286</v>
      </c>
      <c r="V308" s="7">
        <v>1404269</v>
      </c>
      <c r="W308" s="7">
        <v>1300705</v>
      </c>
      <c r="X308" s="16">
        <f>SUM(Q308:W308)</f>
        <v>8705990</v>
      </c>
      <c r="Y308" s="28">
        <v>920283</v>
      </c>
      <c r="Z308" s="28">
        <v>452761</v>
      </c>
      <c r="AA308" s="7">
        <v>171815</v>
      </c>
      <c r="AB308" s="16">
        <f t="shared" si="9"/>
        <v>1544859</v>
      </c>
      <c r="AC308" s="7">
        <v>10250849</v>
      </c>
      <c r="AD308" s="8">
        <v>1.5231650722045059E-4</v>
      </c>
      <c r="AE308" s="8">
        <v>3.3284163546276336E-5</v>
      </c>
      <c r="AF308" s="8">
        <v>3.2968127704192754E-5</v>
      </c>
      <c r="AG308" s="8">
        <v>4.4697498504496196E-5</v>
      </c>
      <c r="AH308" s="8">
        <v>4.0021566338389137E-5</v>
      </c>
      <c r="AI308" s="8">
        <v>6.480239897056761E-5</v>
      </c>
      <c r="AJ308" s="8">
        <v>1.6529497464836377E-4</v>
      </c>
      <c r="AK308" s="8">
        <v>3.9444388302293967E-4</v>
      </c>
      <c r="AL308" s="8">
        <v>1.1352567911105417E-3</v>
      </c>
      <c r="AM308" s="8">
        <v>4.7318336582952598E-3</v>
      </c>
      <c r="AN308" s="8">
        <v>2.2368878909444475E-4</v>
      </c>
    </row>
    <row r="309" spans="1:40" x14ac:dyDescent="0.2">
      <c r="A309" t="s">
        <v>358</v>
      </c>
      <c r="B309">
        <v>2009</v>
      </c>
      <c r="C309" t="s">
        <v>359</v>
      </c>
      <c r="D309" s="7">
        <v>117</v>
      </c>
      <c r="E309" s="7">
        <v>60</v>
      </c>
      <c r="F309" s="7">
        <v>40</v>
      </c>
      <c r="G309" s="7">
        <v>48</v>
      </c>
      <c r="H309" s="7">
        <v>63</v>
      </c>
      <c r="I309" s="7">
        <v>42</v>
      </c>
      <c r="J309" s="7">
        <v>47</v>
      </c>
      <c r="K309" s="16">
        <f>SUM(D309:J309)</f>
        <v>417</v>
      </c>
      <c r="L309" s="28">
        <v>64</v>
      </c>
      <c r="M309" s="28">
        <v>68</v>
      </c>
      <c r="N309" s="7">
        <v>58</v>
      </c>
      <c r="O309" s="16">
        <f t="shared" si="8"/>
        <v>190</v>
      </c>
      <c r="P309" s="7">
        <v>607</v>
      </c>
      <c r="Q309" s="7">
        <v>39740.358</v>
      </c>
      <c r="R309" s="7">
        <v>74639.883999999991</v>
      </c>
      <c r="S309" s="7">
        <v>112085.18800000001</v>
      </c>
      <c r="T309" s="7">
        <v>76464.710000000006</v>
      </c>
      <c r="U309" s="7">
        <v>73984.456999999995</v>
      </c>
      <c r="V309" s="7">
        <v>89927.881999999983</v>
      </c>
      <c r="W309" s="7">
        <v>66566.008000000016</v>
      </c>
      <c r="X309" s="16">
        <f>SUM(Q309:W309)</f>
        <v>533408.48699999996</v>
      </c>
      <c r="Y309" s="28">
        <v>41833.664999999994</v>
      </c>
      <c r="Z309" s="28">
        <v>33123.738999999994</v>
      </c>
      <c r="AA309" s="7">
        <v>15604.924000000001</v>
      </c>
      <c r="AB309" s="16">
        <f t="shared" si="9"/>
        <v>90562.32799999998</v>
      </c>
      <c r="AC309" s="7">
        <v>623970.81499999994</v>
      </c>
      <c r="AD309" s="8">
        <v>2.9441103676016204E-3</v>
      </c>
      <c r="AE309" s="8">
        <v>8.0385977020007166E-4</v>
      </c>
      <c r="AF309" s="8">
        <v>3.5687141819309786E-4</v>
      </c>
      <c r="AG309" s="8">
        <v>6.2774056162640251E-4</v>
      </c>
      <c r="AH309" s="8">
        <v>8.5153020721636177E-4</v>
      </c>
      <c r="AI309" s="8">
        <v>4.6704091173858632E-4</v>
      </c>
      <c r="AJ309" s="8">
        <v>7.0606607504538938E-4</v>
      </c>
      <c r="AK309" s="8">
        <v>1.5298683488525332E-3</v>
      </c>
      <c r="AL309" s="8">
        <v>2.0529083386389446E-3</v>
      </c>
      <c r="AM309" s="8">
        <v>3.7167755511016906E-3</v>
      </c>
      <c r="AN309" s="8">
        <v>9.7280190901236313E-4</v>
      </c>
    </row>
    <row r="310" spans="1:40" x14ac:dyDescent="0.2">
      <c r="A310" t="s">
        <v>358</v>
      </c>
      <c r="B310">
        <v>2010</v>
      </c>
      <c r="C310" t="s">
        <v>360</v>
      </c>
      <c r="D310" s="7">
        <v>112</v>
      </c>
      <c r="E310" s="7">
        <v>51</v>
      </c>
      <c r="F310" s="7">
        <v>42</v>
      </c>
      <c r="G310" s="7">
        <v>62</v>
      </c>
      <c r="H310" s="7">
        <v>52</v>
      </c>
      <c r="I310" s="7">
        <v>48</v>
      </c>
      <c r="J310" s="7">
        <v>53</v>
      </c>
      <c r="K310" s="16">
        <f>SUM(D310:J310)</f>
        <v>420</v>
      </c>
      <c r="L310" s="28">
        <v>57</v>
      </c>
      <c r="M310" s="28">
        <v>67</v>
      </c>
      <c r="N310" s="7">
        <v>70</v>
      </c>
      <c r="O310" s="16">
        <f t="shared" si="8"/>
        <v>194</v>
      </c>
      <c r="P310" s="7">
        <v>614</v>
      </c>
      <c r="Q310" s="7">
        <v>36571.53100000001</v>
      </c>
      <c r="R310" s="7">
        <v>69926.83299999997</v>
      </c>
      <c r="S310" s="7">
        <v>88320.249000000011</v>
      </c>
      <c r="T310" s="7">
        <v>72023.131000000023</v>
      </c>
      <c r="U310" s="7">
        <v>67844.048000000024</v>
      </c>
      <c r="V310" s="7">
        <v>84675.47600000001</v>
      </c>
      <c r="W310" s="7">
        <v>66284.74500000001</v>
      </c>
      <c r="X310" s="16">
        <f>SUM(Q310:W310)</f>
        <v>485646.01300000004</v>
      </c>
      <c r="Y310" s="28">
        <v>40434.281999999999</v>
      </c>
      <c r="Z310" s="28">
        <v>30365.308000000001</v>
      </c>
      <c r="AA310" s="7">
        <v>14115.217999999999</v>
      </c>
      <c r="AB310" s="16">
        <f t="shared" si="9"/>
        <v>84914.80799999999</v>
      </c>
      <c r="AC310" s="7">
        <v>570560.821</v>
      </c>
      <c r="AD310" s="8">
        <v>3.0624914226314442E-3</v>
      </c>
      <c r="AE310" s="8">
        <v>7.2933375947399225E-4</v>
      </c>
      <c r="AF310" s="8">
        <v>4.7554213756802243E-4</v>
      </c>
      <c r="AG310" s="8">
        <v>8.6083455605394301E-4</v>
      </c>
      <c r="AH310" s="8">
        <v>7.6646369921794732E-4</v>
      </c>
      <c r="AI310" s="8">
        <v>5.6687015258113222E-4</v>
      </c>
      <c r="AJ310" s="8">
        <v>7.9958065766112536E-4</v>
      </c>
      <c r="AK310" s="8">
        <v>1.4096948722868382E-3</v>
      </c>
      <c r="AL310" s="8">
        <v>2.2064653518416477E-3</v>
      </c>
      <c r="AM310" s="8">
        <v>4.9591866027148858E-3</v>
      </c>
      <c r="AN310" s="8">
        <v>1.076134177814498E-3</v>
      </c>
    </row>
    <row r="311" spans="1:40" x14ac:dyDescent="0.2">
      <c r="A311" t="s">
        <v>358</v>
      </c>
      <c r="B311">
        <v>2011</v>
      </c>
      <c r="C311" t="s">
        <v>361</v>
      </c>
      <c r="D311" s="7">
        <v>114</v>
      </c>
      <c r="E311" s="7">
        <v>47</v>
      </c>
      <c r="F311" s="7">
        <v>56</v>
      </c>
      <c r="G311" s="7">
        <v>50</v>
      </c>
      <c r="H311" s="7">
        <v>41</v>
      </c>
      <c r="I311" s="7">
        <v>48</v>
      </c>
      <c r="J311" s="7">
        <v>56</v>
      </c>
      <c r="K311" s="16">
        <f>SUM(D311:J311)</f>
        <v>412</v>
      </c>
      <c r="L311" s="28">
        <v>56</v>
      </c>
      <c r="M311" s="28">
        <v>53</v>
      </c>
      <c r="N311" s="7">
        <v>55</v>
      </c>
      <c r="O311" s="16">
        <f t="shared" si="8"/>
        <v>164</v>
      </c>
      <c r="P311" s="7">
        <v>576</v>
      </c>
      <c r="Q311" s="7">
        <v>50468.344999999994</v>
      </c>
      <c r="R311" s="7">
        <v>97596.745999999956</v>
      </c>
      <c r="S311" s="7">
        <v>126255.56100000003</v>
      </c>
      <c r="T311" s="7">
        <v>103698.618</v>
      </c>
      <c r="U311" s="7">
        <v>95980.173999999941</v>
      </c>
      <c r="V311" s="7">
        <v>119928.83100000002</v>
      </c>
      <c r="W311" s="7">
        <v>100523.53099999997</v>
      </c>
      <c r="X311" s="16">
        <f>SUM(Q311:W311)</f>
        <v>694451.80599999998</v>
      </c>
      <c r="Y311" s="28">
        <v>60303.581000000006</v>
      </c>
      <c r="Z311" s="28">
        <v>44942.149000000005</v>
      </c>
      <c r="AA311" s="7">
        <v>19920.373000000007</v>
      </c>
      <c r="AB311" s="16">
        <f t="shared" si="9"/>
        <v>125166.10300000002</v>
      </c>
      <c r="AC311" s="7">
        <v>819617.90899999999</v>
      </c>
      <c r="AD311" s="8">
        <v>2.2588416560915562E-3</v>
      </c>
      <c r="AE311" s="8">
        <v>4.8157343278637613E-4</v>
      </c>
      <c r="AF311" s="8">
        <v>4.4354481938423281E-4</v>
      </c>
      <c r="AG311" s="8">
        <v>4.8216650293256557E-4</v>
      </c>
      <c r="AH311" s="8">
        <v>4.271715531584682E-4</v>
      </c>
      <c r="AI311" s="8">
        <v>4.0023737077867448E-4</v>
      </c>
      <c r="AJ311" s="8">
        <v>5.5708349520670951E-4</v>
      </c>
      <c r="AK311" s="8">
        <v>9.2863473563866783E-4</v>
      </c>
      <c r="AL311" s="8">
        <v>1.1792938517470536E-3</v>
      </c>
      <c r="AM311" s="8">
        <v>2.7609924773998951E-3</v>
      </c>
      <c r="AN311" s="8">
        <v>7.0276648872005072E-4</v>
      </c>
    </row>
    <row r="312" spans="1:40" x14ac:dyDescent="0.2">
      <c r="A312" t="s">
        <v>358</v>
      </c>
      <c r="B312">
        <v>2012</v>
      </c>
      <c r="C312" t="s">
        <v>362</v>
      </c>
      <c r="D312" s="7">
        <v>89</v>
      </c>
      <c r="E312" s="7">
        <v>39</v>
      </c>
      <c r="F312" s="7">
        <v>52</v>
      </c>
      <c r="G312" s="7">
        <v>39</v>
      </c>
      <c r="H312" s="7">
        <v>53</v>
      </c>
      <c r="I312" s="7">
        <v>60</v>
      </c>
      <c r="J312" s="7">
        <v>48</v>
      </c>
      <c r="K312" s="16">
        <f>SUM(D312:J312)</f>
        <v>380</v>
      </c>
      <c r="L312" s="28">
        <v>65</v>
      </c>
      <c r="M312" s="28">
        <v>64</v>
      </c>
      <c r="N312" s="7">
        <v>83</v>
      </c>
      <c r="O312" s="16">
        <f t="shared" si="8"/>
        <v>212</v>
      </c>
      <c r="P312" s="7">
        <v>592</v>
      </c>
      <c r="Q312" s="7">
        <v>45570.785000000003</v>
      </c>
      <c r="R312" s="7">
        <v>84646.807000000001</v>
      </c>
      <c r="S312" s="7">
        <v>112406.48699999999</v>
      </c>
      <c r="T312" s="7">
        <v>93608.000000000029</v>
      </c>
      <c r="U312" s="7">
        <v>79405.303000000014</v>
      </c>
      <c r="V312" s="7">
        <v>100133.90899999999</v>
      </c>
      <c r="W312" s="7">
        <v>86931.608999999968</v>
      </c>
      <c r="X312" s="16">
        <f>SUM(Q312:W312)</f>
        <v>602702.9</v>
      </c>
      <c r="Y312" s="28">
        <v>51299.063000000009</v>
      </c>
      <c r="Z312" s="28">
        <v>35656.105999999985</v>
      </c>
      <c r="AA312" s="7">
        <v>16998.883999999998</v>
      </c>
      <c r="AB312" s="16">
        <f t="shared" si="9"/>
        <v>103954.05299999999</v>
      </c>
      <c r="AC312" s="7">
        <v>706656.95299999998</v>
      </c>
      <c r="AD312" s="8">
        <v>1.9530056372739683E-3</v>
      </c>
      <c r="AE312" s="8">
        <v>4.6073799334214694E-4</v>
      </c>
      <c r="AF312" s="8">
        <v>4.626067532917384E-4</v>
      </c>
      <c r="AG312" s="8">
        <v>4.1663105717460033E-4</v>
      </c>
      <c r="AH312" s="8">
        <v>6.6746171852023522E-4</v>
      </c>
      <c r="AI312" s="8">
        <v>5.9919762045842042E-4</v>
      </c>
      <c r="AJ312" s="8">
        <v>5.5215819138927961E-4</v>
      </c>
      <c r="AK312" s="8">
        <v>1.267079673560509E-3</v>
      </c>
      <c r="AL312" s="8">
        <v>1.7949239886150222E-3</v>
      </c>
      <c r="AM312" s="8">
        <v>4.8826734743292561E-3</v>
      </c>
      <c r="AN312" s="8">
        <v>8.377473645263914E-4</v>
      </c>
    </row>
    <row r="313" spans="1:40" x14ac:dyDescent="0.2">
      <c r="A313" t="s">
        <v>358</v>
      </c>
      <c r="B313">
        <v>2013</v>
      </c>
      <c r="C313" t="s">
        <v>363</v>
      </c>
      <c r="D313" s="7">
        <v>112</v>
      </c>
      <c r="E313" s="7">
        <v>62</v>
      </c>
      <c r="F313" s="7">
        <v>70</v>
      </c>
      <c r="G313" s="7">
        <v>48</v>
      </c>
      <c r="H313" s="7">
        <v>46</v>
      </c>
      <c r="I313" s="7">
        <v>60</v>
      </c>
      <c r="J313" s="7">
        <v>45</v>
      </c>
      <c r="K313" s="16">
        <f>SUM(D313:J313)</f>
        <v>443</v>
      </c>
      <c r="L313" s="28">
        <v>53</v>
      </c>
      <c r="M313" s="28">
        <v>50</v>
      </c>
      <c r="N313" s="7">
        <v>81</v>
      </c>
      <c r="O313" s="16">
        <f t="shared" si="8"/>
        <v>184</v>
      </c>
      <c r="P313" s="7">
        <v>627</v>
      </c>
      <c r="Q313" s="7">
        <v>48288.910000000011</v>
      </c>
      <c r="R313" s="7">
        <v>90112.606999999989</v>
      </c>
      <c r="S313" s="7">
        <v>117152.09999999996</v>
      </c>
      <c r="T313" s="7">
        <v>99672.372999999992</v>
      </c>
      <c r="U313" s="7">
        <v>82754.510999999999</v>
      </c>
      <c r="V313" s="7">
        <v>101224.82999999997</v>
      </c>
      <c r="W313" s="7">
        <v>91861.116999999998</v>
      </c>
      <c r="X313" s="16">
        <f>SUM(Q313:W313)</f>
        <v>631066.44799999997</v>
      </c>
      <c r="Y313" s="28">
        <v>53391.585999999981</v>
      </c>
      <c r="Z313" s="28">
        <v>35917.228000000003</v>
      </c>
      <c r="AA313" s="7">
        <v>17329.144000000004</v>
      </c>
      <c r="AB313" s="16">
        <f t="shared" si="9"/>
        <v>106637.95799999998</v>
      </c>
      <c r="AC313" s="7">
        <v>737704.40599999996</v>
      </c>
      <c r="AD313" s="8">
        <v>2.319373123145666E-3</v>
      </c>
      <c r="AE313" s="8">
        <v>6.880280358551829E-4</v>
      </c>
      <c r="AF313" s="8">
        <v>5.9751383031119397E-4</v>
      </c>
      <c r="AG313" s="8">
        <v>4.8157777882944561E-4</v>
      </c>
      <c r="AH313" s="8">
        <v>5.5586093669262335E-4</v>
      </c>
      <c r="AI313" s="8">
        <v>5.927399433518438E-4</v>
      </c>
      <c r="AJ313" s="8">
        <v>4.8986994138118306E-4</v>
      </c>
      <c r="AK313" s="8">
        <v>9.9266577321752559E-4</v>
      </c>
      <c r="AL313" s="8">
        <v>1.3920896122607235E-3</v>
      </c>
      <c r="AM313" s="8">
        <v>4.6742066428670671E-3</v>
      </c>
      <c r="AN313" s="8">
        <v>8.499339232630258E-4</v>
      </c>
    </row>
    <row r="314" spans="1:40" x14ac:dyDescent="0.2">
      <c r="A314" t="s">
        <v>358</v>
      </c>
      <c r="B314">
        <v>2014</v>
      </c>
      <c r="C314" t="s">
        <v>364</v>
      </c>
      <c r="D314" s="7">
        <v>91</v>
      </c>
      <c r="E314" s="7">
        <v>31</v>
      </c>
      <c r="F314" s="7">
        <v>61</v>
      </c>
      <c r="G314" s="7">
        <v>56</v>
      </c>
      <c r="H314" s="7">
        <v>58</v>
      </c>
      <c r="I314" s="7">
        <v>49</v>
      </c>
      <c r="J314" s="7">
        <v>55</v>
      </c>
      <c r="K314" s="16">
        <f>SUM(D314:J314)</f>
        <v>401</v>
      </c>
      <c r="L314" s="28">
        <v>63</v>
      </c>
      <c r="M314" s="28">
        <v>56</v>
      </c>
      <c r="N314" s="7">
        <v>89</v>
      </c>
      <c r="O314" s="16">
        <f t="shared" si="8"/>
        <v>208</v>
      </c>
      <c r="P314" s="7">
        <v>609</v>
      </c>
      <c r="Q314" s="7">
        <v>46939.447000000007</v>
      </c>
      <c r="R314" s="7">
        <v>87190.48</v>
      </c>
      <c r="S314" s="7">
        <v>114169.10899999997</v>
      </c>
      <c r="T314" s="7">
        <v>98582.263000000035</v>
      </c>
      <c r="U314" s="7">
        <v>80097.496000000014</v>
      </c>
      <c r="V314" s="7">
        <v>92292.697999999989</v>
      </c>
      <c r="W314" s="7">
        <v>87863.152000000016</v>
      </c>
      <c r="X314" s="16">
        <f>SUM(Q314:W314)</f>
        <v>607134.64500000002</v>
      </c>
      <c r="Y314" s="28">
        <v>52383.436000000002</v>
      </c>
      <c r="Z314" s="28">
        <v>33148.106</v>
      </c>
      <c r="AA314" s="7">
        <v>15936.548999999997</v>
      </c>
      <c r="AB314" s="16">
        <f t="shared" si="9"/>
        <v>101468.091</v>
      </c>
      <c r="AC314" s="7">
        <v>708602.73600000003</v>
      </c>
      <c r="AD314" s="8">
        <v>1.9386679182649934E-3</v>
      </c>
      <c r="AE314" s="8">
        <v>3.5554340336238542E-4</v>
      </c>
      <c r="AF314" s="8">
        <v>5.3429513932704877E-4</v>
      </c>
      <c r="AG314" s="8">
        <v>5.6805350471615754E-4</v>
      </c>
      <c r="AH314" s="8">
        <v>7.2411751798083664E-4</v>
      </c>
      <c r="AI314" s="8">
        <v>5.3091957502423442E-4</v>
      </c>
      <c r="AJ314" s="8">
        <v>6.2597344561460743E-4</v>
      </c>
      <c r="AK314" s="8">
        <v>1.2026702486641007E-3</v>
      </c>
      <c r="AL314" s="8">
        <v>1.6893876229308546E-3</v>
      </c>
      <c r="AM314" s="8">
        <v>5.584646964659665E-3</v>
      </c>
      <c r="AN314" s="8">
        <v>8.5943783316128769E-4</v>
      </c>
    </row>
    <row r="315" spans="1:40" x14ac:dyDescent="0.2">
      <c r="A315" t="s">
        <v>358</v>
      </c>
      <c r="B315">
        <v>2015</v>
      </c>
      <c r="C315" t="s">
        <v>365</v>
      </c>
      <c r="D315" s="7">
        <v>104</v>
      </c>
      <c r="E315" s="7">
        <v>58</v>
      </c>
      <c r="F315" s="7">
        <v>48</v>
      </c>
      <c r="G315" s="7">
        <v>64</v>
      </c>
      <c r="H315" s="7">
        <v>63</v>
      </c>
      <c r="I315" s="7">
        <v>41</v>
      </c>
      <c r="J315" s="7">
        <v>60</v>
      </c>
      <c r="K315" s="16">
        <f>SUM(D315:J315)</f>
        <v>438</v>
      </c>
      <c r="L315" s="28">
        <v>54</v>
      </c>
      <c r="M315" s="28">
        <v>82</v>
      </c>
      <c r="N315" s="7">
        <v>89</v>
      </c>
      <c r="O315" s="16">
        <f t="shared" si="8"/>
        <v>225</v>
      </c>
      <c r="P315" s="7">
        <v>663</v>
      </c>
      <c r="Q315" s="7">
        <v>48875.08</v>
      </c>
      <c r="R315" s="7">
        <v>90029.58600000001</v>
      </c>
      <c r="S315" s="7">
        <v>115626.86800000003</v>
      </c>
      <c r="T315" s="7">
        <v>103670.89199999999</v>
      </c>
      <c r="U315" s="7">
        <v>82016.841</v>
      </c>
      <c r="V315" s="7">
        <v>93591.585999999996</v>
      </c>
      <c r="W315" s="7">
        <v>93205.707999999984</v>
      </c>
      <c r="X315" s="16">
        <f>SUM(Q315:W315)</f>
        <v>627016.56099999999</v>
      </c>
      <c r="Y315" s="28">
        <v>55466.585000000006</v>
      </c>
      <c r="Z315" s="28">
        <v>33689.210999999996</v>
      </c>
      <c r="AA315" s="7">
        <v>16396.365000000002</v>
      </c>
      <c r="AB315" s="16">
        <f t="shared" si="9"/>
        <v>105552.16100000001</v>
      </c>
      <c r="AC315" s="7">
        <v>732568.72199999995</v>
      </c>
      <c r="AD315" s="8">
        <v>2.1278737548869483E-3</v>
      </c>
      <c r="AE315" s="8">
        <v>6.4423266369346619E-4</v>
      </c>
      <c r="AF315" s="8">
        <v>4.1512842845488113E-4</v>
      </c>
      <c r="AG315" s="8">
        <v>6.1733818206174984E-4</v>
      </c>
      <c r="AH315" s="8">
        <v>7.6813492487475834E-4</v>
      </c>
      <c r="AI315" s="8">
        <v>4.3807356785256318E-4</v>
      </c>
      <c r="AJ315" s="8">
        <v>6.4373739857219914E-4</v>
      </c>
      <c r="AK315" s="8">
        <v>9.735591257330876E-4</v>
      </c>
      <c r="AL315" s="8">
        <v>2.4340136668680075E-3</v>
      </c>
      <c r="AM315" s="8">
        <v>5.4280323718092389E-3</v>
      </c>
      <c r="AN315" s="8">
        <v>9.0503454500477577E-4</v>
      </c>
    </row>
    <row r="316" spans="1:40" x14ac:dyDescent="0.2">
      <c r="A316" t="s">
        <v>358</v>
      </c>
      <c r="B316">
        <v>2016</v>
      </c>
      <c r="C316" t="s">
        <v>366</v>
      </c>
      <c r="D316" s="7">
        <v>99</v>
      </c>
      <c r="E316" s="7">
        <v>52</v>
      </c>
      <c r="F316" s="7">
        <v>78</v>
      </c>
      <c r="G316" s="7">
        <v>53</v>
      </c>
      <c r="H316" s="7">
        <v>55</v>
      </c>
      <c r="I316" s="7">
        <v>43</v>
      </c>
      <c r="J316" s="7">
        <v>63</v>
      </c>
      <c r="K316" s="16">
        <f>SUM(D316:J316)</f>
        <v>443</v>
      </c>
      <c r="L316" s="28">
        <v>56</v>
      </c>
      <c r="M316" s="28">
        <v>51</v>
      </c>
      <c r="N316" s="7">
        <v>62</v>
      </c>
      <c r="O316" s="16">
        <f t="shared" si="8"/>
        <v>169</v>
      </c>
      <c r="P316" s="7">
        <v>612</v>
      </c>
      <c r="Q316" s="7">
        <v>42278.99</v>
      </c>
      <c r="R316" s="7">
        <v>77038.15800000001</v>
      </c>
      <c r="S316" s="7">
        <v>93192.864000000001</v>
      </c>
      <c r="T316" s="7">
        <v>90119.838000000003</v>
      </c>
      <c r="U316" s="7">
        <v>71342.248999999982</v>
      </c>
      <c r="V316" s="7">
        <v>78258.017000000036</v>
      </c>
      <c r="W316" s="7">
        <v>79932.108999999997</v>
      </c>
      <c r="X316" s="16">
        <f>SUM(Q316:W316)</f>
        <v>532162.22500000009</v>
      </c>
      <c r="Y316" s="28">
        <v>48686.796000000009</v>
      </c>
      <c r="Z316" s="28">
        <v>28508.931999999993</v>
      </c>
      <c r="AA316" s="7">
        <v>15204.326000000001</v>
      </c>
      <c r="AB316" s="16">
        <f t="shared" si="9"/>
        <v>92400.054000000004</v>
      </c>
      <c r="AC316" s="7">
        <v>624562.2790000001</v>
      </c>
      <c r="AD316" s="8">
        <v>2.3415885762644757E-3</v>
      </c>
      <c r="AE316" s="8">
        <v>6.7499017824387744E-4</v>
      </c>
      <c r="AF316" s="8">
        <v>8.3697395543075054E-4</v>
      </c>
      <c r="AG316" s="8">
        <v>5.8810580640413488E-4</v>
      </c>
      <c r="AH316" s="8">
        <v>7.7093168173041494E-4</v>
      </c>
      <c r="AI316" s="8">
        <v>5.4946447211919492E-4</v>
      </c>
      <c r="AJ316" s="8">
        <v>7.8816886965912543E-4</v>
      </c>
      <c r="AK316" s="8">
        <v>1.1502091860799383E-3</v>
      </c>
      <c r="AL316" s="8">
        <v>1.7889130325892254E-3</v>
      </c>
      <c r="AM316" s="8">
        <v>4.0777868088332225E-3</v>
      </c>
      <c r="AN316" s="8">
        <v>9.7988626687459611E-4</v>
      </c>
    </row>
    <row r="317" spans="1:40" x14ac:dyDescent="0.2">
      <c r="A317" t="s">
        <v>358</v>
      </c>
      <c r="B317">
        <v>2017</v>
      </c>
      <c r="C317" t="s">
        <v>367</v>
      </c>
      <c r="D317" s="7">
        <v>133</v>
      </c>
      <c r="E317" s="7">
        <v>70</v>
      </c>
      <c r="F317" s="7">
        <v>74</v>
      </c>
      <c r="G317" s="7">
        <v>49</v>
      </c>
      <c r="H317" s="7">
        <v>50</v>
      </c>
      <c r="I317" s="7">
        <v>28</v>
      </c>
      <c r="J317" s="7">
        <v>58</v>
      </c>
      <c r="K317" s="16">
        <f>SUM(D317:J317)</f>
        <v>462</v>
      </c>
      <c r="L317" s="28">
        <v>50</v>
      </c>
      <c r="M317" s="28">
        <v>64</v>
      </c>
      <c r="N317" s="7">
        <v>51</v>
      </c>
      <c r="O317" s="16">
        <f t="shared" si="8"/>
        <v>165</v>
      </c>
      <c r="P317" s="7">
        <v>627</v>
      </c>
      <c r="Q317" s="7">
        <v>55761</v>
      </c>
      <c r="R317" s="7">
        <v>103122</v>
      </c>
      <c r="S317" s="7">
        <v>129177</v>
      </c>
      <c r="T317" s="7">
        <v>120553</v>
      </c>
      <c r="U317" s="7">
        <v>94335</v>
      </c>
      <c r="V317" s="7">
        <v>99115</v>
      </c>
      <c r="W317" s="7">
        <v>106582</v>
      </c>
      <c r="X317" s="16">
        <f>SUM(Q317:W317)</f>
        <v>708645</v>
      </c>
      <c r="Y317" s="28">
        <v>67766</v>
      </c>
      <c r="Z317" s="28">
        <v>38922</v>
      </c>
      <c r="AA317" s="7">
        <v>19608</v>
      </c>
      <c r="AB317" s="16">
        <f t="shared" si="9"/>
        <v>126296</v>
      </c>
      <c r="AC317" s="7">
        <v>834941</v>
      </c>
      <c r="AD317" s="8">
        <v>2.3851796058176862E-3</v>
      </c>
      <c r="AE317" s="8">
        <v>6.7880762591881463E-4</v>
      </c>
      <c r="AF317" s="8">
        <v>5.7285739721467442E-4</v>
      </c>
      <c r="AG317" s="8">
        <v>4.0646022911084752E-4</v>
      </c>
      <c r="AH317" s="8">
        <v>5.3002597127259235E-4</v>
      </c>
      <c r="AI317" s="8">
        <v>2.8250012611612772E-4</v>
      </c>
      <c r="AJ317" s="8">
        <v>5.4418194441838207E-4</v>
      </c>
      <c r="AK317" s="8">
        <v>7.3783313165894397E-4</v>
      </c>
      <c r="AL317" s="8">
        <v>1.6443142695647705E-3</v>
      </c>
      <c r="AM317" s="8">
        <v>2.6009791921664627E-3</v>
      </c>
      <c r="AN317" s="8">
        <v>7.5095126481990941E-4</v>
      </c>
    </row>
    <row r="318" spans="1:40" x14ac:dyDescent="0.2">
      <c r="A318" t="s">
        <v>368</v>
      </c>
      <c r="B318">
        <v>2009</v>
      </c>
      <c r="C318" t="s">
        <v>369</v>
      </c>
      <c r="D318" s="7">
        <v>107</v>
      </c>
      <c r="E318" s="7">
        <v>66</v>
      </c>
      <c r="F318" s="7">
        <v>38</v>
      </c>
      <c r="G318" s="7">
        <v>70</v>
      </c>
      <c r="H318" s="7">
        <v>66</v>
      </c>
      <c r="I318" s="7">
        <v>106</v>
      </c>
      <c r="J318" s="7">
        <v>159</v>
      </c>
      <c r="K318" s="16">
        <f>SUM(D318:J318)</f>
        <v>612</v>
      </c>
      <c r="L318" s="28">
        <v>245</v>
      </c>
      <c r="M318" s="28">
        <v>570</v>
      </c>
      <c r="N318" s="7">
        <v>825</v>
      </c>
      <c r="O318" s="16">
        <f t="shared" si="8"/>
        <v>1640</v>
      </c>
      <c r="P318" s="7">
        <v>2252</v>
      </c>
      <c r="Q318" s="7">
        <v>737234.78499999945</v>
      </c>
      <c r="R318" s="7">
        <v>1520464.7239999995</v>
      </c>
      <c r="S318" s="7">
        <v>1550587.9070000004</v>
      </c>
      <c r="T318" s="7">
        <v>1462744.3209999995</v>
      </c>
      <c r="U318" s="7">
        <v>1585350.2919999997</v>
      </c>
      <c r="V318" s="7">
        <v>1737749.5599999998</v>
      </c>
      <c r="W318" s="7">
        <v>1296379.6649999998</v>
      </c>
      <c r="X318" s="16">
        <f>SUM(Q318:W318)</f>
        <v>9890511.2539999969</v>
      </c>
      <c r="Y318" s="28">
        <v>793425.80100000009</v>
      </c>
      <c r="Z318" s="28">
        <v>551716.94999999995</v>
      </c>
      <c r="AA318" s="7">
        <v>212146.69900000008</v>
      </c>
      <c r="AB318" s="16">
        <f t="shared" si="9"/>
        <v>1557289.4500000002</v>
      </c>
      <c r="AC318" s="7">
        <v>11447800.703999998</v>
      </c>
      <c r="AD318" s="8">
        <v>1.451369389739255E-4</v>
      </c>
      <c r="AE318" s="8">
        <v>4.3407781159413487E-5</v>
      </c>
      <c r="AF318" s="8">
        <v>2.4506833716716191E-5</v>
      </c>
      <c r="AG318" s="8">
        <v>4.7855253303697511E-5</v>
      </c>
      <c r="AH318" s="8">
        <v>4.1631177874725503E-5</v>
      </c>
      <c r="AI318" s="8">
        <v>6.0998432938748675E-5</v>
      </c>
      <c r="AJ318" s="8">
        <v>1.226492549156115E-4</v>
      </c>
      <c r="AK318" s="8">
        <v>3.0878753840776595E-4</v>
      </c>
      <c r="AL318" s="8">
        <v>1.0331384598569974E-3</v>
      </c>
      <c r="AM318" s="8">
        <v>3.8888184633030735E-3</v>
      </c>
      <c r="AN318" s="8">
        <v>1.9671900815089525E-4</v>
      </c>
    </row>
    <row r="319" spans="1:40" x14ac:dyDescent="0.2">
      <c r="A319" t="s">
        <v>368</v>
      </c>
      <c r="B319">
        <v>2010</v>
      </c>
      <c r="C319" t="s">
        <v>370</v>
      </c>
      <c r="D319" s="7">
        <v>147</v>
      </c>
      <c r="E319" s="7">
        <v>55</v>
      </c>
      <c r="F319" s="7">
        <v>70</v>
      </c>
      <c r="G319" s="7">
        <v>54</v>
      </c>
      <c r="H319" s="7">
        <v>66</v>
      </c>
      <c r="I319" s="7">
        <v>68</v>
      </c>
      <c r="J319" s="7">
        <v>159</v>
      </c>
      <c r="K319" s="16">
        <f>SUM(D319:J319)</f>
        <v>619</v>
      </c>
      <c r="L319" s="28">
        <v>244</v>
      </c>
      <c r="M319" s="28">
        <v>532</v>
      </c>
      <c r="N319" s="7">
        <v>893</v>
      </c>
      <c r="O319" s="16">
        <f t="shared" si="8"/>
        <v>1669</v>
      </c>
      <c r="P319" s="7">
        <v>2288</v>
      </c>
      <c r="Q319" s="7">
        <v>726477.375</v>
      </c>
      <c r="R319" s="7">
        <v>1541504.4309999992</v>
      </c>
      <c r="S319" s="7">
        <v>1609349.0590000004</v>
      </c>
      <c r="T319" s="7">
        <v>1417909.774</v>
      </c>
      <c r="U319" s="7">
        <v>1547276.2580000001</v>
      </c>
      <c r="V319" s="7">
        <v>1744555</v>
      </c>
      <c r="W319" s="7">
        <v>1363843.2189999996</v>
      </c>
      <c r="X319" s="16">
        <f>SUM(Q319:W319)</f>
        <v>9950915.1160000004</v>
      </c>
      <c r="Y319" s="28">
        <v>816479.38199999998</v>
      </c>
      <c r="Z319" s="28">
        <v>550267.62499999988</v>
      </c>
      <c r="AA319" s="7">
        <v>217122.41199999998</v>
      </c>
      <c r="AB319" s="16">
        <f t="shared" si="9"/>
        <v>1583869.4189999998</v>
      </c>
      <c r="AC319" s="7">
        <v>11534784.535</v>
      </c>
      <c r="AD319" s="8">
        <v>2.023462877973316E-4</v>
      </c>
      <c r="AE319" s="8">
        <v>3.5679430362921889E-5</v>
      </c>
      <c r="AF319" s="8">
        <v>4.3495846726685778E-5</v>
      </c>
      <c r="AG319" s="8">
        <v>3.8084228623139459E-5</v>
      </c>
      <c r="AH319" s="8">
        <v>4.2655601841465076E-5</v>
      </c>
      <c r="AI319" s="8">
        <v>3.8978421431253242E-5</v>
      </c>
      <c r="AJ319" s="8">
        <v>1.1658231517005478E-4</v>
      </c>
      <c r="AK319" s="8">
        <v>2.9884404355969398E-4</v>
      </c>
      <c r="AL319" s="8">
        <v>9.6680229006749238E-4</v>
      </c>
      <c r="AM319" s="8">
        <v>4.1128872499813611E-3</v>
      </c>
      <c r="AN319" s="8">
        <v>1.9835654433401169E-4</v>
      </c>
    </row>
    <row r="320" spans="1:40" x14ac:dyDescent="0.2">
      <c r="A320" t="s">
        <v>368</v>
      </c>
      <c r="B320">
        <v>2011</v>
      </c>
      <c r="C320" t="s">
        <v>371</v>
      </c>
      <c r="D320" s="7">
        <v>105</v>
      </c>
      <c r="E320" s="7">
        <v>51</v>
      </c>
      <c r="F320" s="7">
        <v>49</v>
      </c>
      <c r="G320" s="7">
        <v>40</v>
      </c>
      <c r="H320" s="7">
        <v>50</v>
      </c>
      <c r="I320" s="7">
        <v>112</v>
      </c>
      <c r="J320" s="7">
        <v>182</v>
      </c>
      <c r="K320" s="16">
        <f>SUM(D320:J320)</f>
        <v>589</v>
      </c>
      <c r="L320" s="28">
        <v>275</v>
      </c>
      <c r="M320" s="28">
        <v>592</v>
      </c>
      <c r="N320" s="7">
        <v>1025</v>
      </c>
      <c r="O320" s="16">
        <f t="shared" si="8"/>
        <v>1892</v>
      </c>
      <c r="P320" s="7">
        <v>2481</v>
      </c>
      <c r="Q320" s="7">
        <v>721185.43500000017</v>
      </c>
      <c r="R320" s="7">
        <v>1526174.8810000001</v>
      </c>
      <c r="S320" s="7">
        <v>1583513.452</v>
      </c>
      <c r="T320" s="7">
        <v>1416327.943</v>
      </c>
      <c r="U320" s="7">
        <v>1511343.8790000002</v>
      </c>
      <c r="V320" s="7">
        <v>1737508.041999999</v>
      </c>
      <c r="W320" s="7">
        <v>1410430.5420000001</v>
      </c>
      <c r="X320" s="16">
        <f>SUM(Q320:W320)</f>
        <v>9906484.1739999987</v>
      </c>
      <c r="Y320" s="28">
        <v>834780.49200000032</v>
      </c>
      <c r="Z320" s="28">
        <v>545482.70199999993</v>
      </c>
      <c r="AA320" s="7">
        <v>222925.99999999991</v>
      </c>
      <c r="AB320" s="16">
        <f t="shared" si="9"/>
        <v>1603189.1940000001</v>
      </c>
      <c r="AC320" s="7">
        <v>11509673.367999999</v>
      </c>
      <c r="AD320" s="8">
        <v>1.455936225334334E-4</v>
      </c>
      <c r="AE320" s="8">
        <v>3.3416878127743209E-5</v>
      </c>
      <c r="AF320" s="8">
        <v>3.0943848274930853E-5</v>
      </c>
      <c r="AG320" s="8">
        <v>2.824204676444769E-5</v>
      </c>
      <c r="AH320" s="8">
        <v>3.3083139247623206E-5</v>
      </c>
      <c r="AI320" s="8">
        <v>6.4460133301644926E-5</v>
      </c>
      <c r="AJ320" s="8">
        <v>1.2903861238138163E-4</v>
      </c>
      <c r="AK320" s="8">
        <v>3.2942791863899943E-4</v>
      </c>
      <c r="AL320" s="8">
        <v>1.0852773109567828E-3</v>
      </c>
      <c r="AM320" s="8">
        <v>4.5979383293110734E-3</v>
      </c>
      <c r="AN320" s="8">
        <v>2.1555781130139194E-4</v>
      </c>
    </row>
    <row r="321" spans="1:40" x14ac:dyDescent="0.2">
      <c r="A321" t="s">
        <v>368</v>
      </c>
      <c r="B321">
        <v>2012</v>
      </c>
      <c r="C321" t="s">
        <v>372</v>
      </c>
      <c r="D321" s="7">
        <v>123</v>
      </c>
      <c r="E321" s="7">
        <v>55</v>
      </c>
      <c r="F321" s="7">
        <v>78</v>
      </c>
      <c r="G321" s="7">
        <v>48</v>
      </c>
      <c r="H321" s="7">
        <v>73</v>
      </c>
      <c r="I321" s="7">
        <v>55</v>
      </c>
      <c r="J321" s="7">
        <v>178</v>
      </c>
      <c r="K321" s="16">
        <f>SUM(D321:J321)</f>
        <v>610</v>
      </c>
      <c r="L321" s="28">
        <v>254</v>
      </c>
      <c r="M321" s="28">
        <v>574</v>
      </c>
      <c r="N321" s="7">
        <v>1053</v>
      </c>
      <c r="O321" s="16">
        <f t="shared" si="8"/>
        <v>1881</v>
      </c>
      <c r="P321" s="7">
        <v>2491</v>
      </c>
      <c r="Q321" s="7">
        <v>709745.28700000048</v>
      </c>
      <c r="R321" s="7">
        <v>1517063.5919999992</v>
      </c>
      <c r="S321" s="7">
        <v>1581627.3310000002</v>
      </c>
      <c r="T321" s="7">
        <v>1419234.1360000002</v>
      </c>
      <c r="U321" s="7">
        <v>1482186.0379999999</v>
      </c>
      <c r="V321" s="7">
        <v>1725947.6620000005</v>
      </c>
      <c r="W321" s="7">
        <v>1456512.14</v>
      </c>
      <c r="X321" s="16">
        <f>SUM(Q321:W321)</f>
        <v>9892316.1860000007</v>
      </c>
      <c r="Y321" s="28">
        <v>860796.2420000002</v>
      </c>
      <c r="Z321" s="28">
        <v>543868.14499999979</v>
      </c>
      <c r="AA321" s="7">
        <v>231179.12599999993</v>
      </c>
      <c r="AB321" s="16">
        <f t="shared" si="9"/>
        <v>1635843.513</v>
      </c>
      <c r="AC321" s="7">
        <v>11528159.699000001</v>
      </c>
      <c r="AD321" s="8">
        <v>1.7330160869388051E-4</v>
      </c>
      <c r="AE321" s="8">
        <v>3.6254248200295632E-5</v>
      </c>
      <c r="AF321" s="8">
        <v>4.931629497745445E-5</v>
      </c>
      <c r="AG321" s="8">
        <v>3.3821057979400232E-5</v>
      </c>
      <c r="AH321" s="8">
        <v>4.9251577149183751E-5</v>
      </c>
      <c r="AI321" s="8">
        <v>3.1866551466726914E-5</v>
      </c>
      <c r="AJ321" s="8">
        <v>1.2220976064092402E-4</v>
      </c>
      <c r="AK321" s="8">
        <v>2.9507563765595522E-4</v>
      </c>
      <c r="AL321" s="8">
        <v>1.0554028679138768E-3</v>
      </c>
      <c r="AM321" s="8">
        <v>4.5549095120292144E-3</v>
      </c>
      <c r="AN321" s="8">
        <v>2.1607958815977188E-4</v>
      </c>
    </row>
    <row r="322" spans="1:40" x14ac:dyDescent="0.2">
      <c r="A322" t="s">
        <v>368</v>
      </c>
      <c r="B322">
        <v>2013</v>
      </c>
      <c r="C322" t="s">
        <v>373</v>
      </c>
      <c r="D322" s="7">
        <v>125</v>
      </c>
      <c r="E322" s="7">
        <v>63</v>
      </c>
      <c r="F322" s="7">
        <v>49</v>
      </c>
      <c r="G322" s="7">
        <v>56</v>
      </c>
      <c r="H322" s="7">
        <v>50</v>
      </c>
      <c r="I322" s="7">
        <v>87</v>
      </c>
      <c r="J322" s="7">
        <v>217</v>
      </c>
      <c r="K322" s="16">
        <f>SUM(D322:J322)</f>
        <v>647</v>
      </c>
      <c r="L322" s="28">
        <v>310</v>
      </c>
      <c r="M322" s="28">
        <v>641</v>
      </c>
      <c r="N322" s="7">
        <v>1054</v>
      </c>
      <c r="O322" s="16">
        <f t="shared" si="8"/>
        <v>2005</v>
      </c>
      <c r="P322" s="7">
        <v>2652</v>
      </c>
      <c r="Q322" s="7">
        <v>684568.5689999999</v>
      </c>
      <c r="R322" s="7">
        <v>1464604.2040000004</v>
      </c>
      <c r="S322" s="7">
        <v>1540678.3189999997</v>
      </c>
      <c r="T322" s="7">
        <v>1387388.9090000005</v>
      </c>
      <c r="U322" s="7">
        <v>1412860.5659999999</v>
      </c>
      <c r="V322" s="7">
        <v>1650753.4070000001</v>
      </c>
      <c r="W322" s="7">
        <v>1449705.041</v>
      </c>
      <c r="X322" s="16">
        <f>SUM(Q322:W322)</f>
        <v>9590559.0149999987</v>
      </c>
      <c r="Y322" s="28">
        <v>861203.74100000027</v>
      </c>
      <c r="Z322" s="28">
        <v>523947.41699999984</v>
      </c>
      <c r="AA322" s="7">
        <v>229450.06400000007</v>
      </c>
      <c r="AB322" s="16">
        <f t="shared" si="9"/>
        <v>1614601.2220000001</v>
      </c>
      <c r="AC322" s="7">
        <v>11205160.236999998</v>
      </c>
      <c r="AD322" s="8">
        <v>1.8259675605994703E-4</v>
      </c>
      <c r="AE322" s="8">
        <v>4.3015034251533515E-5</v>
      </c>
      <c r="AF322" s="8">
        <v>3.1804173133171749E-5</v>
      </c>
      <c r="AG322" s="8">
        <v>4.0363592094997773E-5</v>
      </c>
      <c r="AH322" s="8">
        <v>3.5389196360371772E-5</v>
      </c>
      <c r="AI322" s="8">
        <v>5.2703207899543047E-5</v>
      </c>
      <c r="AJ322" s="8">
        <v>1.4968562146291109E-4</v>
      </c>
      <c r="AK322" s="8">
        <v>3.5996127889555916E-4</v>
      </c>
      <c r="AL322" s="8">
        <v>1.2234052105270714E-3</v>
      </c>
      <c r="AM322" s="8">
        <v>4.593592094182199E-3</v>
      </c>
      <c r="AN322" s="8">
        <v>2.3667666895498413E-4</v>
      </c>
    </row>
    <row r="323" spans="1:40" x14ac:dyDescent="0.2">
      <c r="A323" t="s">
        <v>368</v>
      </c>
      <c r="B323">
        <v>2014</v>
      </c>
      <c r="C323" t="s">
        <v>374</v>
      </c>
      <c r="D323" s="7">
        <v>128</v>
      </c>
      <c r="E323" s="7">
        <v>50</v>
      </c>
      <c r="F323" s="7">
        <v>36</v>
      </c>
      <c r="G323" s="7">
        <v>71</v>
      </c>
      <c r="H323" s="7">
        <v>49</v>
      </c>
      <c r="I323" s="7">
        <v>103</v>
      </c>
      <c r="J323" s="7">
        <v>230</v>
      </c>
      <c r="K323" s="16">
        <f>SUM(D323:J323)</f>
        <v>667</v>
      </c>
      <c r="L323" s="28">
        <v>360</v>
      </c>
      <c r="M323" s="28">
        <v>590</v>
      </c>
      <c r="N323" s="7">
        <v>1075</v>
      </c>
      <c r="O323" s="16">
        <f t="shared" si="8"/>
        <v>2025</v>
      </c>
      <c r="P323" s="7">
        <v>2692</v>
      </c>
      <c r="Q323" s="7">
        <v>706797.50400000007</v>
      </c>
      <c r="R323" s="7">
        <v>1515072.8499999992</v>
      </c>
      <c r="S323" s="7">
        <v>1591910.7579999994</v>
      </c>
      <c r="T323" s="7">
        <v>1453888.9000000001</v>
      </c>
      <c r="U323" s="7">
        <v>1453508.3530000001</v>
      </c>
      <c r="V323" s="7">
        <v>1689875.1310000001</v>
      </c>
      <c r="W323" s="7">
        <v>1546199.6759999995</v>
      </c>
      <c r="X323" s="16">
        <f>SUM(Q323:W323)</f>
        <v>9957253.1719999984</v>
      </c>
      <c r="Y323" s="28">
        <v>935704.29999999981</v>
      </c>
      <c r="Z323" s="28">
        <v>544183.68199999968</v>
      </c>
      <c r="AA323" s="7">
        <v>243441.17499999996</v>
      </c>
      <c r="AB323" s="16">
        <f t="shared" si="9"/>
        <v>1723329.1569999994</v>
      </c>
      <c r="AC323" s="7">
        <v>11680582.329</v>
      </c>
      <c r="AD323" s="8">
        <v>1.8109854558852543E-4</v>
      </c>
      <c r="AE323" s="8">
        <v>3.3001713415958861E-5</v>
      </c>
      <c r="AF323" s="8">
        <v>2.2614333007730082E-5</v>
      </c>
      <c r="AG323" s="8">
        <v>4.8834542997061188E-5</v>
      </c>
      <c r="AH323" s="8">
        <v>3.371153657209151E-5</v>
      </c>
      <c r="AI323" s="8">
        <v>6.095124906598794E-5</v>
      </c>
      <c r="AJ323" s="8">
        <v>1.4875180972421837E-4</v>
      </c>
      <c r="AK323" s="8">
        <v>3.8473693024601905E-4</v>
      </c>
      <c r="AL323" s="8">
        <v>1.0841927450518452E-3</v>
      </c>
      <c r="AM323" s="8">
        <v>4.4158511804751194E-3</v>
      </c>
      <c r="AN323" s="8">
        <v>2.3046796162862782E-4</v>
      </c>
    </row>
    <row r="324" spans="1:40" x14ac:dyDescent="0.2">
      <c r="A324" t="s">
        <v>368</v>
      </c>
      <c r="B324">
        <v>2015</v>
      </c>
      <c r="C324" t="s">
        <v>375</v>
      </c>
      <c r="D324" s="7">
        <v>106</v>
      </c>
      <c r="E324" s="7">
        <v>74</v>
      </c>
      <c r="F324" s="7">
        <v>55</v>
      </c>
      <c r="G324" s="7">
        <v>61</v>
      </c>
      <c r="H324" s="7">
        <v>74</v>
      </c>
      <c r="I324" s="7">
        <v>71</v>
      </c>
      <c r="J324" s="7">
        <v>204</v>
      </c>
      <c r="K324" s="16">
        <f>SUM(D324:J324)</f>
        <v>645</v>
      </c>
      <c r="L324" s="28">
        <v>361</v>
      </c>
      <c r="M324" s="28">
        <v>596</v>
      </c>
      <c r="N324" s="7">
        <v>1136</v>
      </c>
      <c r="O324" s="16">
        <f t="shared" ref="O324:O387" si="10">SUM(L324:N324)</f>
        <v>2093</v>
      </c>
      <c r="P324" s="7">
        <v>2738</v>
      </c>
      <c r="Q324" s="7">
        <v>671118.64900000033</v>
      </c>
      <c r="R324" s="7">
        <v>1431756.8910000001</v>
      </c>
      <c r="S324" s="7">
        <v>1503640.6449999993</v>
      </c>
      <c r="T324" s="7">
        <v>1402073.787</v>
      </c>
      <c r="U324" s="7">
        <v>1372822.2909999997</v>
      </c>
      <c r="V324" s="7">
        <v>1577383.2859999998</v>
      </c>
      <c r="W324" s="7">
        <v>1495432.4939999997</v>
      </c>
      <c r="X324" s="16">
        <f>SUM(Q324:W324)</f>
        <v>9454228.0429999977</v>
      </c>
      <c r="Y324" s="28">
        <v>927510.96699999983</v>
      </c>
      <c r="Z324" s="28">
        <v>518383.00200000004</v>
      </c>
      <c r="AA324" s="7">
        <v>239216.12199999997</v>
      </c>
      <c r="AB324" s="16">
        <f t="shared" ref="AB324:AB387" si="11">SUM(Y324:AA324)</f>
        <v>1685110.0909999998</v>
      </c>
      <c r="AC324" s="7">
        <v>11139338.133999998</v>
      </c>
      <c r="AD324" s="8">
        <v>1.5794524583387034E-4</v>
      </c>
      <c r="AE324" s="8">
        <v>5.1684752114805781E-5</v>
      </c>
      <c r="AF324" s="8">
        <v>3.6577888595183606E-5</v>
      </c>
      <c r="AG324" s="8">
        <v>4.3506982703471657E-5</v>
      </c>
      <c r="AH324" s="8">
        <v>5.3903553639194232E-5</v>
      </c>
      <c r="AI324" s="8">
        <v>4.5011254163878596E-5</v>
      </c>
      <c r="AJ324" s="8">
        <v>1.3641538539418686E-4</v>
      </c>
      <c r="AK324" s="8">
        <v>3.892137266771532E-4</v>
      </c>
      <c r="AL324" s="8">
        <v>1.1497290568952721E-3</v>
      </c>
      <c r="AM324" s="8">
        <v>4.7488438091141706E-3</v>
      </c>
      <c r="AN324" s="8">
        <v>2.4579557304602783E-4</v>
      </c>
    </row>
    <row r="325" spans="1:40" x14ac:dyDescent="0.2">
      <c r="A325" t="s">
        <v>368</v>
      </c>
      <c r="B325">
        <v>2016</v>
      </c>
      <c r="C325" t="s">
        <v>376</v>
      </c>
      <c r="D325" s="7">
        <v>121</v>
      </c>
      <c r="E325" s="7">
        <v>51</v>
      </c>
      <c r="F325" s="7">
        <v>50</v>
      </c>
      <c r="G325" s="7">
        <v>52</v>
      </c>
      <c r="H325" s="7">
        <v>45</v>
      </c>
      <c r="I325" s="7">
        <v>65</v>
      </c>
      <c r="J325" s="7">
        <v>217</v>
      </c>
      <c r="K325" s="16">
        <f>SUM(D325:J325)</f>
        <v>601</v>
      </c>
      <c r="L325" s="28">
        <v>355</v>
      </c>
      <c r="M325" s="28">
        <v>539</v>
      </c>
      <c r="N325" s="7">
        <v>879</v>
      </c>
      <c r="O325" s="16">
        <f t="shared" si="10"/>
        <v>1773</v>
      </c>
      <c r="P325" s="7">
        <v>2374</v>
      </c>
      <c r="Q325" s="7">
        <v>699170.72600000014</v>
      </c>
      <c r="R325" s="7">
        <v>1483374.2489999996</v>
      </c>
      <c r="S325" s="7">
        <v>1579499.1119999995</v>
      </c>
      <c r="T325" s="7">
        <v>1478932.1680000003</v>
      </c>
      <c r="U325" s="7">
        <v>1410659.058</v>
      </c>
      <c r="V325" s="7">
        <v>1608411.48</v>
      </c>
      <c r="W325" s="7">
        <v>1579778.0669999998</v>
      </c>
      <c r="X325" s="16">
        <f>SUM(Q325:W325)</f>
        <v>9839824.8599999994</v>
      </c>
      <c r="Y325" s="28">
        <v>1016508.1090000001</v>
      </c>
      <c r="Z325" s="28">
        <v>545548.36900000006</v>
      </c>
      <c r="AA325" s="7">
        <v>252234.98099999997</v>
      </c>
      <c r="AB325" s="16">
        <f t="shared" si="11"/>
        <v>1814291.459</v>
      </c>
      <c r="AC325" s="7">
        <v>11654116.319</v>
      </c>
      <c r="AD325" s="8">
        <v>1.7306216564908064E-4</v>
      </c>
      <c r="AE325" s="8">
        <v>3.4381074118268592E-5</v>
      </c>
      <c r="AF325" s="8">
        <v>3.1655605008026121E-5</v>
      </c>
      <c r="AG325" s="8">
        <v>3.5160503723656911E-5</v>
      </c>
      <c r="AH325" s="8">
        <v>3.1899983021978374E-5</v>
      </c>
      <c r="AI325" s="8">
        <v>4.0412544183034557E-5</v>
      </c>
      <c r="AJ325" s="8">
        <v>1.3736106642630078E-4</v>
      </c>
      <c r="AK325" s="8">
        <v>3.4923479395480156E-4</v>
      </c>
      <c r="AL325" s="8">
        <v>9.8799672151526474E-4</v>
      </c>
      <c r="AM325" s="8">
        <v>3.4848457438978304E-3</v>
      </c>
      <c r="AN325" s="8">
        <v>2.0370484857179671E-4</v>
      </c>
    </row>
    <row r="326" spans="1:40" x14ac:dyDescent="0.2">
      <c r="A326" t="s">
        <v>368</v>
      </c>
      <c r="B326">
        <v>2017</v>
      </c>
      <c r="C326" t="s">
        <v>377</v>
      </c>
      <c r="D326" s="7">
        <v>113</v>
      </c>
      <c r="E326" s="7">
        <v>46</v>
      </c>
      <c r="F326" s="7">
        <v>47</v>
      </c>
      <c r="G326" s="7">
        <v>65</v>
      </c>
      <c r="H326" s="7">
        <v>35</v>
      </c>
      <c r="I326" s="7">
        <v>79</v>
      </c>
      <c r="J326" s="7">
        <v>207</v>
      </c>
      <c r="K326" s="16">
        <f>SUM(D326:J326)</f>
        <v>592</v>
      </c>
      <c r="L326" s="28">
        <v>381</v>
      </c>
      <c r="M326" s="28">
        <v>544</v>
      </c>
      <c r="N326" s="7">
        <v>963</v>
      </c>
      <c r="O326" s="16">
        <f t="shared" si="10"/>
        <v>1888</v>
      </c>
      <c r="P326" s="7">
        <v>2480</v>
      </c>
      <c r="Q326" s="7">
        <v>678140</v>
      </c>
      <c r="R326" s="7">
        <v>1427695</v>
      </c>
      <c r="S326" s="7">
        <v>1519736</v>
      </c>
      <c r="T326" s="7">
        <v>1448875</v>
      </c>
      <c r="U326" s="7">
        <v>1360397</v>
      </c>
      <c r="V326" s="7">
        <v>1532033</v>
      </c>
      <c r="W326" s="7">
        <v>1544596</v>
      </c>
      <c r="X326" s="16">
        <f>SUM(Q326:W326)</f>
        <v>9511472</v>
      </c>
      <c r="Y326" s="28">
        <v>1015171</v>
      </c>
      <c r="Z326" s="28">
        <v>532275</v>
      </c>
      <c r="AA326" s="7">
        <v>246935</v>
      </c>
      <c r="AB326" s="16">
        <f t="shared" si="11"/>
        <v>1794381</v>
      </c>
      <c r="AC326" s="7">
        <v>11305853</v>
      </c>
      <c r="AD326" s="8">
        <v>1.6663225882561123E-4</v>
      </c>
      <c r="AE326" s="8">
        <v>3.2219766826948332E-5</v>
      </c>
      <c r="AF326" s="8">
        <v>3.0926424063126751E-5</v>
      </c>
      <c r="AG326" s="8">
        <v>4.4862393236131481E-5</v>
      </c>
      <c r="AH326" s="8">
        <v>2.5727783874854179E-5</v>
      </c>
      <c r="AI326" s="8">
        <v>5.1565468890030439E-5</v>
      </c>
      <c r="AJ326" s="8">
        <v>1.340156260925187E-4</v>
      </c>
      <c r="AK326" s="8">
        <v>3.7530622919685453E-4</v>
      </c>
      <c r="AL326" s="8">
        <v>1.0220280869851111E-3</v>
      </c>
      <c r="AM326" s="8">
        <v>3.8998116913357768E-3</v>
      </c>
      <c r="AN326" s="8">
        <v>2.1935540821201195E-4</v>
      </c>
    </row>
    <row r="327" spans="1:40" x14ac:dyDescent="0.2">
      <c r="A327" t="s">
        <v>378</v>
      </c>
      <c r="B327">
        <v>2009</v>
      </c>
      <c r="C327" t="s">
        <v>379</v>
      </c>
      <c r="D327" s="7">
        <v>113</v>
      </c>
      <c r="E327" s="7">
        <v>62</v>
      </c>
      <c r="F327" s="7">
        <v>61</v>
      </c>
      <c r="G327" s="7">
        <v>62</v>
      </c>
      <c r="H327" s="7">
        <v>63</v>
      </c>
      <c r="I327" s="7">
        <v>54</v>
      </c>
      <c r="J327" s="7">
        <v>67</v>
      </c>
      <c r="K327" s="16">
        <f>SUM(D327:J327)</f>
        <v>482</v>
      </c>
      <c r="L327" s="28">
        <v>103</v>
      </c>
      <c r="M327" s="28">
        <v>234</v>
      </c>
      <c r="N327" s="7">
        <v>326</v>
      </c>
      <c r="O327" s="16">
        <f t="shared" si="10"/>
        <v>663</v>
      </c>
      <c r="P327" s="7">
        <v>1145</v>
      </c>
      <c r="Q327" s="7">
        <v>259936.95599999998</v>
      </c>
      <c r="R327" s="7">
        <v>487396.3820000001</v>
      </c>
      <c r="S327" s="7">
        <v>538257.12199999997</v>
      </c>
      <c r="T327" s="7">
        <v>479318.57400000014</v>
      </c>
      <c r="U327" s="7">
        <v>463805.64600000012</v>
      </c>
      <c r="V327" s="7">
        <v>503769.92899999983</v>
      </c>
      <c r="W327" s="7">
        <v>394332.39499999984</v>
      </c>
      <c r="X327" s="16">
        <f>SUM(Q327:W327)</f>
        <v>3126817.0040000002</v>
      </c>
      <c r="Y327" s="28">
        <v>253936.83899999998</v>
      </c>
      <c r="Z327" s="28">
        <v>165705.70200000002</v>
      </c>
      <c r="AA327" s="7">
        <v>61246.726999999992</v>
      </c>
      <c r="AB327" s="16">
        <f t="shared" si="11"/>
        <v>480889.26799999998</v>
      </c>
      <c r="AC327" s="7">
        <v>3607706.2720000003</v>
      </c>
      <c r="AD327" s="8">
        <v>4.3472079437600252E-4</v>
      </c>
      <c r="AE327" s="8">
        <v>1.2720652489373627E-4</v>
      </c>
      <c r="AF327" s="8">
        <v>1.1332873733902959E-4</v>
      </c>
      <c r="AG327" s="8">
        <v>1.2935029719920676E-4</v>
      </c>
      <c r="AH327" s="8">
        <v>1.3583275784443552E-4</v>
      </c>
      <c r="AI327" s="8">
        <v>1.0719178913118496E-4</v>
      </c>
      <c r="AJ327" s="8">
        <v>1.6990742036296569E-4</v>
      </c>
      <c r="AK327" s="8">
        <v>4.0561267284263552E-4</v>
      </c>
      <c r="AL327" s="8">
        <v>1.4121421120439172E-3</v>
      </c>
      <c r="AM327" s="8">
        <v>5.3227334090848646E-3</v>
      </c>
      <c r="AN327" s="8">
        <v>3.173761702515897E-4</v>
      </c>
    </row>
    <row r="328" spans="1:40" x14ac:dyDescent="0.2">
      <c r="A328" t="s">
        <v>378</v>
      </c>
      <c r="B328">
        <v>2010</v>
      </c>
      <c r="C328" t="s">
        <v>380</v>
      </c>
      <c r="D328" s="7">
        <v>117</v>
      </c>
      <c r="E328" s="7">
        <v>61</v>
      </c>
      <c r="F328" s="7">
        <v>64</v>
      </c>
      <c r="G328" s="7">
        <v>61</v>
      </c>
      <c r="H328" s="7">
        <v>51</v>
      </c>
      <c r="I328" s="7">
        <v>49</v>
      </c>
      <c r="J328" s="7">
        <v>68</v>
      </c>
      <c r="K328" s="16">
        <f>SUM(D328:J328)</f>
        <v>471</v>
      </c>
      <c r="L328" s="28">
        <v>97</v>
      </c>
      <c r="M328" s="28">
        <v>225</v>
      </c>
      <c r="N328" s="7">
        <v>298</v>
      </c>
      <c r="O328" s="16">
        <f t="shared" si="10"/>
        <v>620</v>
      </c>
      <c r="P328" s="7">
        <v>1091</v>
      </c>
      <c r="Q328" s="7">
        <v>253691.26199999999</v>
      </c>
      <c r="R328" s="7">
        <v>495009.16200000019</v>
      </c>
      <c r="S328" s="7">
        <v>531910.56500000006</v>
      </c>
      <c r="T328" s="7">
        <v>478243.87999999989</v>
      </c>
      <c r="U328" s="7">
        <v>462068.84799999994</v>
      </c>
      <c r="V328" s="7">
        <v>513481.03099999996</v>
      </c>
      <c r="W328" s="7">
        <v>411578.30099999986</v>
      </c>
      <c r="X328" s="16">
        <f>SUM(Q328:W328)</f>
        <v>3145983.0489999996</v>
      </c>
      <c r="Y328" s="28">
        <v>263520.82699999993</v>
      </c>
      <c r="Z328" s="28">
        <v>159518.79100000003</v>
      </c>
      <c r="AA328" s="7">
        <v>58958.001999999986</v>
      </c>
      <c r="AB328" s="16">
        <f t="shared" si="11"/>
        <v>481997.61999999994</v>
      </c>
      <c r="AC328" s="7">
        <v>3627980.6689999998</v>
      </c>
      <c r="AD328" s="8">
        <v>4.6119050012845931E-4</v>
      </c>
      <c r="AE328" s="8">
        <v>1.232300423562665E-4</v>
      </c>
      <c r="AF328" s="8">
        <v>1.203209791480641E-4</v>
      </c>
      <c r="AG328" s="8">
        <v>1.2754998558476066E-4</v>
      </c>
      <c r="AH328" s="8">
        <v>1.1037316239938341E-4</v>
      </c>
      <c r="AI328" s="8">
        <v>9.5427088912267922E-5</v>
      </c>
      <c r="AJ328" s="8">
        <v>1.6521765077211887E-4</v>
      </c>
      <c r="AK328" s="8">
        <v>3.6809234816191595E-4</v>
      </c>
      <c r="AL328" s="8">
        <v>1.4104921344344941E-3</v>
      </c>
      <c r="AM328" s="8">
        <v>5.0544453660420867E-3</v>
      </c>
      <c r="AN328" s="8">
        <v>3.0071825060212304E-4</v>
      </c>
    </row>
    <row r="329" spans="1:40" x14ac:dyDescent="0.2">
      <c r="A329" t="s">
        <v>378</v>
      </c>
      <c r="B329">
        <v>2011</v>
      </c>
      <c r="C329" t="s">
        <v>381</v>
      </c>
      <c r="D329" s="7">
        <v>97</v>
      </c>
      <c r="E329" s="7">
        <v>62</v>
      </c>
      <c r="F329" s="7">
        <v>60</v>
      </c>
      <c r="G329" s="7">
        <v>48</v>
      </c>
      <c r="H329" s="7">
        <v>59</v>
      </c>
      <c r="I329" s="7">
        <v>57</v>
      </c>
      <c r="J329" s="7">
        <v>66</v>
      </c>
      <c r="K329" s="16">
        <f>SUM(D329:J329)</f>
        <v>449</v>
      </c>
      <c r="L329" s="28">
        <v>136</v>
      </c>
      <c r="M329" s="28">
        <v>219</v>
      </c>
      <c r="N329" s="7">
        <v>326</v>
      </c>
      <c r="O329" s="16">
        <f t="shared" si="10"/>
        <v>681</v>
      </c>
      <c r="P329" s="7">
        <v>1130</v>
      </c>
      <c r="Q329" s="7">
        <v>249085.32100000003</v>
      </c>
      <c r="R329" s="7">
        <v>484414.89799999999</v>
      </c>
      <c r="S329" s="7">
        <v>514073.35299999994</v>
      </c>
      <c r="T329" s="7">
        <v>476725.69599999988</v>
      </c>
      <c r="U329" s="7">
        <v>447929.67700000008</v>
      </c>
      <c r="V329" s="7">
        <v>500258.96900000004</v>
      </c>
      <c r="W329" s="7">
        <v>410341.72799999994</v>
      </c>
      <c r="X329" s="16">
        <f>SUM(Q329:W329)</f>
        <v>3082829.642</v>
      </c>
      <c r="Y329" s="28">
        <v>259944.22200000001</v>
      </c>
      <c r="Z329" s="28">
        <v>155253.84099999996</v>
      </c>
      <c r="AA329" s="7">
        <v>56959.438999999998</v>
      </c>
      <c r="AB329" s="16">
        <f t="shared" si="11"/>
        <v>472157.50199999998</v>
      </c>
      <c r="AC329" s="7">
        <v>3554987.1439999999</v>
      </c>
      <c r="AD329" s="8">
        <v>3.8942479472726531E-4</v>
      </c>
      <c r="AE329" s="8">
        <v>1.2798945750012834E-4</v>
      </c>
      <c r="AF329" s="8">
        <v>1.1671486111827314E-4</v>
      </c>
      <c r="AG329" s="8">
        <v>1.0068683186735547E-4</v>
      </c>
      <c r="AH329" s="8">
        <v>1.3171710433466097E-4</v>
      </c>
      <c r="AI329" s="8">
        <v>1.139409856337828E-4</v>
      </c>
      <c r="AJ329" s="8">
        <v>1.6084155106935654E-4</v>
      </c>
      <c r="AK329" s="8">
        <v>5.2318916325056841E-4</v>
      </c>
      <c r="AL329" s="8">
        <v>1.4105931202049943E-3</v>
      </c>
      <c r="AM329" s="8">
        <v>5.7233709763187804E-3</v>
      </c>
      <c r="AN329" s="8">
        <v>3.1786331545732307E-4</v>
      </c>
    </row>
    <row r="330" spans="1:40" x14ac:dyDescent="0.2">
      <c r="A330" t="s">
        <v>378</v>
      </c>
      <c r="B330">
        <v>2012</v>
      </c>
      <c r="C330" t="s">
        <v>382</v>
      </c>
      <c r="D330" s="7">
        <v>131</v>
      </c>
      <c r="E330" s="7">
        <v>48</v>
      </c>
      <c r="F330" s="7">
        <v>36</v>
      </c>
      <c r="G330" s="7">
        <v>51</v>
      </c>
      <c r="H330" s="7">
        <v>50</v>
      </c>
      <c r="I330" s="7">
        <v>45</v>
      </c>
      <c r="J330" s="7">
        <v>78</v>
      </c>
      <c r="K330" s="16">
        <f>SUM(D330:J330)</f>
        <v>439</v>
      </c>
      <c r="L330" s="28">
        <v>61</v>
      </c>
      <c r="M330" s="28">
        <v>121</v>
      </c>
      <c r="N330" s="7">
        <v>229</v>
      </c>
      <c r="O330" s="16">
        <f t="shared" si="10"/>
        <v>411</v>
      </c>
      <c r="P330" s="7">
        <v>850</v>
      </c>
      <c r="Q330" s="7">
        <v>261669.72699999998</v>
      </c>
      <c r="R330" s="7">
        <v>515039.37199999997</v>
      </c>
      <c r="S330" s="7">
        <v>539611.08299999998</v>
      </c>
      <c r="T330" s="7">
        <v>505694.50500000006</v>
      </c>
      <c r="U330" s="7">
        <v>466360.93800000002</v>
      </c>
      <c r="V330" s="7">
        <v>521417.45700000005</v>
      </c>
      <c r="W330" s="7">
        <v>443289.52199999994</v>
      </c>
      <c r="X330" s="16">
        <f>SUM(Q330:W330)</f>
        <v>3253082.6039999998</v>
      </c>
      <c r="Y330" s="28">
        <v>283718.48200000002</v>
      </c>
      <c r="Z330" s="28">
        <v>164651.64499999996</v>
      </c>
      <c r="AA330" s="7">
        <v>62585.974999999984</v>
      </c>
      <c r="AB330" s="16">
        <f t="shared" si="11"/>
        <v>510956.10199999996</v>
      </c>
      <c r="AC330" s="7">
        <v>3764038.7059999998</v>
      </c>
      <c r="AD330" s="8">
        <v>5.0063108752354838E-4</v>
      </c>
      <c r="AE330" s="8">
        <v>9.3196758557712758E-5</v>
      </c>
      <c r="AF330" s="8">
        <v>6.6714715716837859E-5</v>
      </c>
      <c r="AG330" s="8">
        <v>1.0085140236989523E-4</v>
      </c>
      <c r="AH330" s="8">
        <v>1.0721309596473965E-4</v>
      </c>
      <c r="AI330" s="8">
        <v>8.6303209445478908E-5</v>
      </c>
      <c r="AJ330" s="8">
        <v>1.7595723816815146E-4</v>
      </c>
      <c r="AK330" s="8">
        <v>2.150018552545336E-4</v>
      </c>
      <c r="AL330" s="8">
        <v>7.3488485341279182E-4</v>
      </c>
      <c r="AM330" s="8">
        <v>3.6589667253725785E-3</v>
      </c>
      <c r="AN330" s="8">
        <v>2.258212697560927E-4</v>
      </c>
    </row>
    <row r="331" spans="1:40" x14ac:dyDescent="0.2">
      <c r="A331" t="s">
        <v>378</v>
      </c>
      <c r="B331">
        <v>2013</v>
      </c>
      <c r="C331" t="s">
        <v>383</v>
      </c>
      <c r="D331" s="7">
        <v>99</v>
      </c>
      <c r="E331" s="7">
        <v>35</v>
      </c>
      <c r="F331" s="7">
        <v>42</v>
      </c>
      <c r="G331" s="7">
        <v>59</v>
      </c>
      <c r="H331" s="7">
        <v>47</v>
      </c>
      <c r="I331" s="7">
        <v>52</v>
      </c>
      <c r="J331" s="7">
        <v>86</v>
      </c>
      <c r="K331" s="16">
        <f>SUM(D331:J331)</f>
        <v>420</v>
      </c>
      <c r="L331" s="28">
        <v>89</v>
      </c>
      <c r="M331" s="28">
        <v>162</v>
      </c>
      <c r="N331" s="7">
        <v>305</v>
      </c>
      <c r="O331" s="16">
        <f t="shared" si="10"/>
        <v>556</v>
      </c>
      <c r="P331" s="7">
        <v>976</v>
      </c>
      <c r="Q331" s="7">
        <v>262648.57099999994</v>
      </c>
      <c r="R331" s="7">
        <v>517875.44099999993</v>
      </c>
      <c r="S331" s="7">
        <v>537019.57399999991</v>
      </c>
      <c r="T331" s="7">
        <v>508554.56900000002</v>
      </c>
      <c r="U331" s="7">
        <v>463267.72200000007</v>
      </c>
      <c r="V331" s="7">
        <v>514688.61499999999</v>
      </c>
      <c r="W331" s="7">
        <v>453950.14999999991</v>
      </c>
      <c r="X331" s="16">
        <f>SUM(Q331:W331)</f>
        <v>3258004.6419999995</v>
      </c>
      <c r="Y331" s="28">
        <v>293302.81199999986</v>
      </c>
      <c r="Z331" s="28">
        <v>167949.88799999995</v>
      </c>
      <c r="AA331" s="7">
        <v>64267.123000000007</v>
      </c>
      <c r="AB331" s="16">
        <f t="shared" si="11"/>
        <v>525519.82299999986</v>
      </c>
      <c r="AC331" s="7">
        <v>3783524.4649999994</v>
      </c>
      <c r="AD331" s="8">
        <v>3.7692952077778496E-4</v>
      </c>
      <c r="AE331" s="8">
        <v>6.7583818866591132E-5</v>
      </c>
      <c r="AF331" s="8">
        <v>7.8209439717741097E-5</v>
      </c>
      <c r="AG331" s="8">
        <v>1.1601508195278843E-4</v>
      </c>
      <c r="AH331" s="8">
        <v>1.0145321542604687E-4</v>
      </c>
      <c r="AI331" s="8">
        <v>1.0103196084879399E-4</v>
      </c>
      <c r="AJ331" s="8">
        <v>1.8944811451213314E-4</v>
      </c>
      <c r="AK331" s="8">
        <v>3.0344066391017091E-4</v>
      </c>
      <c r="AL331" s="8">
        <v>9.6457343276108677E-4</v>
      </c>
      <c r="AM331" s="8">
        <v>4.7458169241526493E-3</v>
      </c>
      <c r="AN331" s="8">
        <v>2.5796053627474038E-4</v>
      </c>
    </row>
    <row r="332" spans="1:40" x14ac:dyDescent="0.2">
      <c r="A332" t="s">
        <v>378</v>
      </c>
      <c r="B332">
        <v>2014</v>
      </c>
      <c r="C332" t="s">
        <v>384</v>
      </c>
      <c r="D332" s="7">
        <v>85</v>
      </c>
      <c r="E332" s="7">
        <v>50</v>
      </c>
      <c r="F332" s="7">
        <v>52</v>
      </c>
      <c r="G332" s="7">
        <v>64</v>
      </c>
      <c r="H332" s="7">
        <v>42</v>
      </c>
      <c r="I332" s="7">
        <v>69</v>
      </c>
      <c r="J332" s="7">
        <v>101</v>
      </c>
      <c r="K332" s="16">
        <f>SUM(D332:J332)</f>
        <v>463</v>
      </c>
      <c r="L332" s="28">
        <v>118</v>
      </c>
      <c r="M332" s="28">
        <v>146</v>
      </c>
      <c r="N332" s="7">
        <v>257</v>
      </c>
      <c r="O332" s="16">
        <f t="shared" si="10"/>
        <v>521</v>
      </c>
      <c r="P332" s="7">
        <v>984</v>
      </c>
      <c r="Q332" s="7">
        <v>264226.98799999995</v>
      </c>
      <c r="R332" s="7">
        <v>521917.95200000011</v>
      </c>
      <c r="S332" s="7">
        <v>545357.11499999999</v>
      </c>
      <c r="T332" s="7">
        <v>521115.18000000005</v>
      </c>
      <c r="U332" s="7">
        <v>467235.40899999999</v>
      </c>
      <c r="V332" s="7">
        <v>507676.68800000008</v>
      </c>
      <c r="W332" s="7">
        <v>465727.06199999998</v>
      </c>
      <c r="X332" s="16">
        <f>SUM(Q332:W332)</f>
        <v>3293256.3940000003</v>
      </c>
      <c r="Y332" s="28">
        <v>302851.86499999999</v>
      </c>
      <c r="Z332" s="28">
        <v>169488.46800000005</v>
      </c>
      <c r="AA332" s="7">
        <v>65831.588999999993</v>
      </c>
      <c r="AB332" s="16">
        <f t="shared" si="11"/>
        <v>538171.92200000002</v>
      </c>
      <c r="AC332" s="7">
        <v>3831428.3160000006</v>
      </c>
      <c r="AD332" s="8">
        <v>3.2169310426382339E-4</v>
      </c>
      <c r="AE332" s="8">
        <v>9.5800498542728785E-5</v>
      </c>
      <c r="AF332" s="8">
        <v>9.5350365053915184E-5</v>
      </c>
      <c r="AG332" s="8">
        <v>1.2281353999321225E-4</v>
      </c>
      <c r="AH332" s="8">
        <v>8.989044749388847E-5</v>
      </c>
      <c r="AI332" s="8">
        <v>1.3591327242506749E-4</v>
      </c>
      <c r="AJ332" s="8">
        <v>2.1686521621970941E-4</v>
      </c>
      <c r="AK332" s="8">
        <v>3.8962943153742841E-4</v>
      </c>
      <c r="AL332" s="8">
        <v>8.6141553890262286E-4</v>
      </c>
      <c r="AM332" s="8">
        <v>3.9039009069035237E-3</v>
      </c>
      <c r="AN332" s="8">
        <v>2.5682328334079157E-4</v>
      </c>
    </row>
    <row r="333" spans="1:40" x14ac:dyDescent="0.2">
      <c r="A333" t="s">
        <v>378</v>
      </c>
      <c r="B333">
        <v>2015</v>
      </c>
      <c r="C333" t="s">
        <v>385</v>
      </c>
      <c r="D333" s="7">
        <v>115</v>
      </c>
      <c r="E333" s="7">
        <v>44</v>
      </c>
      <c r="F333" s="7">
        <v>48</v>
      </c>
      <c r="G333" s="7">
        <v>55</v>
      </c>
      <c r="H333" s="7">
        <v>51</v>
      </c>
      <c r="I333" s="7">
        <v>67</v>
      </c>
      <c r="J333" s="7">
        <v>60</v>
      </c>
      <c r="K333" s="16">
        <f>SUM(D333:J333)</f>
        <v>440</v>
      </c>
      <c r="L333" s="28">
        <v>106</v>
      </c>
      <c r="M333" s="28">
        <v>208</v>
      </c>
      <c r="N333" s="7">
        <v>256</v>
      </c>
      <c r="O333" s="16">
        <f t="shared" si="10"/>
        <v>570</v>
      </c>
      <c r="P333" s="7">
        <v>1010</v>
      </c>
      <c r="Q333" s="7">
        <v>281914.57500000007</v>
      </c>
      <c r="R333" s="7">
        <v>564790.62699999998</v>
      </c>
      <c r="S333" s="7">
        <v>583311.16100000031</v>
      </c>
      <c r="T333" s="7">
        <v>559065.89599999983</v>
      </c>
      <c r="U333" s="7">
        <v>503149.68699999992</v>
      </c>
      <c r="V333" s="7">
        <v>539852.40700000001</v>
      </c>
      <c r="W333" s="7">
        <v>512993.65600000013</v>
      </c>
      <c r="X333" s="16">
        <f>SUM(Q333:W333)</f>
        <v>3545078.0090000001</v>
      </c>
      <c r="Y333" s="28">
        <v>341832.76600000012</v>
      </c>
      <c r="Z333" s="28">
        <v>187495.08399999994</v>
      </c>
      <c r="AA333" s="7">
        <v>73084.448999999993</v>
      </c>
      <c r="AB333" s="16">
        <f t="shared" si="11"/>
        <v>602412.29900000012</v>
      </c>
      <c r="AC333" s="7">
        <v>4147490.3080000002</v>
      </c>
      <c r="AD333" s="8">
        <v>4.0792498933409164E-4</v>
      </c>
      <c r="AE333" s="8">
        <v>7.7904975572478831E-5</v>
      </c>
      <c r="AF333" s="8">
        <v>8.2288842061089892E-5</v>
      </c>
      <c r="AG333" s="8">
        <v>9.8378385076810363E-5</v>
      </c>
      <c r="AH333" s="8">
        <v>1.0136148608992379E-4</v>
      </c>
      <c r="AI333" s="8">
        <v>1.2410799531732014E-4</v>
      </c>
      <c r="AJ333" s="8">
        <v>1.1696051071633522E-4</v>
      </c>
      <c r="AK333" s="8">
        <v>3.100931523925356E-4</v>
      </c>
      <c r="AL333" s="8">
        <v>1.1093624193368188E-3</v>
      </c>
      <c r="AM333" s="8">
        <v>3.502797154562936E-3</v>
      </c>
      <c r="AN333" s="8">
        <v>2.4352076195376126E-4</v>
      </c>
    </row>
    <row r="334" spans="1:40" x14ac:dyDescent="0.2">
      <c r="A334" t="s">
        <v>378</v>
      </c>
      <c r="B334">
        <v>2016</v>
      </c>
      <c r="C334" t="s">
        <v>386</v>
      </c>
      <c r="D334" s="7">
        <v>105</v>
      </c>
      <c r="E334" s="7">
        <v>67</v>
      </c>
      <c r="F334" s="7">
        <v>56</v>
      </c>
      <c r="G334" s="7">
        <v>40</v>
      </c>
      <c r="H334" s="7">
        <v>72</v>
      </c>
      <c r="I334" s="7">
        <v>51</v>
      </c>
      <c r="J334" s="7">
        <v>81</v>
      </c>
      <c r="K334" s="16">
        <f>SUM(D334:J334)</f>
        <v>472</v>
      </c>
      <c r="L334" s="28">
        <v>74</v>
      </c>
      <c r="M334" s="28">
        <v>133</v>
      </c>
      <c r="N334" s="7">
        <v>194</v>
      </c>
      <c r="O334" s="16">
        <f t="shared" si="10"/>
        <v>401</v>
      </c>
      <c r="P334" s="7">
        <v>873</v>
      </c>
      <c r="Q334" s="7">
        <v>257964.09600000002</v>
      </c>
      <c r="R334" s="7">
        <v>518150.16800000001</v>
      </c>
      <c r="S334" s="7">
        <v>531803.29899999988</v>
      </c>
      <c r="T334" s="7">
        <v>519585.67800000001</v>
      </c>
      <c r="U334" s="7">
        <v>463157.13499999989</v>
      </c>
      <c r="V334" s="7">
        <v>480310.5140000002</v>
      </c>
      <c r="W334" s="7">
        <v>469936.34599999996</v>
      </c>
      <c r="X334" s="16">
        <f>SUM(Q334:W334)</f>
        <v>3240907.2359999996</v>
      </c>
      <c r="Y334" s="28">
        <v>317663.95899999997</v>
      </c>
      <c r="Z334" s="28">
        <v>168819.63800000001</v>
      </c>
      <c r="AA334" s="7">
        <v>65483.985999999997</v>
      </c>
      <c r="AB334" s="16">
        <f t="shared" si="11"/>
        <v>551967.58299999998</v>
      </c>
      <c r="AC334" s="7">
        <v>3792874.8189999992</v>
      </c>
      <c r="AD334" s="8">
        <v>4.0703338808823999E-4</v>
      </c>
      <c r="AE334" s="8">
        <v>1.293061435425415E-4</v>
      </c>
      <c r="AF334" s="8">
        <v>1.0530209215569386E-4</v>
      </c>
      <c r="AG334" s="8">
        <v>7.6984416033114758E-5</v>
      </c>
      <c r="AH334" s="8">
        <v>1.5545480045341418E-4</v>
      </c>
      <c r="AI334" s="8">
        <v>1.0618131086757759E-4</v>
      </c>
      <c r="AJ334" s="8">
        <v>1.7236376945400177E-4</v>
      </c>
      <c r="AK334" s="8">
        <v>2.3295056900049529E-4</v>
      </c>
      <c r="AL334" s="8">
        <v>7.878230375070464E-4</v>
      </c>
      <c r="AM334" s="8">
        <v>2.962556372179299E-3</v>
      </c>
      <c r="AN334" s="8">
        <v>2.3016841885389948E-4</v>
      </c>
    </row>
    <row r="335" spans="1:40" x14ac:dyDescent="0.2">
      <c r="A335" t="s">
        <v>378</v>
      </c>
      <c r="B335">
        <v>2017</v>
      </c>
      <c r="C335" t="s">
        <v>387</v>
      </c>
      <c r="D335" s="7">
        <v>104</v>
      </c>
      <c r="E335" s="7">
        <v>68</v>
      </c>
      <c r="F335" s="7">
        <v>60</v>
      </c>
      <c r="G335" s="7">
        <v>49</v>
      </c>
      <c r="H335" s="7">
        <v>54</v>
      </c>
      <c r="I335" s="7">
        <v>42</v>
      </c>
      <c r="J335" s="7">
        <v>49</v>
      </c>
      <c r="K335" s="16">
        <f>SUM(D335:J335)</f>
        <v>426</v>
      </c>
      <c r="L335" s="28">
        <v>114</v>
      </c>
      <c r="M335" s="28">
        <v>146</v>
      </c>
      <c r="N335" s="7">
        <v>206</v>
      </c>
      <c r="O335" s="16">
        <f t="shared" si="10"/>
        <v>466</v>
      </c>
      <c r="P335" s="7">
        <v>892</v>
      </c>
      <c r="Q335" s="7">
        <v>268809</v>
      </c>
      <c r="R335" s="7">
        <v>546910</v>
      </c>
      <c r="S335" s="7">
        <v>556584</v>
      </c>
      <c r="T335" s="7">
        <v>549059</v>
      </c>
      <c r="U335" s="7">
        <v>492289</v>
      </c>
      <c r="V335" s="7">
        <v>500186</v>
      </c>
      <c r="W335" s="7">
        <v>499355</v>
      </c>
      <c r="X335" s="16">
        <f>SUM(Q335:W335)</f>
        <v>3413192</v>
      </c>
      <c r="Y335" s="28">
        <v>341004</v>
      </c>
      <c r="Z335" s="28">
        <v>177472</v>
      </c>
      <c r="AA335" s="7">
        <v>67773</v>
      </c>
      <c r="AB335" s="16">
        <f t="shared" si="11"/>
        <v>586249</v>
      </c>
      <c r="AC335" s="7">
        <v>3999441</v>
      </c>
      <c r="AD335" s="8">
        <v>3.8689180793797829E-4</v>
      </c>
      <c r="AE335" s="8">
        <v>1.2433489970927576E-4</v>
      </c>
      <c r="AF335" s="8">
        <v>1.0780043982579448E-4</v>
      </c>
      <c r="AG335" s="8">
        <v>8.9243596771931607E-5</v>
      </c>
      <c r="AH335" s="8">
        <v>1.0969166485539997E-4</v>
      </c>
      <c r="AI335" s="8">
        <v>8.3968763619933379E-5</v>
      </c>
      <c r="AJ335" s="8">
        <v>9.8126583292447263E-5</v>
      </c>
      <c r="AK335" s="8">
        <v>3.3430692895098003E-4</v>
      </c>
      <c r="AL335" s="8">
        <v>8.2266498377208796E-4</v>
      </c>
      <c r="AM335" s="8">
        <v>3.039558526256769E-3</v>
      </c>
      <c r="AN335" s="8">
        <v>2.2303116860581266E-4</v>
      </c>
    </row>
    <row r="336" spans="1:40" x14ac:dyDescent="0.2">
      <c r="A336" t="s">
        <v>388</v>
      </c>
      <c r="B336">
        <v>2009</v>
      </c>
      <c r="C336" t="s">
        <v>389</v>
      </c>
      <c r="D336" s="7">
        <v>80</v>
      </c>
      <c r="E336" s="7">
        <v>47</v>
      </c>
      <c r="F336" s="7">
        <v>62</v>
      </c>
      <c r="G336" s="7">
        <v>61</v>
      </c>
      <c r="H336" s="7">
        <v>58</v>
      </c>
      <c r="I336" s="7">
        <v>64</v>
      </c>
      <c r="J336" s="7">
        <v>56</v>
      </c>
      <c r="K336" s="16">
        <f>SUM(D336:J336)</f>
        <v>428</v>
      </c>
      <c r="L336" s="28">
        <v>64</v>
      </c>
      <c r="M336" s="28">
        <v>111</v>
      </c>
      <c r="N336" s="7">
        <v>206</v>
      </c>
      <c r="O336" s="16">
        <f t="shared" si="10"/>
        <v>381</v>
      </c>
      <c r="P336" s="7">
        <v>809</v>
      </c>
      <c r="Q336" s="7">
        <v>236504.04600000006</v>
      </c>
      <c r="R336" s="7">
        <v>468408.76099999988</v>
      </c>
      <c r="S336" s="7">
        <v>504990.28</v>
      </c>
      <c r="T336" s="7">
        <v>499858.20899999992</v>
      </c>
      <c r="U336" s="7">
        <v>500841.478</v>
      </c>
      <c r="V336" s="7">
        <v>547268.30599999987</v>
      </c>
      <c r="W336" s="7">
        <v>450193.31000000006</v>
      </c>
      <c r="X336" s="16">
        <f>SUM(Q336:W336)</f>
        <v>3208064.3899999997</v>
      </c>
      <c r="Y336" s="28">
        <v>250652.08800000002</v>
      </c>
      <c r="Z336" s="28">
        <v>164591.23800000004</v>
      </c>
      <c r="AA336" s="7">
        <v>73065.760000000009</v>
      </c>
      <c r="AB336" s="16">
        <f t="shared" si="11"/>
        <v>488309.08600000007</v>
      </c>
      <c r="AC336" s="7">
        <v>3696373.4759999998</v>
      </c>
      <c r="AD336" s="8">
        <v>3.382605978757758E-4</v>
      </c>
      <c r="AE336" s="8">
        <v>1.00339711622089E-4</v>
      </c>
      <c r="AF336" s="8">
        <v>1.2277464033565161E-4</v>
      </c>
      <c r="AG336" s="8">
        <v>1.2203460681787064E-4</v>
      </c>
      <c r="AH336" s="8">
        <v>1.1580510510353538E-4</v>
      </c>
      <c r="AI336" s="8">
        <v>1.1694446635833506E-4</v>
      </c>
      <c r="AJ336" s="8">
        <v>1.2439100883129513E-4</v>
      </c>
      <c r="AK336" s="8">
        <v>2.5533399905290237E-4</v>
      </c>
      <c r="AL336" s="8">
        <v>6.7439798952116745E-4</v>
      </c>
      <c r="AM336" s="8">
        <v>2.8193780506765411E-3</v>
      </c>
      <c r="AN336" s="8">
        <v>2.1886316554664079E-4</v>
      </c>
    </row>
    <row r="337" spans="1:40" x14ac:dyDescent="0.2">
      <c r="A337" t="s">
        <v>388</v>
      </c>
      <c r="B337">
        <v>2010</v>
      </c>
      <c r="C337" t="s">
        <v>390</v>
      </c>
      <c r="D337" s="7">
        <v>124</v>
      </c>
      <c r="E337" s="7">
        <v>70</v>
      </c>
      <c r="F337" s="7">
        <v>38</v>
      </c>
      <c r="G337" s="7">
        <v>36</v>
      </c>
      <c r="H337" s="7">
        <v>55</v>
      </c>
      <c r="I337" s="7">
        <v>55</v>
      </c>
      <c r="J337" s="7">
        <v>51</v>
      </c>
      <c r="K337" s="16">
        <f>SUM(D337:J337)</f>
        <v>429</v>
      </c>
      <c r="L337" s="28">
        <v>56</v>
      </c>
      <c r="M337" s="28">
        <v>80</v>
      </c>
      <c r="N337" s="7">
        <v>227</v>
      </c>
      <c r="O337" s="16">
        <f t="shared" si="10"/>
        <v>363</v>
      </c>
      <c r="P337" s="7">
        <v>792</v>
      </c>
      <c r="Q337" s="7">
        <v>234336.38899999997</v>
      </c>
      <c r="R337" s="7">
        <v>477973.74500000011</v>
      </c>
      <c r="S337" s="7">
        <v>509066.26299999992</v>
      </c>
      <c r="T337" s="7">
        <v>508932.25700000004</v>
      </c>
      <c r="U337" s="7">
        <v>503243.76700000005</v>
      </c>
      <c r="V337" s="7">
        <v>546230.652</v>
      </c>
      <c r="W337" s="7">
        <v>476112.83899999992</v>
      </c>
      <c r="X337" s="16">
        <f>SUM(Q337:W337)</f>
        <v>3255895.9119999995</v>
      </c>
      <c r="Y337" s="28">
        <v>267409.18</v>
      </c>
      <c r="Z337" s="28">
        <v>166725.61200000002</v>
      </c>
      <c r="AA337" s="7">
        <v>74353.59599999999</v>
      </c>
      <c r="AB337" s="16">
        <f t="shared" si="11"/>
        <v>508488.38800000004</v>
      </c>
      <c r="AC337" s="7">
        <v>3764384.3</v>
      </c>
      <c r="AD337" s="8">
        <v>5.2915383961131199E-4</v>
      </c>
      <c r="AE337" s="8">
        <v>1.4645155875664254E-4</v>
      </c>
      <c r="AF337" s="8">
        <v>7.4646470925141632E-5</v>
      </c>
      <c r="AG337" s="8">
        <v>7.0736329845172302E-5</v>
      </c>
      <c r="AH337" s="8">
        <v>1.0929097110903709E-4</v>
      </c>
      <c r="AI337" s="8">
        <v>1.0069006526568927E-4</v>
      </c>
      <c r="AJ337" s="8">
        <v>1.0711746422784454E-4</v>
      </c>
      <c r="AK337" s="8">
        <v>2.0941689436391079E-4</v>
      </c>
      <c r="AL337" s="8">
        <v>4.7983029745903699E-4</v>
      </c>
      <c r="AM337" s="8">
        <v>3.0529794416399177E-3</v>
      </c>
      <c r="AN337" s="8">
        <v>2.1039297183340181E-4</v>
      </c>
    </row>
    <row r="338" spans="1:40" x14ac:dyDescent="0.2">
      <c r="A338" t="s">
        <v>388</v>
      </c>
      <c r="B338">
        <v>2011</v>
      </c>
      <c r="C338" t="s">
        <v>391</v>
      </c>
      <c r="D338" s="7">
        <v>133</v>
      </c>
      <c r="E338" s="7">
        <v>68</v>
      </c>
      <c r="F338" s="7">
        <v>56</v>
      </c>
      <c r="G338" s="7">
        <v>62</v>
      </c>
      <c r="H338" s="7">
        <v>53</v>
      </c>
      <c r="I338" s="7">
        <v>51</v>
      </c>
      <c r="J338" s="7">
        <v>61</v>
      </c>
      <c r="K338" s="16">
        <f>SUM(D338:J338)</f>
        <v>484</v>
      </c>
      <c r="L338" s="28">
        <v>59</v>
      </c>
      <c r="M338" s="28">
        <v>56</v>
      </c>
      <c r="N338" s="7">
        <v>204</v>
      </c>
      <c r="O338" s="16">
        <f t="shared" si="10"/>
        <v>319</v>
      </c>
      <c r="P338" s="7">
        <v>803</v>
      </c>
      <c r="Q338" s="7">
        <v>232896.51800000004</v>
      </c>
      <c r="R338" s="7">
        <v>472197.96200000012</v>
      </c>
      <c r="S338" s="7">
        <v>502699.46499999991</v>
      </c>
      <c r="T338" s="7">
        <v>512170.59299999994</v>
      </c>
      <c r="U338" s="7">
        <v>496041.27600000001</v>
      </c>
      <c r="V338" s="7">
        <v>534242.473</v>
      </c>
      <c r="W338" s="7">
        <v>485870.09200000006</v>
      </c>
      <c r="X338" s="16">
        <f>SUM(Q338:W338)</f>
        <v>3236118.3789999997</v>
      </c>
      <c r="Y338" s="28">
        <v>273136.61700000003</v>
      </c>
      <c r="Z338" s="28">
        <v>163937.77000000008</v>
      </c>
      <c r="AA338" s="7">
        <v>72578.395999999993</v>
      </c>
      <c r="AB338" s="16">
        <f t="shared" si="11"/>
        <v>509652.78300000011</v>
      </c>
      <c r="AC338" s="7">
        <v>3745771.162</v>
      </c>
      <c r="AD338" s="8">
        <v>5.7106907884299063E-4</v>
      </c>
      <c r="AE338" s="8">
        <v>1.4400739832079153E-4</v>
      </c>
      <c r="AF338" s="8">
        <v>1.1139856693501755E-4</v>
      </c>
      <c r="AG338" s="8">
        <v>1.2105341627843129E-4</v>
      </c>
      <c r="AH338" s="8">
        <v>1.0684594723121387E-4</v>
      </c>
      <c r="AI338" s="8">
        <v>9.5462271491843738E-5</v>
      </c>
      <c r="AJ338" s="8">
        <v>1.2554796231417347E-4</v>
      </c>
      <c r="AK338" s="8">
        <v>2.160091189823882E-4</v>
      </c>
      <c r="AL338" s="8">
        <v>3.4159303252691541E-4</v>
      </c>
      <c r="AM338" s="8">
        <v>2.8107537675536396E-3</v>
      </c>
      <c r="AN338" s="8">
        <v>2.1437508199813516E-4</v>
      </c>
    </row>
    <row r="339" spans="1:40" x14ac:dyDescent="0.2">
      <c r="A339" t="s">
        <v>388</v>
      </c>
      <c r="B339">
        <v>2012</v>
      </c>
      <c r="C339" t="s">
        <v>392</v>
      </c>
      <c r="D339" s="7">
        <v>121</v>
      </c>
      <c r="E339" s="7">
        <v>56</v>
      </c>
      <c r="F339" s="7">
        <v>73</v>
      </c>
      <c r="G339" s="7">
        <v>51</v>
      </c>
      <c r="H339" s="7">
        <v>51</v>
      </c>
      <c r="I339" s="7">
        <v>52</v>
      </c>
      <c r="J339" s="7">
        <v>54</v>
      </c>
      <c r="K339" s="16">
        <f>SUM(D339:J339)</f>
        <v>458</v>
      </c>
      <c r="L339" s="28">
        <v>55</v>
      </c>
      <c r="M339" s="28">
        <v>64</v>
      </c>
      <c r="N339" s="7">
        <v>188</v>
      </c>
      <c r="O339" s="16">
        <f t="shared" si="10"/>
        <v>307</v>
      </c>
      <c r="P339" s="7">
        <v>765</v>
      </c>
      <c r="Q339" s="7">
        <v>238321.84600000005</v>
      </c>
      <c r="R339" s="7">
        <v>487063.73500000004</v>
      </c>
      <c r="S339" s="7">
        <v>514074.4150000001</v>
      </c>
      <c r="T339" s="7">
        <v>531131.6</v>
      </c>
      <c r="U339" s="7">
        <v>510104.67900000006</v>
      </c>
      <c r="V339" s="7">
        <v>540653.36199999996</v>
      </c>
      <c r="W339" s="7">
        <v>506201.14899999986</v>
      </c>
      <c r="X339" s="16">
        <f>SUM(Q339:W339)</f>
        <v>3327550.7859999998</v>
      </c>
      <c r="Y339" s="28">
        <v>290707.10199999996</v>
      </c>
      <c r="Z339" s="28">
        <v>164856.53900000002</v>
      </c>
      <c r="AA339" s="7">
        <v>75511.338999999993</v>
      </c>
      <c r="AB339" s="16">
        <f t="shared" si="11"/>
        <v>531074.98</v>
      </c>
      <c r="AC339" s="7">
        <v>3858625.7659999998</v>
      </c>
      <c r="AD339" s="8">
        <v>5.0771677893095865E-4</v>
      </c>
      <c r="AE339" s="8">
        <v>1.1497468601311489E-4</v>
      </c>
      <c r="AF339" s="8">
        <v>1.4200278767034143E-4</v>
      </c>
      <c r="AG339" s="8">
        <v>9.6021400345978287E-5</v>
      </c>
      <c r="AH339" s="8">
        <v>9.9979478917894802E-5</v>
      </c>
      <c r="AI339" s="8">
        <v>9.6179925354833925E-5</v>
      </c>
      <c r="AJ339" s="8">
        <v>1.0667696054557951E-4</v>
      </c>
      <c r="AK339" s="8">
        <v>1.8919386427649094E-4</v>
      </c>
      <c r="AL339" s="8">
        <v>3.8821632668146691E-4</v>
      </c>
      <c r="AM339" s="8">
        <v>2.489692309654316E-3</v>
      </c>
      <c r="AN339" s="8">
        <v>1.9825711183000483E-4</v>
      </c>
    </row>
    <row r="340" spans="1:40" x14ac:dyDescent="0.2">
      <c r="A340" t="s">
        <v>388</v>
      </c>
      <c r="B340">
        <v>2013</v>
      </c>
      <c r="C340" t="s">
        <v>393</v>
      </c>
      <c r="D340" s="7">
        <v>109</v>
      </c>
      <c r="E340" s="7">
        <v>56</v>
      </c>
      <c r="F340" s="7">
        <v>65</v>
      </c>
      <c r="G340" s="7">
        <v>63</v>
      </c>
      <c r="H340" s="7">
        <v>53</v>
      </c>
      <c r="I340" s="7">
        <v>42</v>
      </c>
      <c r="J340" s="7">
        <v>64</v>
      </c>
      <c r="K340" s="16">
        <f>SUM(D340:J340)</f>
        <v>452</v>
      </c>
      <c r="L340" s="28">
        <v>60</v>
      </c>
      <c r="M340" s="28">
        <v>112</v>
      </c>
      <c r="N340" s="7">
        <v>231</v>
      </c>
      <c r="O340" s="16">
        <f t="shared" si="10"/>
        <v>403</v>
      </c>
      <c r="P340" s="7">
        <v>855</v>
      </c>
      <c r="Q340" s="7">
        <v>236314.08299999996</v>
      </c>
      <c r="R340" s="7">
        <v>485952.09500000003</v>
      </c>
      <c r="S340" s="7">
        <v>520279.09599999996</v>
      </c>
      <c r="T340" s="7">
        <v>532802.65399999998</v>
      </c>
      <c r="U340" s="7">
        <v>507809.85</v>
      </c>
      <c r="V340" s="7">
        <v>532947.55200000014</v>
      </c>
      <c r="W340" s="7">
        <v>520374.24199999991</v>
      </c>
      <c r="X340" s="16">
        <f>SUM(Q340:W340)</f>
        <v>3336479.5720000002</v>
      </c>
      <c r="Y340" s="28">
        <v>311906.12300000002</v>
      </c>
      <c r="Z340" s="28">
        <v>167707.69599999997</v>
      </c>
      <c r="AA340" s="7">
        <v>78553.461999999985</v>
      </c>
      <c r="AB340" s="16">
        <f t="shared" si="11"/>
        <v>558167.28099999996</v>
      </c>
      <c r="AC340" s="7">
        <v>3894646.8530000001</v>
      </c>
      <c r="AD340" s="8">
        <v>4.6125054679877045E-4</v>
      </c>
      <c r="AE340" s="8">
        <v>1.1523769642355384E-4</v>
      </c>
      <c r="AF340" s="8">
        <v>1.2493294560502583E-4</v>
      </c>
      <c r="AG340" s="8">
        <v>1.1824265424924104E-4</v>
      </c>
      <c r="AH340" s="8">
        <v>1.0436977541888957E-4</v>
      </c>
      <c r="AI340" s="8">
        <v>7.880700425846029E-5</v>
      </c>
      <c r="AJ340" s="8">
        <v>1.2298840879214774E-4</v>
      </c>
      <c r="AK340" s="8">
        <v>1.9236557276562346E-4</v>
      </c>
      <c r="AL340" s="8">
        <v>6.6782862487121649E-4</v>
      </c>
      <c r="AM340" s="8">
        <v>2.9406724301979212E-3</v>
      </c>
      <c r="AN340" s="8">
        <v>2.1953209938441624E-4</v>
      </c>
    </row>
    <row r="341" spans="1:40" x14ac:dyDescent="0.2">
      <c r="A341" t="s">
        <v>388</v>
      </c>
      <c r="B341">
        <v>2014</v>
      </c>
      <c r="C341" t="s">
        <v>394</v>
      </c>
      <c r="D341" s="7">
        <v>122</v>
      </c>
      <c r="E341" s="7">
        <v>45</v>
      </c>
      <c r="F341" s="7">
        <v>44</v>
      </c>
      <c r="G341" s="7">
        <v>51</v>
      </c>
      <c r="H341" s="7">
        <v>58</v>
      </c>
      <c r="I341" s="7">
        <v>72</v>
      </c>
      <c r="J341" s="7">
        <v>60</v>
      </c>
      <c r="K341" s="16">
        <f>SUM(D341:J341)</f>
        <v>452</v>
      </c>
      <c r="L341" s="28">
        <v>72</v>
      </c>
      <c r="M341" s="28">
        <v>83</v>
      </c>
      <c r="N341" s="7">
        <v>184</v>
      </c>
      <c r="O341" s="16">
        <f t="shared" si="10"/>
        <v>339</v>
      </c>
      <c r="P341" s="7">
        <v>791</v>
      </c>
      <c r="Q341" s="7">
        <v>234235.00499999998</v>
      </c>
      <c r="R341" s="7">
        <v>486583.29500000004</v>
      </c>
      <c r="S341" s="7">
        <v>515965.9310000001</v>
      </c>
      <c r="T341" s="7">
        <v>536972.00899999996</v>
      </c>
      <c r="U341" s="7">
        <v>513977.11699999997</v>
      </c>
      <c r="V341" s="7">
        <v>529402.728</v>
      </c>
      <c r="W341" s="7">
        <v>530885.84299999988</v>
      </c>
      <c r="X341" s="16">
        <f>SUM(Q341:W341)</f>
        <v>3348021.9280000003</v>
      </c>
      <c r="Y341" s="28">
        <v>332251.63599999994</v>
      </c>
      <c r="Z341" s="28">
        <v>171457.79999999996</v>
      </c>
      <c r="AA341" s="7">
        <v>79443.121000000014</v>
      </c>
      <c r="AB341" s="16">
        <f t="shared" si="11"/>
        <v>583152.55699999991</v>
      </c>
      <c r="AC341" s="7">
        <v>3931174.4849999999</v>
      </c>
      <c r="AD341" s="8">
        <v>5.2084443996745918E-4</v>
      </c>
      <c r="AE341" s="8">
        <v>9.2481596598995437E-5</v>
      </c>
      <c r="AF341" s="8">
        <v>8.5276948256492521E-5</v>
      </c>
      <c r="AG341" s="8">
        <v>9.4977017694045213E-5</v>
      </c>
      <c r="AH341" s="8">
        <v>1.128454907458458E-4</v>
      </c>
      <c r="AI341" s="8">
        <v>1.3600232146895926E-4</v>
      </c>
      <c r="AJ341" s="8">
        <v>1.1301864758898838E-4</v>
      </c>
      <c r="AK341" s="8">
        <v>2.1670322189173513E-4</v>
      </c>
      <c r="AL341" s="8">
        <v>4.8408413032244681E-4</v>
      </c>
      <c r="AM341" s="8">
        <v>2.3161224997693629E-3</v>
      </c>
      <c r="AN341" s="8">
        <v>2.012121321549532E-4</v>
      </c>
    </row>
    <row r="342" spans="1:40" x14ac:dyDescent="0.2">
      <c r="A342" t="s">
        <v>388</v>
      </c>
      <c r="B342">
        <v>2015</v>
      </c>
      <c r="C342" t="s">
        <v>395</v>
      </c>
      <c r="D342" s="7">
        <v>104</v>
      </c>
      <c r="E342" s="7">
        <v>57</v>
      </c>
      <c r="F342" s="7">
        <v>60</v>
      </c>
      <c r="G342" s="7">
        <v>55</v>
      </c>
      <c r="H342" s="7">
        <v>64</v>
      </c>
      <c r="I342" s="7">
        <v>59</v>
      </c>
      <c r="J342" s="7">
        <v>37</v>
      </c>
      <c r="K342" s="16">
        <f>SUM(D342:J342)</f>
        <v>436</v>
      </c>
      <c r="L342" s="28">
        <v>60</v>
      </c>
      <c r="M342" s="28">
        <v>79</v>
      </c>
      <c r="N342" s="7">
        <v>222</v>
      </c>
      <c r="O342" s="16">
        <f t="shared" si="10"/>
        <v>361</v>
      </c>
      <c r="P342" s="7">
        <v>797</v>
      </c>
      <c r="Q342" s="7">
        <v>225586.00100000002</v>
      </c>
      <c r="R342" s="7">
        <v>468019.71099999989</v>
      </c>
      <c r="S342" s="7">
        <v>498923.47500000009</v>
      </c>
      <c r="T342" s="7">
        <v>525450.89599999995</v>
      </c>
      <c r="U342" s="7">
        <v>497484.07499999995</v>
      </c>
      <c r="V342" s="7">
        <v>501984.63199999998</v>
      </c>
      <c r="W342" s="7">
        <v>515291.12699999986</v>
      </c>
      <c r="X342" s="16">
        <f>SUM(Q342:W342)</f>
        <v>3232739.9169999999</v>
      </c>
      <c r="Y342" s="28">
        <v>335456.60300000012</v>
      </c>
      <c r="Z342" s="28">
        <v>164885.78100000002</v>
      </c>
      <c r="AA342" s="7">
        <v>79100.412999999986</v>
      </c>
      <c r="AB342" s="16">
        <f t="shared" si="11"/>
        <v>579442.79700000014</v>
      </c>
      <c r="AC342" s="7">
        <v>3812182.7140000002</v>
      </c>
      <c r="AD342" s="8">
        <v>4.6102151524907788E-4</v>
      </c>
      <c r="AE342" s="8">
        <v>1.2178974231279762E-4</v>
      </c>
      <c r="AF342" s="8">
        <v>1.2025892347518823E-4</v>
      </c>
      <c r="AG342" s="8">
        <v>1.0467200725831478E-4</v>
      </c>
      <c r="AH342" s="8">
        <v>1.2864733408803086E-4</v>
      </c>
      <c r="AI342" s="8">
        <v>1.1753347859461961E-4</v>
      </c>
      <c r="AJ342" s="8">
        <v>7.1804069702135603E-5</v>
      </c>
      <c r="AK342" s="8">
        <v>1.7886069155717283E-4</v>
      </c>
      <c r="AL342" s="8">
        <v>4.7911954275790461E-4</v>
      </c>
      <c r="AM342" s="8">
        <v>2.8065593032997192E-3</v>
      </c>
      <c r="AN342" s="8">
        <v>2.0906657938326719E-4</v>
      </c>
    </row>
    <row r="343" spans="1:40" x14ac:dyDescent="0.2">
      <c r="A343" t="s">
        <v>388</v>
      </c>
      <c r="B343">
        <v>2016</v>
      </c>
      <c r="C343" t="s">
        <v>396</v>
      </c>
      <c r="D343" s="7">
        <v>110</v>
      </c>
      <c r="E343" s="7">
        <v>47</v>
      </c>
      <c r="F343" s="7">
        <v>37</v>
      </c>
      <c r="G343" s="7">
        <v>65</v>
      </c>
      <c r="H343" s="7">
        <v>58</v>
      </c>
      <c r="I343" s="7">
        <v>48</v>
      </c>
      <c r="J343" s="7">
        <v>59</v>
      </c>
      <c r="K343" s="16">
        <f>SUM(D343:J343)</f>
        <v>424</v>
      </c>
      <c r="L343" s="28">
        <v>78</v>
      </c>
      <c r="M343" s="28">
        <v>88</v>
      </c>
      <c r="N343" s="7">
        <v>172</v>
      </c>
      <c r="O343" s="16">
        <f t="shared" si="10"/>
        <v>338</v>
      </c>
      <c r="P343" s="7">
        <v>762</v>
      </c>
      <c r="Q343" s="7">
        <v>234494.82400000002</v>
      </c>
      <c r="R343" s="7">
        <v>487245.02400000003</v>
      </c>
      <c r="S343" s="7">
        <v>518377.96499999997</v>
      </c>
      <c r="T343" s="7">
        <v>554103.29</v>
      </c>
      <c r="U343" s="7">
        <v>523909.34200000006</v>
      </c>
      <c r="V343" s="7">
        <v>521997.32200000004</v>
      </c>
      <c r="W343" s="7">
        <v>545397.2300000001</v>
      </c>
      <c r="X343" s="16">
        <f>SUM(Q343:W343)</f>
        <v>3385524.9970000004</v>
      </c>
      <c r="Y343" s="28">
        <v>379354.27400000009</v>
      </c>
      <c r="Z343" s="28">
        <v>178369.27500000008</v>
      </c>
      <c r="AA343" s="7">
        <v>86255.520999999993</v>
      </c>
      <c r="AB343" s="16">
        <f t="shared" si="11"/>
        <v>643979.07000000007</v>
      </c>
      <c r="AC343" s="7">
        <v>4029504.0670000007</v>
      </c>
      <c r="AD343" s="8">
        <v>4.6909350971431244E-4</v>
      </c>
      <c r="AE343" s="8">
        <v>9.6460708031776636E-5</v>
      </c>
      <c r="AF343" s="8">
        <v>7.1376490704036773E-5</v>
      </c>
      <c r="AG343" s="8">
        <v>1.1730664872969802E-4</v>
      </c>
      <c r="AH343" s="8">
        <v>1.1070617633689761E-4</v>
      </c>
      <c r="AI343" s="8">
        <v>9.1954494739725879E-5</v>
      </c>
      <c r="AJ343" s="8">
        <v>1.0817803383416521E-4</v>
      </c>
      <c r="AK343" s="8">
        <v>2.056125509739215E-4</v>
      </c>
      <c r="AL343" s="8">
        <v>4.933585114364565E-4</v>
      </c>
      <c r="AM343" s="8">
        <v>1.9940752546147166E-3</v>
      </c>
      <c r="AN343" s="8">
        <v>1.8910515719303277E-4</v>
      </c>
    </row>
    <row r="344" spans="1:40" x14ac:dyDescent="0.2">
      <c r="A344" t="s">
        <v>388</v>
      </c>
      <c r="B344">
        <v>2017</v>
      </c>
      <c r="C344" t="s">
        <v>397</v>
      </c>
      <c r="D344" s="7">
        <v>105</v>
      </c>
      <c r="E344" s="7">
        <v>57</v>
      </c>
      <c r="F344" s="7">
        <v>58</v>
      </c>
      <c r="G344" s="7">
        <v>45</v>
      </c>
      <c r="H344" s="7">
        <v>48</v>
      </c>
      <c r="I344" s="7">
        <v>62</v>
      </c>
      <c r="J344" s="7">
        <v>79</v>
      </c>
      <c r="K344" s="16">
        <f>SUM(D344:J344)</f>
        <v>454</v>
      </c>
      <c r="L344" s="28">
        <v>97</v>
      </c>
      <c r="M344" s="28">
        <v>132</v>
      </c>
      <c r="N344" s="7">
        <v>262</v>
      </c>
      <c r="O344" s="16">
        <f t="shared" si="10"/>
        <v>491</v>
      </c>
      <c r="P344" s="7">
        <v>945</v>
      </c>
      <c r="Q344" s="7">
        <v>228406</v>
      </c>
      <c r="R344" s="7">
        <v>477526</v>
      </c>
      <c r="S344" s="7">
        <v>502310</v>
      </c>
      <c r="T344" s="7">
        <v>550912</v>
      </c>
      <c r="U344" s="7">
        <v>520108</v>
      </c>
      <c r="V344" s="7">
        <v>506038</v>
      </c>
      <c r="W344" s="7">
        <v>529144</v>
      </c>
      <c r="X344" s="16">
        <f>SUM(Q344:W344)</f>
        <v>3314444</v>
      </c>
      <c r="Y344" s="28">
        <v>381554</v>
      </c>
      <c r="Z344" s="28">
        <v>174687</v>
      </c>
      <c r="AA344" s="7">
        <v>81159</v>
      </c>
      <c r="AB344" s="16">
        <f t="shared" si="11"/>
        <v>637400</v>
      </c>
      <c r="AC344" s="7">
        <v>3951844</v>
      </c>
      <c r="AD344" s="8">
        <v>4.5970771345761494E-4</v>
      </c>
      <c r="AE344" s="8">
        <v>1.1936522828076376E-4</v>
      </c>
      <c r="AF344" s="8">
        <v>1.154665445641138E-4</v>
      </c>
      <c r="AG344" s="8">
        <v>8.1682736988847589E-5</v>
      </c>
      <c r="AH344" s="8">
        <v>9.2288524691025716E-5</v>
      </c>
      <c r="AI344" s="8">
        <v>1.225204431287769E-4</v>
      </c>
      <c r="AJ344" s="8">
        <v>1.4929773369819937E-4</v>
      </c>
      <c r="AK344" s="8">
        <v>2.5422351750997236E-4</v>
      </c>
      <c r="AL344" s="8">
        <v>7.5563722543749677E-4</v>
      </c>
      <c r="AM344" s="8">
        <v>3.2282310033391244E-3</v>
      </c>
      <c r="AN344" s="8">
        <v>2.391288724959791E-4</v>
      </c>
    </row>
    <row r="345" spans="1:40" x14ac:dyDescent="0.2">
      <c r="A345" t="s">
        <v>398</v>
      </c>
      <c r="B345">
        <v>2009</v>
      </c>
      <c r="C345" t="s">
        <v>399</v>
      </c>
      <c r="D345" s="7">
        <v>115</v>
      </c>
      <c r="E345" s="7">
        <v>54</v>
      </c>
      <c r="F345" s="7">
        <v>64</v>
      </c>
      <c r="G345" s="7">
        <v>62</v>
      </c>
      <c r="H345" s="7">
        <v>73</v>
      </c>
      <c r="I345" s="7">
        <v>91</v>
      </c>
      <c r="J345" s="7">
        <v>175</v>
      </c>
      <c r="K345" s="16">
        <f>SUM(D345:J345)</f>
        <v>634</v>
      </c>
      <c r="L345" s="28">
        <v>270</v>
      </c>
      <c r="M345" s="28">
        <v>686</v>
      </c>
      <c r="N345" s="7">
        <v>1232</v>
      </c>
      <c r="O345" s="16">
        <f t="shared" si="10"/>
        <v>2188</v>
      </c>
      <c r="P345" s="7">
        <v>2822</v>
      </c>
      <c r="Q345" s="7">
        <v>740689.36799999978</v>
      </c>
      <c r="R345" s="7">
        <v>1548920.6879999994</v>
      </c>
      <c r="S345" s="7">
        <v>1720883.777</v>
      </c>
      <c r="T345" s="7">
        <v>1503516.4940000002</v>
      </c>
      <c r="U345" s="7">
        <v>1730593.8809999998</v>
      </c>
      <c r="V345" s="7">
        <v>1919114.3689999999</v>
      </c>
      <c r="W345" s="7">
        <v>1456163.2959999996</v>
      </c>
      <c r="X345" s="16">
        <f>SUM(Q345:W345)</f>
        <v>10619881.873</v>
      </c>
      <c r="Y345" s="28">
        <v>918697.60599999991</v>
      </c>
      <c r="Z345" s="28">
        <v>715471.31900000048</v>
      </c>
      <c r="AA345" s="7">
        <v>285195.065</v>
      </c>
      <c r="AB345" s="16">
        <f t="shared" si="11"/>
        <v>1919363.9900000002</v>
      </c>
      <c r="AC345" s="7">
        <v>12539245.863</v>
      </c>
      <c r="AD345" s="8">
        <v>1.552607678310836E-4</v>
      </c>
      <c r="AE345" s="8">
        <v>3.4862985831589606E-5</v>
      </c>
      <c r="AF345" s="8">
        <v>3.7190193117847026E-5</v>
      </c>
      <c r="AG345" s="8">
        <v>4.1236661019297068E-5</v>
      </c>
      <c r="AH345" s="8">
        <v>4.2182051376385287E-5</v>
      </c>
      <c r="AI345" s="8">
        <v>4.7417705515600778E-5</v>
      </c>
      <c r="AJ345" s="8">
        <v>1.2017882917438955E-4</v>
      </c>
      <c r="AK345" s="8">
        <v>2.9389431107323472E-4</v>
      </c>
      <c r="AL345" s="8">
        <v>9.5880852492984353E-4</v>
      </c>
      <c r="AM345" s="8">
        <v>4.3198503452365139E-3</v>
      </c>
      <c r="AN345" s="8">
        <v>2.2505340678636633E-4</v>
      </c>
    </row>
    <row r="346" spans="1:40" x14ac:dyDescent="0.2">
      <c r="A346" t="s">
        <v>398</v>
      </c>
      <c r="B346">
        <v>2010</v>
      </c>
      <c r="C346" t="s">
        <v>400</v>
      </c>
      <c r="D346" s="7">
        <v>102</v>
      </c>
      <c r="E346" s="7">
        <v>55</v>
      </c>
      <c r="F346" s="7">
        <v>63</v>
      </c>
      <c r="G346" s="7">
        <v>53</v>
      </c>
      <c r="H346" s="7">
        <v>60</v>
      </c>
      <c r="I346" s="7">
        <v>62</v>
      </c>
      <c r="J346" s="7">
        <v>140</v>
      </c>
      <c r="K346" s="16">
        <f>SUM(D346:J346)</f>
        <v>535</v>
      </c>
      <c r="L346" s="28">
        <v>256</v>
      </c>
      <c r="M346" s="28">
        <v>615</v>
      </c>
      <c r="N346" s="7">
        <v>1176</v>
      </c>
      <c r="O346" s="16">
        <f t="shared" si="10"/>
        <v>2047</v>
      </c>
      <c r="P346" s="7">
        <v>2582</v>
      </c>
      <c r="Q346" s="7">
        <v>725472.36099999992</v>
      </c>
      <c r="R346" s="7">
        <v>1554319.3720000007</v>
      </c>
      <c r="S346" s="7">
        <v>1753352.3289999997</v>
      </c>
      <c r="T346" s="7">
        <v>1478699.139</v>
      </c>
      <c r="U346" s="7">
        <v>1683489.1369999996</v>
      </c>
      <c r="V346" s="7">
        <v>1923625.3540000001</v>
      </c>
      <c r="W346" s="7">
        <v>1517166.7909999995</v>
      </c>
      <c r="X346" s="16">
        <f>SUM(Q346:W346)</f>
        <v>10636124.482999999</v>
      </c>
      <c r="Y346" s="28">
        <v>937049.86599999981</v>
      </c>
      <c r="Z346" s="28">
        <v>696249.81799999985</v>
      </c>
      <c r="AA346" s="7">
        <v>286485.72899999999</v>
      </c>
      <c r="AB346" s="16">
        <f t="shared" si="11"/>
        <v>1919785.4129999997</v>
      </c>
      <c r="AC346" s="7">
        <v>12555909.896</v>
      </c>
      <c r="AD346" s="8">
        <v>1.4059805098488103E-4</v>
      </c>
      <c r="AE346" s="8">
        <v>3.5385263151696716E-5</v>
      </c>
      <c r="AF346" s="8">
        <v>3.593116965597621E-5</v>
      </c>
      <c r="AG346" s="8">
        <v>3.5842314776650451E-5</v>
      </c>
      <c r="AH346" s="8">
        <v>3.5640265613427606E-5</v>
      </c>
      <c r="AI346" s="8">
        <v>3.2230808286591129E-5</v>
      </c>
      <c r="AJ346" s="8">
        <v>9.2277263667050593E-5</v>
      </c>
      <c r="AK346" s="8">
        <v>2.7319784067927081E-4</v>
      </c>
      <c r="AL346" s="8">
        <v>8.8330364202694864E-4</v>
      </c>
      <c r="AM346" s="8">
        <v>4.1049165140089753E-3</v>
      </c>
      <c r="AN346" s="8">
        <v>2.0564021416102714E-4</v>
      </c>
    </row>
    <row r="347" spans="1:40" x14ac:dyDescent="0.2">
      <c r="A347" t="s">
        <v>398</v>
      </c>
      <c r="B347">
        <v>2011</v>
      </c>
      <c r="C347" t="s">
        <v>401</v>
      </c>
      <c r="D347" s="7">
        <v>121</v>
      </c>
      <c r="E347" s="7">
        <v>58</v>
      </c>
      <c r="F347" s="7">
        <v>46</v>
      </c>
      <c r="G347" s="7">
        <v>60</v>
      </c>
      <c r="H347" s="7">
        <v>61</v>
      </c>
      <c r="I347" s="7">
        <v>77</v>
      </c>
      <c r="J347" s="7">
        <v>176</v>
      </c>
      <c r="K347" s="16">
        <f>SUM(D347:J347)</f>
        <v>599</v>
      </c>
      <c r="L347" s="28">
        <v>312</v>
      </c>
      <c r="M347" s="28">
        <v>691</v>
      </c>
      <c r="N347" s="7">
        <v>1423</v>
      </c>
      <c r="O347" s="16">
        <f t="shared" si="10"/>
        <v>2426</v>
      </c>
      <c r="P347" s="7">
        <v>3025</v>
      </c>
      <c r="Q347" s="7">
        <v>721574.82700000005</v>
      </c>
      <c r="R347" s="7">
        <v>1534928.327</v>
      </c>
      <c r="S347" s="7">
        <v>1755912.4850000001</v>
      </c>
      <c r="T347" s="7">
        <v>1485863.6050000004</v>
      </c>
      <c r="U347" s="7">
        <v>1637431.7649999999</v>
      </c>
      <c r="V347" s="7">
        <v>1912703.5729999999</v>
      </c>
      <c r="W347" s="7">
        <v>1561463.2929999998</v>
      </c>
      <c r="X347" s="16">
        <f>SUM(Q347:W347)</f>
        <v>10609877.875</v>
      </c>
      <c r="Y347" s="28">
        <v>950212.82999999973</v>
      </c>
      <c r="Z347" s="28">
        <v>679261.97299999988</v>
      </c>
      <c r="AA347" s="7">
        <v>293466.55100000004</v>
      </c>
      <c r="AB347" s="16">
        <f t="shared" si="11"/>
        <v>1922941.3539999996</v>
      </c>
      <c r="AC347" s="7">
        <v>12532819.229</v>
      </c>
      <c r="AD347" s="8">
        <v>1.676887766485235E-4</v>
      </c>
      <c r="AE347" s="8">
        <v>3.7786780646207982E-5</v>
      </c>
      <c r="AF347" s="8">
        <v>2.6197205380654263E-5</v>
      </c>
      <c r="AG347" s="8">
        <v>4.038055700274049E-5</v>
      </c>
      <c r="AH347" s="8">
        <v>3.7253460757187643E-5</v>
      </c>
      <c r="AI347" s="8">
        <v>4.0257152800330973E-5</v>
      </c>
      <c r="AJ347" s="8">
        <v>1.1271478541250602E-4</v>
      </c>
      <c r="AK347" s="8">
        <v>3.2834749242440777E-4</v>
      </c>
      <c r="AL347" s="8">
        <v>1.0172805595875748E-3</v>
      </c>
      <c r="AM347" s="8">
        <v>4.8489342146526265E-3</v>
      </c>
      <c r="AN347" s="8">
        <v>2.4136628357332226E-4</v>
      </c>
    </row>
    <row r="348" spans="1:40" x14ac:dyDescent="0.2">
      <c r="A348" t="s">
        <v>398</v>
      </c>
      <c r="B348">
        <v>2012</v>
      </c>
      <c r="C348" t="s">
        <v>402</v>
      </c>
      <c r="D348" s="7">
        <v>106</v>
      </c>
      <c r="E348" s="7">
        <v>57</v>
      </c>
      <c r="F348" s="7">
        <v>52</v>
      </c>
      <c r="G348" s="7">
        <v>48</v>
      </c>
      <c r="H348" s="7">
        <v>68</v>
      </c>
      <c r="I348" s="7">
        <v>37</v>
      </c>
      <c r="J348" s="7">
        <v>113</v>
      </c>
      <c r="K348" s="16">
        <f>SUM(D348:J348)</f>
        <v>481</v>
      </c>
      <c r="L348" s="28">
        <v>258</v>
      </c>
      <c r="M348" s="28">
        <v>646</v>
      </c>
      <c r="N348" s="7">
        <v>1208</v>
      </c>
      <c r="O348" s="16">
        <f t="shared" si="10"/>
        <v>2112</v>
      </c>
      <c r="P348" s="7">
        <v>2593</v>
      </c>
      <c r="Q348" s="7">
        <v>723409.38400000008</v>
      </c>
      <c r="R348" s="7">
        <v>1535861.0449999995</v>
      </c>
      <c r="S348" s="7">
        <v>1763578.4849999999</v>
      </c>
      <c r="T348" s="7">
        <v>1515174.5880000005</v>
      </c>
      <c r="U348" s="7">
        <v>1608523.1840000001</v>
      </c>
      <c r="V348" s="7">
        <v>1914402.1029999994</v>
      </c>
      <c r="W348" s="7">
        <v>1617192.2010000001</v>
      </c>
      <c r="X348" s="16">
        <f>SUM(Q348:W348)</f>
        <v>10678140.99</v>
      </c>
      <c r="Y348" s="28">
        <v>987181.80899999954</v>
      </c>
      <c r="Z348" s="28">
        <v>671898.69400000002</v>
      </c>
      <c r="AA348" s="7">
        <v>303961.94300000014</v>
      </c>
      <c r="AB348" s="16">
        <f t="shared" si="11"/>
        <v>1963042.4459999998</v>
      </c>
      <c r="AC348" s="7">
        <v>12641183.436000001</v>
      </c>
      <c r="AD348" s="8">
        <v>1.4652837293025768E-4</v>
      </c>
      <c r="AE348" s="8">
        <v>3.7112732421701616E-5</v>
      </c>
      <c r="AF348" s="8">
        <v>2.9485503731352224E-5</v>
      </c>
      <c r="AG348" s="8">
        <v>3.1679517581771895E-5</v>
      </c>
      <c r="AH348" s="8">
        <v>4.2274802549566478E-5</v>
      </c>
      <c r="AI348" s="8">
        <v>1.9327183114779524E-5</v>
      </c>
      <c r="AJ348" s="8">
        <v>6.987419301807528E-5</v>
      </c>
      <c r="AK348" s="8">
        <v>2.6135003466215627E-4</v>
      </c>
      <c r="AL348" s="8">
        <v>9.6145446593173464E-4</v>
      </c>
      <c r="AM348" s="8">
        <v>3.9741817284014384E-3</v>
      </c>
      <c r="AN348" s="8">
        <v>2.0512320014402801E-4</v>
      </c>
    </row>
    <row r="349" spans="1:40" x14ac:dyDescent="0.2">
      <c r="A349" t="s">
        <v>398</v>
      </c>
      <c r="B349">
        <v>2013</v>
      </c>
      <c r="C349" t="s">
        <v>403</v>
      </c>
      <c r="D349" s="7">
        <v>83</v>
      </c>
      <c r="E349" s="7">
        <v>39</v>
      </c>
      <c r="F349" s="7">
        <v>56</v>
      </c>
      <c r="G349" s="7">
        <v>68</v>
      </c>
      <c r="H349" s="7">
        <v>45</v>
      </c>
      <c r="I349" s="7">
        <v>73</v>
      </c>
      <c r="J349" s="7">
        <v>183</v>
      </c>
      <c r="K349" s="16">
        <f>SUM(D349:J349)</f>
        <v>547</v>
      </c>
      <c r="L349" s="28">
        <v>302</v>
      </c>
      <c r="M349" s="28">
        <v>708</v>
      </c>
      <c r="N349" s="7">
        <v>1526</v>
      </c>
      <c r="O349" s="16">
        <f t="shared" si="10"/>
        <v>2536</v>
      </c>
      <c r="P349" s="7">
        <v>3083</v>
      </c>
      <c r="Q349" s="7">
        <v>719632.51699999976</v>
      </c>
      <c r="R349" s="7">
        <v>1528646.1029999999</v>
      </c>
      <c r="S349" s="7">
        <v>1752198.0259999998</v>
      </c>
      <c r="T349" s="7">
        <v>1546115.939</v>
      </c>
      <c r="U349" s="7">
        <v>1577390.3019999997</v>
      </c>
      <c r="V349" s="7">
        <v>1892222.3199999998</v>
      </c>
      <c r="W349" s="7">
        <v>1661581.1639999996</v>
      </c>
      <c r="X349" s="16">
        <f>SUM(Q349:W349)</f>
        <v>10677786.370999999</v>
      </c>
      <c r="Y349" s="28">
        <v>1017454.8830000001</v>
      </c>
      <c r="Z349" s="28">
        <v>663223.60100000002</v>
      </c>
      <c r="AA349" s="7">
        <v>309331.6939999999</v>
      </c>
      <c r="AB349" s="16">
        <f t="shared" si="11"/>
        <v>1990010.1780000001</v>
      </c>
      <c r="AC349" s="7">
        <v>12667796.548999999</v>
      </c>
      <c r="AD349" s="8">
        <v>1.1533664480033499E-4</v>
      </c>
      <c r="AE349" s="8">
        <v>2.5512772330666783E-5</v>
      </c>
      <c r="AF349" s="8">
        <v>3.1959857943590679E-5</v>
      </c>
      <c r="AG349" s="8">
        <v>4.3981177791868038E-5</v>
      </c>
      <c r="AH349" s="8">
        <v>2.8528132791829482E-5</v>
      </c>
      <c r="AI349" s="8">
        <v>3.8578976280123369E-5</v>
      </c>
      <c r="AJ349" s="8">
        <v>1.101360583310031E-4</v>
      </c>
      <c r="AK349" s="8">
        <v>2.9681905806923131E-4</v>
      </c>
      <c r="AL349" s="8">
        <v>1.0675132774715596E-3</v>
      </c>
      <c r="AM349" s="8">
        <v>4.9332157990897643E-3</v>
      </c>
      <c r="AN349" s="8">
        <v>2.4337302766702339E-4</v>
      </c>
    </row>
    <row r="350" spans="1:40" x14ac:dyDescent="0.2">
      <c r="A350" t="s">
        <v>398</v>
      </c>
      <c r="B350">
        <v>2014</v>
      </c>
      <c r="C350" t="s">
        <v>404</v>
      </c>
      <c r="D350" s="7">
        <v>91</v>
      </c>
      <c r="E350" s="7">
        <v>56</v>
      </c>
      <c r="F350" s="7">
        <v>49</v>
      </c>
      <c r="G350" s="7">
        <v>60</v>
      </c>
      <c r="H350" s="7">
        <v>48</v>
      </c>
      <c r="I350" s="7">
        <v>90</v>
      </c>
      <c r="J350" s="7">
        <v>213</v>
      </c>
      <c r="K350" s="16">
        <f>SUM(D350:J350)</f>
        <v>607</v>
      </c>
      <c r="L350" s="28">
        <v>320</v>
      </c>
      <c r="M350" s="28">
        <v>611</v>
      </c>
      <c r="N350" s="7">
        <v>1232</v>
      </c>
      <c r="O350" s="16">
        <f t="shared" si="10"/>
        <v>2163</v>
      </c>
      <c r="P350" s="7">
        <v>2770</v>
      </c>
      <c r="Q350" s="7">
        <v>710530.56700000016</v>
      </c>
      <c r="R350" s="7">
        <v>1506977.7490000005</v>
      </c>
      <c r="S350" s="7">
        <v>1712392.28</v>
      </c>
      <c r="T350" s="7">
        <v>1561524.2900000003</v>
      </c>
      <c r="U350" s="7">
        <v>1535472.9720000003</v>
      </c>
      <c r="V350" s="7">
        <v>1848769.3040000002</v>
      </c>
      <c r="W350" s="7">
        <v>1683349.0969999996</v>
      </c>
      <c r="X350" s="16">
        <f>SUM(Q350:W350)</f>
        <v>10559016.259</v>
      </c>
      <c r="Y350" s="28">
        <v>1046388.2960000003</v>
      </c>
      <c r="Z350" s="28">
        <v>650667.49900000007</v>
      </c>
      <c r="AA350" s="7">
        <v>314998.50599999999</v>
      </c>
      <c r="AB350" s="16">
        <f t="shared" si="11"/>
        <v>2012054.3010000004</v>
      </c>
      <c r="AC350" s="7">
        <v>12571070.559999999</v>
      </c>
      <c r="AD350" s="8">
        <v>1.2807330778775628E-4</v>
      </c>
      <c r="AE350" s="8">
        <v>3.7160469049500198E-5</v>
      </c>
      <c r="AF350" s="8">
        <v>2.8614938628431565E-5</v>
      </c>
      <c r="AG350" s="8">
        <v>3.8423994032138938E-5</v>
      </c>
      <c r="AH350" s="8">
        <v>3.1260726092416033E-5</v>
      </c>
      <c r="AI350" s="8">
        <v>4.8681033271850549E-5</v>
      </c>
      <c r="AJ350" s="8">
        <v>1.2653346853579002E-4</v>
      </c>
      <c r="AK350" s="8">
        <v>3.0581381808574806E-4</v>
      </c>
      <c r="AL350" s="8">
        <v>9.3903568403068481E-4</v>
      </c>
      <c r="AM350" s="8">
        <v>3.9111296610403606E-3</v>
      </c>
      <c r="AN350" s="8">
        <v>2.2034718417808326E-4</v>
      </c>
    </row>
    <row r="351" spans="1:40" x14ac:dyDescent="0.2">
      <c r="A351" t="s">
        <v>398</v>
      </c>
      <c r="B351">
        <v>2015</v>
      </c>
      <c r="C351" t="s">
        <v>405</v>
      </c>
      <c r="D351" s="7">
        <v>108</v>
      </c>
      <c r="E351" s="7">
        <v>45</v>
      </c>
      <c r="F351" s="7">
        <v>55</v>
      </c>
      <c r="G351" s="7">
        <v>43</v>
      </c>
      <c r="H351" s="7">
        <v>54</v>
      </c>
      <c r="I351" s="7">
        <v>75</v>
      </c>
      <c r="J351" s="7">
        <v>200</v>
      </c>
      <c r="K351" s="16">
        <f>SUM(D351:J351)</f>
        <v>580</v>
      </c>
      <c r="L351" s="28">
        <v>355</v>
      </c>
      <c r="M351" s="28">
        <v>697</v>
      </c>
      <c r="N351" s="7">
        <v>1508</v>
      </c>
      <c r="O351" s="16">
        <f t="shared" si="10"/>
        <v>2560</v>
      </c>
      <c r="P351" s="7">
        <v>3140</v>
      </c>
      <c r="Q351" s="7">
        <v>711561.14800000016</v>
      </c>
      <c r="R351" s="7">
        <v>1504923.5599999996</v>
      </c>
      <c r="S351" s="7">
        <v>1724994.4540000004</v>
      </c>
      <c r="T351" s="7">
        <v>1591967.8360000004</v>
      </c>
      <c r="U351" s="7">
        <v>1514380.9800000002</v>
      </c>
      <c r="V351" s="7">
        <v>1817953.1800000006</v>
      </c>
      <c r="W351" s="7">
        <v>1713675.8820000002</v>
      </c>
      <c r="X351" s="16">
        <f>SUM(Q351:W351)</f>
        <v>10579457.040000003</v>
      </c>
      <c r="Y351" s="28">
        <v>1086773.0930000001</v>
      </c>
      <c r="Z351" s="28">
        <v>644904.6109999998</v>
      </c>
      <c r="AA351" s="7">
        <v>313401.924</v>
      </c>
      <c r="AB351" s="16">
        <f t="shared" si="11"/>
        <v>2045079.628</v>
      </c>
      <c r="AC351" s="7">
        <v>12624536.668000003</v>
      </c>
      <c r="AD351" s="8">
        <v>1.5177894451314248E-4</v>
      </c>
      <c r="AE351" s="8">
        <v>2.9901850961785734E-5</v>
      </c>
      <c r="AF351" s="8">
        <v>3.1884160480900882E-5</v>
      </c>
      <c r="AG351" s="8">
        <v>2.7010595960306821E-5</v>
      </c>
      <c r="AH351" s="8">
        <v>3.5658134058181314E-5</v>
      </c>
      <c r="AI351" s="8">
        <v>4.1255187881131223E-5</v>
      </c>
      <c r="AJ351" s="8">
        <v>1.1670818391082427E-4</v>
      </c>
      <c r="AK351" s="8">
        <v>3.2665512450260855E-4</v>
      </c>
      <c r="AL351" s="8">
        <v>1.0807799915079227E-3</v>
      </c>
      <c r="AM351" s="8">
        <v>4.8117126428362323E-3</v>
      </c>
      <c r="AN351" s="8">
        <v>2.4872199927614792E-4</v>
      </c>
    </row>
    <row r="352" spans="1:40" x14ac:dyDescent="0.2">
      <c r="A352" t="s">
        <v>398</v>
      </c>
      <c r="B352">
        <v>2016</v>
      </c>
      <c r="C352" t="s">
        <v>406</v>
      </c>
      <c r="D352" s="7">
        <v>104</v>
      </c>
      <c r="E352" s="7">
        <v>59</v>
      </c>
      <c r="F352" s="7">
        <v>51</v>
      </c>
      <c r="G352" s="7">
        <v>57</v>
      </c>
      <c r="H352" s="7">
        <v>54</v>
      </c>
      <c r="I352" s="7">
        <v>87</v>
      </c>
      <c r="J352" s="7">
        <v>138</v>
      </c>
      <c r="K352" s="16">
        <f>SUM(D352:J352)</f>
        <v>550</v>
      </c>
      <c r="L352" s="28">
        <v>356</v>
      </c>
      <c r="M352" s="28">
        <v>624</v>
      </c>
      <c r="N352" s="7">
        <v>1191</v>
      </c>
      <c r="O352" s="16">
        <f t="shared" si="10"/>
        <v>2171</v>
      </c>
      <c r="P352" s="7">
        <v>2721</v>
      </c>
      <c r="Q352" s="7">
        <v>721188.13399999996</v>
      </c>
      <c r="R352" s="7">
        <v>1524430.3950000003</v>
      </c>
      <c r="S352" s="7">
        <v>1728222.4399999995</v>
      </c>
      <c r="T352" s="7">
        <v>1650728.6459999999</v>
      </c>
      <c r="U352" s="7">
        <v>1530351.3249999997</v>
      </c>
      <c r="V352" s="7">
        <v>1819542.2779999995</v>
      </c>
      <c r="W352" s="7">
        <v>1775259.0459999999</v>
      </c>
      <c r="X352" s="16">
        <f>SUM(Q352:W352)</f>
        <v>10749722.263999999</v>
      </c>
      <c r="Y352" s="28">
        <v>1160203.7830000003</v>
      </c>
      <c r="Z352" s="28">
        <v>662262.1590000001</v>
      </c>
      <c r="AA352" s="7">
        <v>325752.89299999998</v>
      </c>
      <c r="AB352" s="16">
        <f t="shared" si="11"/>
        <v>2148218.8350000004</v>
      </c>
      <c r="AC352" s="7">
        <v>12897941.098999998</v>
      </c>
      <c r="AD352" s="8">
        <v>1.4420647691910029E-4</v>
      </c>
      <c r="AE352" s="8">
        <v>3.8702980597549676E-5</v>
      </c>
      <c r="AF352" s="8">
        <v>2.9510090147886298E-5</v>
      </c>
      <c r="AG352" s="8">
        <v>3.4530205880973121E-5</v>
      </c>
      <c r="AH352" s="8">
        <v>3.5286015124664271E-5</v>
      </c>
      <c r="AI352" s="8">
        <v>4.781422286907698E-5</v>
      </c>
      <c r="AJ352" s="8">
        <v>7.7735134098283029E-5</v>
      </c>
      <c r="AK352" s="8">
        <v>3.0684264714210118E-4</v>
      </c>
      <c r="AL352" s="8">
        <v>9.4222505622580785E-4</v>
      </c>
      <c r="AM352" s="8">
        <v>3.6561455802635039E-3</v>
      </c>
      <c r="AN352" s="8">
        <v>2.1096390339470262E-4</v>
      </c>
    </row>
    <row r="353" spans="1:40" x14ac:dyDescent="0.2">
      <c r="A353" t="s">
        <v>398</v>
      </c>
      <c r="B353">
        <v>2017</v>
      </c>
      <c r="C353" t="s">
        <v>407</v>
      </c>
      <c r="D353" s="7">
        <v>99</v>
      </c>
      <c r="E353" s="7">
        <v>47</v>
      </c>
      <c r="F353" s="7">
        <v>78</v>
      </c>
      <c r="G353" s="7">
        <v>48</v>
      </c>
      <c r="H353" s="7">
        <v>45</v>
      </c>
      <c r="I353" s="7">
        <v>69</v>
      </c>
      <c r="J353" s="7">
        <v>201</v>
      </c>
      <c r="K353" s="16">
        <f>SUM(D353:J353)</f>
        <v>587</v>
      </c>
      <c r="L353" s="28">
        <v>360</v>
      </c>
      <c r="M353" s="28">
        <v>611</v>
      </c>
      <c r="N353" s="7">
        <v>1422</v>
      </c>
      <c r="O353" s="16">
        <f t="shared" si="10"/>
        <v>2393</v>
      </c>
      <c r="P353" s="7">
        <v>2980</v>
      </c>
      <c r="Q353" s="7">
        <v>715867</v>
      </c>
      <c r="R353" s="7">
        <v>1510035</v>
      </c>
      <c r="S353" s="7">
        <v>1703779</v>
      </c>
      <c r="T353" s="7">
        <v>1655660</v>
      </c>
      <c r="U353" s="7">
        <v>1508763</v>
      </c>
      <c r="V353" s="7">
        <v>1777792</v>
      </c>
      <c r="W353" s="7">
        <v>1792804</v>
      </c>
      <c r="X353" s="16">
        <f>SUM(Q353:W353)</f>
        <v>10664700</v>
      </c>
      <c r="Y353" s="28">
        <v>1203329</v>
      </c>
      <c r="Z353" s="28">
        <v>663455</v>
      </c>
      <c r="AA353" s="7">
        <v>326620</v>
      </c>
      <c r="AB353" s="16">
        <f t="shared" si="11"/>
        <v>2193404</v>
      </c>
      <c r="AC353" s="7">
        <v>12858104</v>
      </c>
      <c r="AD353" s="8">
        <v>1.3829384508574918E-4</v>
      </c>
      <c r="AE353" s="8">
        <v>3.1125106371706613E-5</v>
      </c>
      <c r="AF353" s="8">
        <v>4.5780585392823834E-5</v>
      </c>
      <c r="AG353" s="8">
        <v>2.8991459599193072E-5</v>
      </c>
      <c r="AH353" s="8">
        <v>2.9825757922218401E-5</v>
      </c>
      <c r="AI353" s="8">
        <v>3.8812189502483977E-5</v>
      </c>
      <c r="AJ353" s="8">
        <v>1.1211487703061796E-4</v>
      </c>
      <c r="AK353" s="8">
        <v>2.9917005241293112E-4</v>
      </c>
      <c r="AL353" s="8">
        <v>9.2093661212893111E-4</v>
      </c>
      <c r="AM353" s="8">
        <v>4.3536831792296855E-3</v>
      </c>
      <c r="AN353" s="8">
        <v>2.3176045239640307E-4</v>
      </c>
    </row>
    <row r="354" spans="1:40" x14ac:dyDescent="0.2">
      <c r="A354" t="s">
        <v>408</v>
      </c>
      <c r="B354">
        <v>2009</v>
      </c>
      <c r="C354" t="s">
        <v>409</v>
      </c>
      <c r="D354" s="9">
        <v>107.62309368191721</v>
      </c>
      <c r="E354" s="9">
        <v>54.305010893246184</v>
      </c>
      <c r="F354" s="9">
        <v>54.100217864923749</v>
      </c>
      <c r="G354" s="9">
        <v>54.649237472766885</v>
      </c>
      <c r="H354" s="9">
        <v>56.06100217864924</v>
      </c>
      <c r="I354" s="9">
        <v>65.302832244008712</v>
      </c>
      <c r="J354" s="9">
        <v>98.721132897603482</v>
      </c>
      <c r="K354" s="16">
        <f>SUM(D354:J354)</f>
        <v>490.76252723311541</v>
      </c>
      <c r="L354" s="28">
        <v>148.400871459695</v>
      </c>
      <c r="M354" s="28">
        <v>266.79738562091501</v>
      </c>
      <c r="N354" s="9">
        <v>475.49455337690631</v>
      </c>
      <c r="O354" s="16">
        <f t="shared" si="10"/>
        <v>890.69281045751632</v>
      </c>
      <c r="P354" s="9">
        <v>1381.4553376906317</v>
      </c>
      <c r="Q354" s="7">
        <v>242236.07500000001</v>
      </c>
      <c r="R354" s="7">
        <v>566001.61200000008</v>
      </c>
      <c r="S354" s="7">
        <v>571869.15699999989</v>
      </c>
      <c r="T354" s="7">
        <v>547903.72899999993</v>
      </c>
      <c r="U354" s="7">
        <v>521681.36100000015</v>
      </c>
      <c r="V354" s="7">
        <v>493379.63099999982</v>
      </c>
      <c r="W354" s="7">
        <v>429421.26300000009</v>
      </c>
      <c r="X354" s="16">
        <f>SUM(Q354:W354)</f>
        <v>3372492.8279999997</v>
      </c>
      <c r="Y354" s="28">
        <v>291560.6480000001</v>
      </c>
      <c r="Z354" s="28">
        <v>163090.80700000006</v>
      </c>
      <c r="AA354" s="7">
        <v>62698.668000000027</v>
      </c>
      <c r="AB354" s="16">
        <f t="shared" si="11"/>
        <v>517350.1230000002</v>
      </c>
      <c r="AC354" s="7">
        <v>3889842.9509999999</v>
      </c>
      <c r="AD354" s="8">
        <v>4.442901152601536E-4</v>
      </c>
      <c r="AE354" s="8">
        <v>9.5944975671281616E-5</v>
      </c>
      <c r="AF354" s="8">
        <v>9.4602440440626461E-5</v>
      </c>
      <c r="AG354" s="8">
        <v>9.9742408347008884E-5</v>
      </c>
      <c r="AH354" s="8">
        <v>1.0746215289575818E-4</v>
      </c>
      <c r="AI354" s="8">
        <v>1.3235818453155546E-4</v>
      </c>
      <c r="AJ354" s="8">
        <v>2.2989344358014115E-4</v>
      </c>
      <c r="AK354" s="8">
        <v>5.0898800121920067E-4</v>
      </c>
      <c r="AL354" s="8">
        <v>1.6358824297246558E-3</v>
      </c>
      <c r="AM354" s="8">
        <v>7.5838062999505204E-3</v>
      </c>
      <c r="AN354" s="8">
        <v>3.5514424492009056E-4</v>
      </c>
    </row>
    <row r="355" spans="1:40" x14ac:dyDescent="0.2">
      <c r="A355" t="s">
        <v>408</v>
      </c>
      <c r="B355">
        <v>2010</v>
      </c>
      <c r="C355" t="s">
        <v>410</v>
      </c>
      <c r="D355" s="9">
        <v>107.62309368191721</v>
      </c>
      <c r="E355" s="9">
        <v>54.305010893246184</v>
      </c>
      <c r="F355" s="9">
        <v>54.100217864923749</v>
      </c>
      <c r="G355" s="9">
        <v>54.649237472766885</v>
      </c>
      <c r="H355" s="9">
        <v>56.06100217864924</v>
      </c>
      <c r="I355" s="9">
        <v>65.302832244008712</v>
      </c>
      <c r="J355" s="9">
        <v>98.721132897603482</v>
      </c>
      <c r="K355" s="16">
        <f>SUM(D355:J355)</f>
        <v>490.76252723311541</v>
      </c>
      <c r="L355" s="28">
        <v>148.400871459695</v>
      </c>
      <c r="M355" s="28">
        <v>266.79738562091501</v>
      </c>
      <c r="N355" s="9">
        <v>475.49455337690631</v>
      </c>
      <c r="O355" s="16">
        <f t="shared" si="10"/>
        <v>890.69281045751632</v>
      </c>
      <c r="P355" s="9">
        <v>1381.4553376906317</v>
      </c>
      <c r="Q355" s="7">
        <v>225701.34499999994</v>
      </c>
      <c r="R355" s="7">
        <v>513887.04800000018</v>
      </c>
      <c r="S355" s="7">
        <v>535954.93099999998</v>
      </c>
      <c r="T355" s="7">
        <v>480980.196</v>
      </c>
      <c r="U355" s="7">
        <v>473898.36499999993</v>
      </c>
      <c r="V355" s="7">
        <v>462603.2589999999</v>
      </c>
      <c r="W355" s="7">
        <v>414223.30600000004</v>
      </c>
      <c r="X355" s="16">
        <f>SUM(Q355:W355)</f>
        <v>3107248.4499999997</v>
      </c>
      <c r="Y355" s="28">
        <v>285909.24899999989</v>
      </c>
      <c r="Z355" s="28">
        <v>155526.22100000005</v>
      </c>
      <c r="AA355" s="7">
        <v>58493.865999999987</v>
      </c>
      <c r="AB355" s="16">
        <f t="shared" si="11"/>
        <v>499929.33599999995</v>
      </c>
      <c r="AC355" s="7">
        <v>3607177.7859999994</v>
      </c>
      <c r="AD355" s="8">
        <v>4.7683851277854477E-4</v>
      </c>
      <c r="AE355" s="8">
        <v>1.0567499434865337E-4</v>
      </c>
      <c r="AF355" s="8">
        <v>1.0094172986519971E-4</v>
      </c>
      <c r="AG355" s="8">
        <v>1.1362055637061382E-4</v>
      </c>
      <c r="AH355" s="8">
        <v>1.182975218297055E-4</v>
      </c>
      <c r="AI355" s="8">
        <v>1.4116379634932215E-4</v>
      </c>
      <c r="AJ355" s="8">
        <v>2.3832829169106065E-4</v>
      </c>
      <c r="AK355" s="8">
        <v>5.1904886595569716E-4</v>
      </c>
      <c r="AL355" s="8">
        <v>1.7154495486707347E-3</v>
      </c>
      <c r="AM355" s="8">
        <v>8.1289643836655687E-3</v>
      </c>
      <c r="AN355" s="8">
        <v>3.8297400894745693E-4</v>
      </c>
    </row>
    <row r="356" spans="1:40" x14ac:dyDescent="0.2">
      <c r="A356" t="s">
        <v>408</v>
      </c>
      <c r="B356">
        <v>2011</v>
      </c>
      <c r="C356" t="s">
        <v>411</v>
      </c>
      <c r="D356" s="9">
        <v>107.62309368191721</v>
      </c>
      <c r="E356" s="9">
        <v>54.305010893246184</v>
      </c>
      <c r="F356" s="9">
        <v>54.100217864923749</v>
      </c>
      <c r="G356" s="9">
        <v>54.649237472766885</v>
      </c>
      <c r="H356" s="9">
        <v>56.06100217864924</v>
      </c>
      <c r="I356" s="9">
        <v>65.302832244008712</v>
      </c>
      <c r="J356" s="9">
        <v>98.721132897603482</v>
      </c>
      <c r="K356" s="16">
        <f>SUM(D356:J356)</f>
        <v>490.76252723311541</v>
      </c>
      <c r="L356" s="28">
        <v>148.400871459695</v>
      </c>
      <c r="M356" s="28">
        <v>266.79738562091501</v>
      </c>
      <c r="N356" s="9">
        <v>475.49455337690631</v>
      </c>
      <c r="O356" s="16">
        <f t="shared" si="10"/>
        <v>890.69281045751632</v>
      </c>
      <c r="P356" s="9">
        <v>1381.4553376906317</v>
      </c>
      <c r="Q356" s="7">
        <v>224841.92599999998</v>
      </c>
      <c r="R356" s="7">
        <v>509876.87700000004</v>
      </c>
      <c r="S356" s="7">
        <v>541032.34900000016</v>
      </c>
      <c r="T356" s="7">
        <v>484416.02400000021</v>
      </c>
      <c r="U356" s="7">
        <v>477857.13099999999</v>
      </c>
      <c r="V356" s="7">
        <v>480931.80500000017</v>
      </c>
      <c r="W356" s="7">
        <v>432012.12500000012</v>
      </c>
      <c r="X356" s="16">
        <f>SUM(Q356:W356)</f>
        <v>3150968.2370000007</v>
      </c>
      <c r="Y356" s="28">
        <v>304940.35399999999</v>
      </c>
      <c r="Z356" s="28">
        <v>166821.68899999995</v>
      </c>
      <c r="AA356" s="7">
        <v>62702.027999999991</v>
      </c>
      <c r="AB356" s="16">
        <f t="shared" si="11"/>
        <v>534464.071</v>
      </c>
      <c r="AC356" s="7">
        <v>3685432.3080000002</v>
      </c>
      <c r="AD356" s="8">
        <v>4.7866114472759505E-4</v>
      </c>
      <c r="AE356" s="8">
        <v>1.0650612597449909E-4</v>
      </c>
      <c r="AF356" s="8">
        <v>9.9994423558809667E-5</v>
      </c>
      <c r="AG356" s="8">
        <v>1.1281467739549189E-4</v>
      </c>
      <c r="AH356" s="8">
        <v>1.1731749625946095E-4</v>
      </c>
      <c r="AI356" s="8">
        <v>1.3578397511890213E-4</v>
      </c>
      <c r="AJ356" s="8">
        <v>2.2851472721420368E-4</v>
      </c>
      <c r="AK356" s="8">
        <v>4.8665540494419114E-4</v>
      </c>
      <c r="AL356" s="8">
        <v>1.5992967534390271E-3</v>
      </c>
      <c r="AM356" s="8">
        <v>7.5833999081641569E-3</v>
      </c>
      <c r="AN356" s="8">
        <v>3.7484214123045877E-4</v>
      </c>
    </row>
    <row r="357" spans="1:40" x14ac:dyDescent="0.2">
      <c r="A357" t="s">
        <v>408</v>
      </c>
      <c r="B357">
        <v>2012</v>
      </c>
      <c r="C357" t="s">
        <v>412</v>
      </c>
      <c r="D357" s="9">
        <v>107.62309368191721</v>
      </c>
      <c r="E357" s="9">
        <v>54.305010893246184</v>
      </c>
      <c r="F357" s="9">
        <v>54.100217864923749</v>
      </c>
      <c r="G357" s="9">
        <v>54.649237472766885</v>
      </c>
      <c r="H357" s="9">
        <v>56.06100217864924</v>
      </c>
      <c r="I357" s="9">
        <v>65.302832244008712</v>
      </c>
      <c r="J357" s="9">
        <v>98.721132897603482</v>
      </c>
      <c r="K357" s="16">
        <f>SUM(D357:J357)</f>
        <v>490.76252723311541</v>
      </c>
      <c r="L357" s="28">
        <v>148.400871459695</v>
      </c>
      <c r="M357" s="28">
        <v>266.79738562091501</v>
      </c>
      <c r="N357" s="9">
        <v>475.49455337690631</v>
      </c>
      <c r="O357" s="16">
        <f t="shared" si="10"/>
        <v>890.69281045751632</v>
      </c>
      <c r="P357" s="9">
        <v>1381.4553376906317</v>
      </c>
      <c r="Q357" s="7">
        <v>211630.06600000008</v>
      </c>
      <c r="R357" s="7">
        <v>482524.12699999992</v>
      </c>
      <c r="S357" s="7">
        <v>520678.28599999991</v>
      </c>
      <c r="T357" s="7">
        <v>466245.4910000001</v>
      </c>
      <c r="U357" s="7">
        <v>459924.06400000007</v>
      </c>
      <c r="V357" s="7">
        <v>462970.8670000002</v>
      </c>
      <c r="W357" s="7">
        <v>418721.56199999992</v>
      </c>
      <c r="X357" s="16">
        <f>SUM(Q357:W357)</f>
        <v>3022694.463</v>
      </c>
      <c r="Y357" s="28">
        <v>301127.07899999997</v>
      </c>
      <c r="Z357" s="28">
        <v>160741.66899999997</v>
      </c>
      <c r="AA357" s="7">
        <v>62386.201000000023</v>
      </c>
      <c r="AB357" s="16">
        <f t="shared" si="11"/>
        <v>524254.94899999991</v>
      </c>
      <c r="AC357" s="7">
        <v>3546949.4119999995</v>
      </c>
      <c r="AD357" s="8">
        <v>5.085434962814649E-4</v>
      </c>
      <c r="AE357" s="8">
        <v>1.1254361772721511E-4</v>
      </c>
      <c r="AF357" s="8">
        <v>1.0390334938016554E-4</v>
      </c>
      <c r="AG357" s="8">
        <v>1.1721129432384553E-4</v>
      </c>
      <c r="AH357" s="8">
        <v>1.2189186556381019E-4</v>
      </c>
      <c r="AI357" s="8">
        <v>1.4105170951071676E-4</v>
      </c>
      <c r="AJ357" s="8">
        <v>2.3576797054841782E-4</v>
      </c>
      <c r="AK357" s="8">
        <v>4.9281808847119663E-4</v>
      </c>
      <c r="AL357" s="8">
        <v>1.6597898185374388E-3</v>
      </c>
      <c r="AM357" s="8">
        <v>7.6217904882027697E-3</v>
      </c>
      <c r="AN357" s="8">
        <v>3.894770342697608E-4</v>
      </c>
    </row>
    <row r="358" spans="1:40" x14ac:dyDescent="0.2">
      <c r="A358" t="s">
        <v>408</v>
      </c>
      <c r="B358">
        <v>2013</v>
      </c>
      <c r="C358" t="s">
        <v>413</v>
      </c>
      <c r="D358" s="9">
        <v>107.62309368191721</v>
      </c>
      <c r="E358" s="9">
        <v>54.305010893246184</v>
      </c>
      <c r="F358" s="9">
        <v>54.100217864923749</v>
      </c>
      <c r="G358" s="9">
        <v>54.649237472766885</v>
      </c>
      <c r="H358" s="9">
        <v>56.06100217864924</v>
      </c>
      <c r="I358" s="9">
        <v>65.302832244008712</v>
      </c>
      <c r="J358" s="9">
        <v>98.721132897603482</v>
      </c>
      <c r="K358" s="16">
        <f>SUM(D358:J358)</f>
        <v>490.76252723311541</v>
      </c>
      <c r="L358" s="28">
        <v>148.400871459695</v>
      </c>
      <c r="M358" s="28">
        <v>266.79738562091501</v>
      </c>
      <c r="N358" s="9">
        <v>475.49455337690631</v>
      </c>
      <c r="O358" s="16">
        <f t="shared" si="10"/>
        <v>890.69281045751632</v>
      </c>
      <c r="P358" s="9">
        <v>1381.4553376906317</v>
      </c>
      <c r="Q358" s="7">
        <v>217021.807</v>
      </c>
      <c r="R358" s="7">
        <v>493487.8</v>
      </c>
      <c r="S358" s="7">
        <v>538967.22100000025</v>
      </c>
      <c r="T358" s="7">
        <v>481182.77800000011</v>
      </c>
      <c r="U358" s="7">
        <v>477610.24699999997</v>
      </c>
      <c r="V358" s="7">
        <v>492386.61199999979</v>
      </c>
      <c r="W358" s="7">
        <v>450297.73800000013</v>
      </c>
      <c r="X358" s="16">
        <f>SUM(Q358:W358)</f>
        <v>3150954.2029999997</v>
      </c>
      <c r="Y358" s="28">
        <v>331912.6160000001</v>
      </c>
      <c r="Z358" s="28">
        <v>178150.00099999996</v>
      </c>
      <c r="AA358" s="7">
        <v>70629.533999999971</v>
      </c>
      <c r="AB358" s="16">
        <f t="shared" si="11"/>
        <v>580692.15100000007</v>
      </c>
      <c r="AC358" s="7">
        <v>3731646.3539999998</v>
      </c>
      <c r="AD358" s="8">
        <v>4.9590912162074668E-4</v>
      </c>
      <c r="AE358" s="8">
        <v>1.1004326934373288E-4</v>
      </c>
      <c r="AF358" s="8">
        <v>1.0037756612460803E-4</v>
      </c>
      <c r="AG358" s="8">
        <v>1.1357272115995572E-4</v>
      </c>
      <c r="AH358" s="8">
        <v>1.1737813945739996E-4</v>
      </c>
      <c r="AI358" s="8">
        <v>1.326251174433003E-4</v>
      </c>
      <c r="AJ358" s="8">
        <v>2.1923524052346773E-4</v>
      </c>
      <c r="AK358" s="8">
        <v>4.4710825773400237E-4</v>
      </c>
      <c r="AL358" s="8">
        <v>1.4975996863503529E-3</v>
      </c>
      <c r="AM358" s="8">
        <v>6.732234044994641E-3</v>
      </c>
      <c r="AN358" s="8">
        <v>3.7019996179697787E-4</v>
      </c>
    </row>
    <row r="359" spans="1:40" x14ac:dyDescent="0.2">
      <c r="A359" t="s">
        <v>408</v>
      </c>
      <c r="B359">
        <v>2014</v>
      </c>
      <c r="C359" t="s">
        <v>414</v>
      </c>
      <c r="D359" s="9">
        <v>107.62309368191721</v>
      </c>
      <c r="E359" s="9">
        <v>54.305010893246184</v>
      </c>
      <c r="F359" s="9">
        <v>54.100217864923749</v>
      </c>
      <c r="G359" s="9">
        <v>54.649237472766885</v>
      </c>
      <c r="H359" s="9">
        <v>56.06100217864924</v>
      </c>
      <c r="I359" s="9">
        <v>65.302832244008712</v>
      </c>
      <c r="J359" s="9">
        <v>98.721132897603482</v>
      </c>
      <c r="K359" s="16">
        <f>SUM(D359:J359)</f>
        <v>490.76252723311541</v>
      </c>
      <c r="L359" s="28">
        <v>148.400871459695</v>
      </c>
      <c r="M359" s="28">
        <v>266.79738562091501</v>
      </c>
      <c r="N359" s="9">
        <v>475.49455337690631</v>
      </c>
      <c r="O359" s="16">
        <f t="shared" si="10"/>
        <v>890.69281045751632</v>
      </c>
      <c r="P359" s="9">
        <v>1381.4553376906317</v>
      </c>
      <c r="Q359" s="7">
        <v>197101.068</v>
      </c>
      <c r="R359" s="7">
        <v>448315.44999999995</v>
      </c>
      <c r="S359" s="7">
        <v>503713.73400000005</v>
      </c>
      <c r="T359" s="7">
        <v>444109.30099999998</v>
      </c>
      <c r="U359" s="7">
        <v>439700.21899999998</v>
      </c>
      <c r="V359" s="7">
        <v>452760.52999999991</v>
      </c>
      <c r="W359" s="7">
        <v>418176.41700000007</v>
      </c>
      <c r="X359" s="16">
        <f>SUM(Q359:W359)</f>
        <v>2903876.7189999996</v>
      </c>
      <c r="Y359" s="28">
        <v>316542.72099999996</v>
      </c>
      <c r="Z359" s="28">
        <v>169081.41899999999</v>
      </c>
      <c r="AA359" s="7">
        <v>65446.450999999994</v>
      </c>
      <c r="AB359" s="16">
        <f t="shared" si="11"/>
        <v>551070.5909999999</v>
      </c>
      <c r="AC359" s="7">
        <v>3454947.3099999991</v>
      </c>
      <c r="AD359" s="8">
        <v>5.4602998742714684E-4</v>
      </c>
      <c r="AE359" s="8">
        <v>1.2113125009019026E-4</v>
      </c>
      <c r="AF359" s="8">
        <v>1.0740270557110469E-4</v>
      </c>
      <c r="AG359" s="8">
        <v>1.2305357566192221E-4</v>
      </c>
      <c r="AH359" s="8">
        <v>1.2749823574376989E-4</v>
      </c>
      <c r="AI359" s="8">
        <v>1.4423260844757983E-4</v>
      </c>
      <c r="AJ359" s="8">
        <v>2.3607532343844121E-4</v>
      </c>
      <c r="AK359" s="8">
        <v>4.6881782967833597E-4</v>
      </c>
      <c r="AL359" s="8">
        <v>1.5779225606151023E-3</v>
      </c>
      <c r="AM359" s="8">
        <v>7.2653985985719283E-3</v>
      </c>
      <c r="AN359" s="8">
        <v>3.9984845317094924E-4</v>
      </c>
    </row>
    <row r="360" spans="1:40" x14ac:dyDescent="0.2">
      <c r="A360" t="s">
        <v>408</v>
      </c>
      <c r="B360">
        <v>2015</v>
      </c>
      <c r="C360" t="s">
        <v>415</v>
      </c>
      <c r="D360" s="9">
        <v>107.62309368191721</v>
      </c>
      <c r="E360" s="9">
        <v>54.305010893246184</v>
      </c>
      <c r="F360" s="9">
        <v>54.100217864923749</v>
      </c>
      <c r="G360" s="9">
        <v>54.649237472766885</v>
      </c>
      <c r="H360" s="9">
        <v>56.06100217864924</v>
      </c>
      <c r="I360" s="9">
        <v>65.302832244008712</v>
      </c>
      <c r="J360" s="9">
        <v>98.721132897603482</v>
      </c>
      <c r="K360" s="16">
        <f>SUM(D360:J360)</f>
        <v>490.76252723311541</v>
      </c>
      <c r="L360" s="28">
        <v>148.400871459695</v>
      </c>
      <c r="M360" s="28">
        <v>266.79738562091501</v>
      </c>
      <c r="N360" s="9">
        <v>475.49455337690631</v>
      </c>
      <c r="O360" s="16">
        <f t="shared" si="10"/>
        <v>890.69281045751632</v>
      </c>
      <c r="P360" s="9">
        <v>1381.4553376906317</v>
      </c>
      <c r="Q360" s="7">
        <v>189464.14600000004</v>
      </c>
      <c r="R360" s="7">
        <v>438114.67599999998</v>
      </c>
      <c r="S360" s="7">
        <v>501051.93699999974</v>
      </c>
      <c r="T360" s="7">
        <v>438789.38300000003</v>
      </c>
      <c r="U360" s="7">
        <v>441918.22200000001</v>
      </c>
      <c r="V360" s="7">
        <v>459432.39299999998</v>
      </c>
      <c r="W360" s="7">
        <v>425631.53</v>
      </c>
      <c r="X360" s="16">
        <f>SUM(Q360:W360)</f>
        <v>2894402.2870000005</v>
      </c>
      <c r="Y360" s="28">
        <v>331290.86299999995</v>
      </c>
      <c r="Z360" s="28">
        <v>179567.64200000002</v>
      </c>
      <c r="AA360" s="7">
        <v>69609.047999999995</v>
      </c>
      <c r="AB360" s="16">
        <f t="shared" si="11"/>
        <v>580467.55299999996</v>
      </c>
      <c r="AC360" s="7">
        <v>3474869.8400000003</v>
      </c>
      <c r="AD360" s="8">
        <v>5.6803936762746233E-4</v>
      </c>
      <c r="AE360" s="8">
        <v>1.2395159045812515E-4</v>
      </c>
      <c r="AF360" s="8">
        <v>1.0797327356689527E-4</v>
      </c>
      <c r="AG360" s="8">
        <v>1.2454548717457661E-4</v>
      </c>
      <c r="AH360" s="8">
        <v>1.2685831764287203E-4</v>
      </c>
      <c r="AI360" s="8">
        <v>1.4213806696910183E-4</v>
      </c>
      <c r="AJ360" s="8">
        <v>2.3194036611339267E-4</v>
      </c>
      <c r="AK360" s="8">
        <v>4.4794737203390669E-4</v>
      </c>
      <c r="AL360" s="8">
        <v>1.4857765165781649E-3</v>
      </c>
      <c r="AM360" s="8">
        <v>6.8309302747094937E-3</v>
      </c>
      <c r="AN360" s="8">
        <v>3.9755599527452562E-4</v>
      </c>
    </row>
    <row r="361" spans="1:40" x14ac:dyDescent="0.2">
      <c r="A361" t="s">
        <v>408</v>
      </c>
      <c r="B361">
        <v>2016</v>
      </c>
      <c r="C361" t="s">
        <v>416</v>
      </c>
      <c r="D361" s="9">
        <v>107.62309368191721</v>
      </c>
      <c r="E361" s="9">
        <v>54.305010893246184</v>
      </c>
      <c r="F361" s="9">
        <v>54.100217864923749</v>
      </c>
      <c r="G361" s="9">
        <v>54.649237472766885</v>
      </c>
      <c r="H361" s="9">
        <v>56.06100217864924</v>
      </c>
      <c r="I361" s="9">
        <v>65.302832244008712</v>
      </c>
      <c r="J361" s="9">
        <v>98.721132897603482</v>
      </c>
      <c r="K361" s="16">
        <f>SUM(D361:J361)</f>
        <v>490.76252723311541</v>
      </c>
      <c r="L361" s="28">
        <v>148.400871459695</v>
      </c>
      <c r="M361" s="28">
        <v>266.79738562091501</v>
      </c>
      <c r="N361" s="9">
        <v>475.49455337690631</v>
      </c>
      <c r="O361" s="16">
        <f t="shared" si="10"/>
        <v>890.69281045751632</v>
      </c>
      <c r="P361" s="9">
        <v>1381.4553376906317</v>
      </c>
      <c r="Q361" s="7">
        <v>179226.171</v>
      </c>
      <c r="R361" s="7">
        <v>423418.359</v>
      </c>
      <c r="S361" s="7">
        <v>484957.97000000015</v>
      </c>
      <c r="T361" s="7">
        <v>421250.72599999997</v>
      </c>
      <c r="U361" s="7">
        <v>429282.50499999989</v>
      </c>
      <c r="V361" s="7">
        <v>449535.28400000004</v>
      </c>
      <c r="W361" s="7">
        <v>424441.01300000004</v>
      </c>
      <c r="X361" s="16">
        <f>SUM(Q361:W361)</f>
        <v>2812112.0279999999</v>
      </c>
      <c r="Y361" s="28">
        <v>337526.75000000012</v>
      </c>
      <c r="Z361" s="28">
        <v>179305.55000000005</v>
      </c>
      <c r="AA361" s="7">
        <v>71640.895000000004</v>
      </c>
      <c r="AB361" s="16">
        <f t="shared" si="11"/>
        <v>588473.19500000018</v>
      </c>
      <c r="AC361" s="7">
        <v>3400585.2229999998</v>
      </c>
      <c r="AD361" s="8">
        <v>6.0048760223704834E-4</v>
      </c>
      <c r="AE361" s="8">
        <v>1.2825379376912228E-4</v>
      </c>
      <c r="AF361" s="8">
        <v>1.1155650842262419E-4</v>
      </c>
      <c r="AG361" s="8">
        <v>1.2973090394808456E-4</v>
      </c>
      <c r="AH361" s="8">
        <v>1.3059232912053859E-4</v>
      </c>
      <c r="AI361" s="8">
        <v>1.4526742297721107E-4</v>
      </c>
      <c r="AJ361" s="8">
        <v>2.3259093695925063E-4</v>
      </c>
      <c r="AK361" s="8">
        <v>4.3967143777402811E-4</v>
      </c>
      <c r="AL361" s="8">
        <v>1.4879482850414555E-3</v>
      </c>
      <c r="AM361" s="8">
        <v>6.637194487546621E-3</v>
      </c>
      <c r="AN361" s="8">
        <v>4.0624046953656711E-4</v>
      </c>
    </row>
    <row r="362" spans="1:40" x14ac:dyDescent="0.2">
      <c r="A362" t="s">
        <v>408</v>
      </c>
      <c r="B362">
        <v>2017</v>
      </c>
      <c r="C362" t="s">
        <v>417</v>
      </c>
      <c r="D362" s="9">
        <v>107.62309368191721</v>
      </c>
      <c r="E362" s="9">
        <v>54.305010893246184</v>
      </c>
      <c r="F362" s="9">
        <v>54.100217864923749</v>
      </c>
      <c r="G362" s="9">
        <v>54.649237472766885</v>
      </c>
      <c r="H362" s="9">
        <v>56.06100217864924</v>
      </c>
      <c r="I362" s="9">
        <v>65.302832244008712</v>
      </c>
      <c r="J362" s="9">
        <v>98.721132897603482</v>
      </c>
      <c r="K362" s="16">
        <f>SUM(D362:J362)</f>
        <v>490.76252723311541</v>
      </c>
      <c r="L362" s="28">
        <v>148.400871459695</v>
      </c>
      <c r="M362" s="28">
        <v>266.79738562091501</v>
      </c>
      <c r="N362" s="9">
        <v>475.49455337690631</v>
      </c>
      <c r="O362" s="16">
        <f t="shared" si="10"/>
        <v>890.69281045751632</v>
      </c>
      <c r="P362" s="9">
        <v>1381.4553376906317</v>
      </c>
      <c r="Q362" s="7">
        <v>179418</v>
      </c>
      <c r="R362" s="7">
        <v>425634</v>
      </c>
      <c r="S362" s="7">
        <v>490739</v>
      </c>
      <c r="T362" s="7">
        <v>440439</v>
      </c>
      <c r="U362" s="7">
        <v>441536</v>
      </c>
      <c r="V362" s="7">
        <v>465252</v>
      </c>
      <c r="W362" s="7">
        <v>448981</v>
      </c>
      <c r="X362" s="16">
        <f>SUM(Q362:W362)</f>
        <v>2891999</v>
      </c>
      <c r="Y362" s="28">
        <v>365090</v>
      </c>
      <c r="Z362" s="28">
        <v>202950</v>
      </c>
      <c r="AA362" s="7">
        <v>76516</v>
      </c>
      <c r="AB362" s="16">
        <f t="shared" si="11"/>
        <v>644556</v>
      </c>
      <c r="AC362" s="7">
        <v>3536555</v>
      </c>
      <c r="AD362" s="8">
        <v>5.9984557670867593E-4</v>
      </c>
      <c r="AE362" s="8">
        <v>1.275861676775027E-4</v>
      </c>
      <c r="AF362" s="8">
        <v>1.1024234443344374E-4</v>
      </c>
      <c r="AG362" s="8">
        <v>1.2407901542044842E-4</v>
      </c>
      <c r="AH362" s="8">
        <v>1.2696813437329966E-4</v>
      </c>
      <c r="AI362" s="8">
        <v>1.4036013223803169E-4</v>
      </c>
      <c r="AJ362" s="8">
        <v>2.1987819729031626E-4</v>
      </c>
      <c r="AK362" s="8">
        <v>4.0647750269712945E-4</v>
      </c>
      <c r="AL362" s="8">
        <v>1.3145966278438779E-3</v>
      </c>
      <c r="AM362" s="8">
        <v>6.2143153507358759E-3</v>
      </c>
      <c r="AN362" s="8">
        <v>3.906217597890127E-4</v>
      </c>
    </row>
    <row r="363" spans="1:40" x14ac:dyDescent="0.2">
      <c r="A363" t="s">
        <v>418</v>
      </c>
      <c r="B363">
        <v>2009</v>
      </c>
      <c r="C363" t="s">
        <v>419</v>
      </c>
      <c r="D363" s="7">
        <v>125</v>
      </c>
      <c r="E363" s="7">
        <v>44</v>
      </c>
      <c r="F363" s="7">
        <v>58</v>
      </c>
      <c r="G363" s="7">
        <v>30</v>
      </c>
      <c r="H363" s="7">
        <v>36</v>
      </c>
      <c r="I363" s="7">
        <v>47</v>
      </c>
      <c r="J363" s="7">
        <v>61</v>
      </c>
      <c r="K363" s="16">
        <f>SUM(D363:J363)</f>
        <v>401</v>
      </c>
      <c r="L363" s="28">
        <v>66</v>
      </c>
      <c r="M363" s="28">
        <v>62</v>
      </c>
      <c r="N363" s="7">
        <v>98</v>
      </c>
      <c r="O363" s="16">
        <f t="shared" si="10"/>
        <v>226</v>
      </c>
      <c r="P363" s="7">
        <v>627</v>
      </c>
      <c r="Q363" s="7">
        <v>61090.154999999999</v>
      </c>
      <c r="R363" s="7">
        <v>129218.09700000001</v>
      </c>
      <c r="S363" s="7">
        <v>152566.22200000001</v>
      </c>
      <c r="T363" s="7">
        <v>132592.07399999999</v>
      </c>
      <c r="U363" s="7">
        <v>153612.867</v>
      </c>
      <c r="V363" s="7">
        <v>160689.891</v>
      </c>
      <c r="W363" s="7">
        <v>118191.06200000001</v>
      </c>
      <c r="X363" s="16">
        <f>SUM(Q363:W363)</f>
        <v>907960.36800000013</v>
      </c>
      <c r="Y363" s="28">
        <v>70282.956000000006</v>
      </c>
      <c r="Z363" s="28">
        <v>55547.460999999996</v>
      </c>
      <c r="AA363" s="7">
        <v>23552.728000000003</v>
      </c>
      <c r="AB363" s="16">
        <f t="shared" si="11"/>
        <v>149383.14500000002</v>
      </c>
      <c r="AC363" s="7">
        <v>1057343.5130000003</v>
      </c>
      <c r="AD363" s="8">
        <v>2.046156209621665E-3</v>
      </c>
      <c r="AE363" s="8">
        <v>3.4050958048082071E-4</v>
      </c>
      <c r="AF363" s="8">
        <v>3.8016278596713233E-4</v>
      </c>
      <c r="AG363" s="8">
        <v>2.2625786817393023E-4</v>
      </c>
      <c r="AH363" s="8">
        <v>2.3435536816066325E-4</v>
      </c>
      <c r="AI363" s="8">
        <v>2.924888411306471E-4</v>
      </c>
      <c r="AJ363" s="8">
        <v>5.1611347734568957E-4</v>
      </c>
      <c r="AK363" s="8">
        <v>9.3906124267169409E-4</v>
      </c>
      <c r="AL363" s="8">
        <v>1.1161626271270978E-3</v>
      </c>
      <c r="AM363" s="8">
        <v>4.1608768207232723E-3</v>
      </c>
      <c r="AN363" s="8">
        <v>5.9299555186281252E-4</v>
      </c>
    </row>
    <row r="364" spans="1:40" x14ac:dyDescent="0.2">
      <c r="A364" t="s">
        <v>418</v>
      </c>
      <c r="B364">
        <v>2010</v>
      </c>
      <c r="C364" t="s">
        <v>420</v>
      </c>
      <c r="D364" s="7">
        <v>121</v>
      </c>
      <c r="E364" s="7">
        <v>62</v>
      </c>
      <c r="F364" s="7">
        <v>63</v>
      </c>
      <c r="G364" s="7">
        <v>58</v>
      </c>
      <c r="H364" s="7">
        <v>45</v>
      </c>
      <c r="I364" s="7">
        <v>63</v>
      </c>
      <c r="J364" s="7">
        <v>67</v>
      </c>
      <c r="K364" s="16">
        <f>SUM(D364:J364)</f>
        <v>479</v>
      </c>
      <c r="L364" s="28">
        <v>48</v>
      </c>
      <c r="M364" s="28">
        <v>61</v>
      </c>
      <c r="N364" s="7">
        <v>111</v>
      </c>
      <c r="O364" s="16">
        <f t="shared" si="10"/>
        <v>220</v>
      </c>
      <c r="P364" s="7">
        <v>699</v>
      </c>
      <c r="Q364" s="7">
        <v>59283.511000000006</v>
      </c>
      <c r="R364" s="7">
        <v>127533.791</v>
      </c>
      <c r="S364" s="7">
        <v>160698.1</v>
      </c>
      <c r="T364" s="7">
        <v>127788.056</v>
      </c>
      <c r="U364" s="7">
        <v>146914.60700000002</v>
      </c>
      <c r="V364" s="7">
        <v>160827.18800000002</v>
      </c>
      <c r="W364" s="7">
        <v>122761.476</v>
      </c>
      <c r="X364" s="16">
        <f>SUM(Q364:W364)</f>
        <v>905806.72900000005</v>
      </c>
      <c r="Y364" s="28">
        <v>70635.231</v>
      </c>
      <c r="Z364" s="28">
        <v>54667.648999999998</v>
      </c>
      <c r="AA364" s="7">
        <v>24560.228999999999</v>
      </c>
      <c r="AB364" s="16">
        <f t="shared" si="11"/>
        <v>149863.109</v>
      </c>
      <c r="AC364" s="7">
        <v>1055669.838</v>
      </c>
      <c r="AD364" s="8">
        <v>2.0410397083263166E-3</v>
      </c>
      <c r="AE364" s="8">
        <v>4.8614566785676436E-4</v>
      </c>
      <c r="AF364" s="8">
        <v>3.9203948273190534E-4</v>
      </c>
      <c r="AG364" s="8">
        <v>4.5387653443918109E-4</v>
      </c>
      <c r="AH364" s="8">
        <v>3.063003803290982E-4</v>
      </c>
      <c r="AI364" s="8">
        <v>3.9172481210079973E-4</v>
      </c>
      <c r="AJ364" s="8">
        <v>5.4577382240011518E-4</v>
      </c>
      <c r="AK364" s="8">
        <v>6.7954757591151646E-4</v>
      </c>
      <c r="AL364" s="8">
        <v>1.1158336075509669E-3</v>
      </c>
      <c r="AM364" s="8">
        <v>4.519501833635183E-3</v>
      </c>
      <c r="AN364" s="8">
        <v>6.6213883814685633E-4</v>
      </c>
    </row>
    <row r="365" spans="1:40" x14ac:dyDescent="0.2">
      <c r="A365" t="s">
        <v>418</v>
      </c>
      <c r="B365">
        <v>2011</v>
      </c>
      <c r="C365" t="s">
        <v>421</v>
      </c>
      <c r="D365" s="7">
        <v>106</v>
      </c>
      <c r="E365" s="7">
        <v>57</v>
      </c>
      <c r="F365" s="7">
        <v>44</v>
      </c>
      <c r="G365" s="7">
        <v>49</v>
      </c>
      <c r="H365" s="7">
        <v>43</v>
      </c>
      <c r="I365" s="7">
        <v>53</v>
      </c>
      <c r="J365" s="7">
        <v>51</v>
      </c>
      <c r="K365" s="16">
        <f>SUM(D365:J365)</f>
        <v>403</v>
      </c>
      <c r="L365" s="28">
        <v>65</v>
      </c>
      <c r="M365" s="28">
        <v>47</v>
      </c>
      <c r="N365" s="7">
        <v>139</v>
      </c>
      <c r="O365" s="16">
        <f t="shared" si="10"/>
        <v>251</v>
      </c>
      <c r="P365" s="7">
        <v>654</v>
      </c>
      <c r="Q365" s="7">
        <v>58002.8</v>
      </c>
      <c r="R365" s="7">
        <v>126279.783</v>
      </c>
      <c r="S365" s="7">
        <v>161452.304</v>
      </c>
      <c r="T365" s="7">
        <v>127379.747</v>
      </c>
      <c r="U365" s="7">
        <v>142137.97</v>
      </c>
      <c r="V365" s="7">
        <v>160668.035</v>
      </c>
      <c r="W365" s="7">
        <v>127612.29800000001</v>
      </c>
      <c r="X365" s="16">
        <f>SUM(Q365:W365)</f>
        <v>903532.93699999992</v>
      </c>
      <c r="Y365" s="28">
        <v>72231.608000000007</v>
      </c>
      <c r="Z365" s="28">
        <v>53682.701000000001</v>
      </c>
      <c r="AA365" s="7">
        <v>25087.219000000001</v>
      </c>
      <c r="AB365" s="16">
        <f t="shared" si="11"/>
        <v>151001.52800000002</v>
      </c>
      <c r="AC365" s="7">
        <v>1054534.4649999999</v>
      </c>
      <c r="AD365" s="8">
        <v>1.8274979828559999E-3</v>
      </c>
      <c r="AE365" s="8">
        <v>4.5137866605298176E-4</v>
      </c>
      <c r="AF365" s="8">
        <v>2.7252630597331086E-4</v>
      </c>
      <c r="AG365" s="8">
        <v>3.8467653731483702E-4</v>
      </c>
      <c r="AH365" s="8">
        <v>3.0252296413125921E-4</v>
      </c>
      <c r="AI365" s="8">
        <v>3.2987270927910457E-4</v>
      </c>
      <c r="AJ365" s="8">
        <v>3.9964800257730643E-4</v>
      </c>
      <c r="AK365" s="8">
        <v>8.9988305396717727E-4</v>
      </c>
      <c r="AL365" s="8">
        <v>8.7551481435332401E-4</v>
      </c>
      <c r="AM365" s="8">
        <v>5.5406699323667557E-3</v>
      </c>
      <c r="AN365" s="8">
        <v>6.201788767520273E-4</v>
      </c>
    </row>
    <row r="366" spans="1:40" x14ac:dyDescent="0.2">
      <c r="A366" t="s">
        <v>418</v>
      </c>
      <c r="B366">
        <v>2012</v>
      </c>
      <c r="C366" t="s">
        <v>422</v>
      </c>
      <c r="D366" s="7">
        <v>115</v>
      </c>
      <c r="E366" s="7">
        <v>46</v>
      </c>
      <c r="F366" s="7">
        <v>52</v>
      </c>
      <c r="G366" s="7">
        <v>47</v>
      </c>
      <c r="H366" s="7">
        <v>57</v>
      </c>
      <c r="I366" s="7">
        <v>39</v>
      </c>
      <c r="J366" s="7">
        <v>57</v>
      </c>
      <c r="K366" s="16">
        <f>SUM(D366:J366)</f>
        <v>413</v>
      </c>
      <c r="L366" s="28">
        <v>45</v>
      </c>
      <c r="M366" s="28">
        <v>44</v>
      </c>
      <c r="N366" s="7">
        <v>71</v>
      </c>
      <c r="O366" s="16">
        <f t="shared" si="10"/>
        <v>160</v>
      </c>
      <c r="P366" s="7">
        <v>573</v>
      </c>
      <c r="Q366" s="7">
        <v>56621.284999999996</v>
      </c>
      <c r="R366" s="7">
        <v>124764.889</v>
      </c>
      <c r="S366" s="7">
        <v>161408.93099999998</v>
      </c>
      <c r="T366" s="7">
        <v>128129.56299999999</v>
      </c>
      <c r="U366" s="7">
        <v>137111.88399999999</v>
      </c>
      <c r="V366" s="7">
        <v>160128.08899999998</v>
      </c>
      <c r="W366" s="7">
        <v>130742.87300000001</v>
      </c>
      <c r="X366" s="16">
        <f>SUM(Q366:W366)</f>
        <v>898907.51399999985</v>
      </c>
      <c r="Y366" s="28">
        <v>75064.736999999994</v>
      </c>
      <c r="Z366" s="28">
        <v>51452.987000000001</v>
      </c>
      <c r="AA366" s="7">
        <v>26116.228000000003</v>
      </c>
      <c r="AB366" s="16">
        <f t="shared" si="11"/>
        <v>152633.95199999999</v>
      </c>
      <c r="AC366" s="7">
        <v>1051541.4659999998</v>
      </c>
      <c r="AD366" s="8">
        <v>2.0310383277242828E-3</v>
      </c>
      <c r="AE366" s="8">
        <v>3.6869347112551833E-4</v>
      </c>
      <c r="AF366" s="8">
        <v>3.2216309021958645E-4</v>
      </c>
      <c r="AG366" s="8">
        <v>3.6681620462562569E-4</v>
      </c>
      <c r="AH366" s="8">
        <v>4.1571888837877834E-4</v>
      </c>
      <c r="AI366" s="8">
        <v>2.4355502050611499E-4</v>
      </c>
      <c r="AJ366" s="8">
        <v>4.3597022684364596E-4</v>
      </c>
      <c r="AK366" s="8">
        <v>5.9948255064158824E-4</v>
      </c>
      <c r="AL366" s="8">
        <v>8.5514957566992171E-4</v>
      </c>
      <c r="AM366" s="8">
        <v>2.7186161799475786E-3</v>
      </c>
      <c r="AN366" s="8">
        <v>5.4491431724481339E-4</v>
      </c>
    </row>
    <row r="367" spans="1:40" x14ac:dyDescent="0.2">
      <c r="A367" t="s">
        <v>418</v>
      </c>
      <c r="B367">
        <v>2013</v>
      </c>
      <c r="C367" t="s">
        <v>423</v>
      </c>
      <c r="D367" s="7">
        <v>129</v>
      </c>
      <c r="E367" s="7">
        <v>51</v>
      </c>
      <c r="F367" s="7">
        <v>61</v>
      </c>
      <c r="G367" s="7">
        <v>59</v>
      </c>
      <c r="H367" s="7">
        <v>49</v>
      </c>
      <c r="I367" s="7">
        <v>56</v>
      </c>
      <c r="J367" s="7">
        <v>66</v>
      </c>
      <c r="K367" s="16">
        <f>SUM(D367:J367)</f>
        <v>471</v>
      </c>
      <c r="L367" s="28">
        <v>62</v>
      </c>
      <c r="M367" s="28">
        <v>53</v>
      </c>
      <c r="N367" s="7">
        <v>97</v>
      </c>
      <c r="O367" s="16">
        <f t="shared" si="10"/>
        <v>212</v>
      </c>
      <c r="P367" s="7">
        <v>683</v>
      </c>
      <c r="Q367" s="7">
        <v>56278.313000000002</v>
      </c>
      <c r="R367" s="7">
        <v>123212.005</v>
      </c>
      <c r="S367" s="7">
        <v>160714.88900000002</v>
      </c>
      <c r="T367" s="7">
        <v>129837.633</v>
      </c>
      <c r="U367" s="7">
        <v>133707.21699999998</v>
      </c>
      <c r="V367" s="7">
        <v>159528.177</v>
      </c>
      <c r="W367" s="7">
        <v>134099.59299999999</v>
      </c>
      <c r="X367" s="16">
        <f>SUM(Q367:W367)</f>
        <v>897377.82700000005</v>
      </c>
      <c r="Y367" s="28">
        <v>78665.145999999993</v>
      </c>
      <c r="Z367" s="28">
        <v>50036.478999999999</v>
      </c>
      <c r="AA367" s="7">
        <v>27201.741999999998</v>
      </c>
      <c r="AB367" s="16">
        <f t="shared" si="11"/>
        <v>155903.367</v>
      </c>
      <c r="AC367" s="7">
        <v>1053281.1940000001</v>
      </c>
      <c r="AD367" s="8">
        <v>2.2921795825685109E-3</v>
      </c>
      <c r="AE367" s="8">
        <v>4.1392070521050281E-4</v>
      </c>
      <c r="AF367" s="8">
        <v>3.7955413079369385E-4</v>
      </c>
      <c r="AG367" s="8">
        <v>4.5441370607857584E-4</v>
      </c>
      <c r="AH367" s="8">
        <v>3.6647236476397538E-4</v>
      </c>
      <c r="AI367" s="8">
        <v>3.5103516540529387E-4</v>
      </c>
      <c r="AJ367" s="8">
        <v>4.9217151613577237E-4</v>
      </c>
      <c r="AK367" s="8">
        <v>7.8815082857661004E-4</v>
      </c>
      <c r="AL367" s="8">
        <v>1.0592272090128485E-3</v>
      </c>
      <c r="AM367" s="8">
        <v>3.5659480925890703E-3</v>
      </c>
      <c r="AN367" s="8">
        <v>6.4844981937463503E-4</v>
      </c>
    </row>
    <row r="368" spans="1:40" x14ac:dyDescent="0.2">
      <c r="A368" t="s">
        <v>418</v>
      </c>
      <c r="B368">
        <v>2014</v>
      </c>
      <c r="C368" t="s">
        <v>424</v>
      </c>
      <c r="D368" s="7">
        <v>91</v>
      </c>
      <c r="E368" s="7">
        <v>64</v>
      </c>
      <c r="F368" s="7">
        <v>58</v>
      </c>
      <c r="G368" s="7">
        <v>54</v>
      </c>
      <c r="H368" s="7">
        <v>68</v>
      </c>
      <c r="I368" s="7">
        <v>40</v>
      </c>
      <c r="J368" s="7">
        <v>60</v>
      </c>
      <c r="K368" s="16">
        <f>SUM(D368:J368)</f>
        <v>435</v>
      </c>
      <c r="L368" s="28">
        <v>44</v>
      </c>
      <c r="M368" s="28">
        <v>43</v>
      </c>
      <c r="N368" s="7">
        <v>85</v>
      </c>
      <c r="O368" s="16">
        <f t="shared" si="10"/>
        <v>172</v>
      </c>
      <c r="P368" s="7">
        <v>607</v>
      </c>
      <c r="Q368" s="7">
        <v>55335.516999999993</v>
      </c>
      <c r="R368" s="7">
        <v>121847.66500000002</v>
      </c>
      <c r="S368" s="7">
        <v>159175.99799999999</v>
      </c>
      <c r="T368" s="7">
        <v>132136.65400000001</v>
      </c>
      <c r="U368" s="7">
        <v>130328.41</v>
      </c>
      <c r="V368" s="7">
        <v>156938.89800000002</v>
      </c>
      <c r="W368" s="7">
        <v>137176.37900000002</v>
      </c>
      <c r="X368" s="16">
        <f>SUM(Q368:W368)</f>
        <v>892939.52100000018</v>
      </c>
      <c r="Y368" s="28">
        <v>81733.797000000006</v>
      </c>
      <c r="Z368" s="28">
        <v>49353.993000000002</v>
      </c>
      <c r="AA368" s="7">
        <v>27806.086000000003</v>
      </c>
      <c r="AB368" s="16">
        <f t="shared" si="11"/>
        <v>158893.87600000002</v>
      </c>
      <c r="AC368" s="7">
        <v>1051833.3970000001</v>
      </c>
      <c r="AD368" s="8">
        <v>1.6445134144133869E-3</v>
      </c>
      <c r="AE368" s="8">
        <v>5.2524601107456579E-4</v>
      </c>
      <c r="AF368" s="8">
        <v>3.643765437550453E-4</v>
      </c>
      <c r="AG368" s="8">
        <v>4.0866783262121951E-4</v>
      </c>
      <c r="AH368" s="8">
        <v>5.2175883984159708E-4</v>
      </c>
      <c r="AI368" s="8">
        <v>2.5487626400944903E-4</v>
      </c>
      <c r="AJ368" s="8">
        <v>4.3739308791639699E-4</v>
      </c>
      <c r="AK368" s="8">
        <v>5.383329982822161E-4</v>
      </c>
      <c r="AL368" s="8">
        <v>8.7125675930618211E-4</v>
      </c>
      <c r="AM368" s="8">
        <v>3.0568847409879977E-3</v>
      </c>
      <c r="AN368" s="8">
        <v>5.770875898514562E-4</v>
      </c>
    </row>
    <row r="369" spans="1:40" x14ac:dyDescent="0.2">
      <c r="A369" t="s">
        <v>418</v>
      </c>
      <c r="B369">
        <v>2015</v>
      </c>
      <c r="C369" t="s">
        <v>425</v>
      </c>
      <c r="D369" s="7">
        <v>129</v>
      </c>
      <c r="E369" s="7">
        <v>52</v>
      </c>
      <c r="F369" s="7">
        <v>47</v>
      </c>
      <c r="G369" s="7">
        <v>64</v>
      </c>
      <c r="H369" s="7">
        <v>52</v>
      </c>
      <c r="I369" s="7">
        <v>59</v>
      </c>
      <c r="J369" s="7">
        <v>64</v>
      </c>
      <c r="K369" s="16">
        <f>SUM(D369:J369)</f>
        <v>467</v>
      </c>
      <c r="L369" s="28">
        <v>53</v>
      </c>
      <c r="M369" s="28">
        <v>40</v>
      </c>
      <c r="N369" s="7">
        <v>151</v>
      </c>
      <c r="O369" s="16">
        <f t="shared" si="10"/>
        <v>244</v>
      </c>
      <c r="P369" s="7">
        <v>711</v>
      </c>
      <c r="Q369" s="7">
        <v>60149.471000000005</v>
      </c>
      <c r="R369" s="7">
        <v>130967.41000000002</v>
      </c>
      <c r="S369" s="7">
        <v>167466.32399999999</v>
      </c>
      <c r="T369" s="7">
        <v>144973.32</v>
      </c>
      <c r="U369" s="7">
        <v>138295.10699999999</v>
      </c>
      <c r="V369" s="7">
        <v>166243.875</v>
      </c>
      <c r="W369" s="7">
        <v>151538.52199999997</v>
      </c>
      <c r="X369" s="16">
        <f>SUM(Q369:W369)</f>
        <v>959634.02899999998</v>
      </c>
      <c r="Y369" s="28">
        <v>93732.197</v>
      </c>
      <c r="Z369" s="28">
        <v>52903.271999999997</v>
      </c>
      <c r="AA369" s="7">
        <v>30530.058000000005</v>
      </c>
      <c r="AB369" s="16">
        <f t="shared" si="11"/>
        <v>177165.527</v>
      </c>
      <c r="AC369" s="7">
        <v>1136799.5560000001</v>
      </c>
      <c r="AD369" s="8">
        <v>2.1446572655643139E-3</v>
      </c>
      <c r="AE369" s="8">
        <v>3.9704534127994127E-4</v>
      </c>
      <c r="AF369" s="8">
        <v>2.8065344050903036E-4</v>
      </c>
      <c r="AG369" s="8">
        <v>4.4146053908401903E-4</v>
      </c>
      <c r="AH369" s="8">
        <v>3.760075184727975E-4</v>
      </c>
      <c r="AI369" s="8">
        <v>3.5490029331907715E-4</v>
      </c>
      <c r="AJ369" s="8">
        <v>4.2233485687553435E-4</v>
      </c>
      <c r="AK369" s="8">
        <v>5.6544070977019776E-4</v>
      </c>
      <c r="AL369" s="8">
        <v>7.5609690077392566E-4</v>
      </c>
      <c r="AM369" s="8">
        <v>4.9459454023965486E-3</v>
      </c>
      <c r="AN369" s="8">
        <v>6.2544007538299911E-4</v>
      </c>
    </row>
    <row r="370" spans="1:40" x14ac:dyDescent="0.2">
      <c r="A370" t="s">
        <v>418</v>
      </c>
      <c r="B370">
        <v>2016</v>
      </c>
      <c r="C370" t="s">
        <v>426</v>
      </c>
      <c r="D370" s="7">
        <v>114</v>
      </c>
      <c r="E370" s="7">
        <v>41</v>
      </c>
      <c r="F370" s="7">
        <v>43</v>
      </c>
      <c r="G370" s="7">
        <v>62</v>
      </c>
      <c r="H370" s="7">
        <v>64</v>
      </c>
      <c r="I370" s="7">
        <v>60</v>
      </c>
      <c r="J370" s="7">
        <v>56</v>
      </c>
      <c r="K370" s="16">
        <f>SUM(D370:J370)</f>
        <v>440</v>
      </c>
      <c r="L370" s="28">
        <v>53</v>
      </c>
      <c r="M370" s="28">
        <v>68</v>
      </c>
      <c r="N370" s="7">
        <v>70</v>
      </c>
      <c r="O370" s="16">
        <f t="shared" si="10"/>
        <v>191</v>
      </c>
      <c r="P370" s="7">
        <v>631</v>
      </c>
      <c r="Q370" s="7">
        <v>55056.796000000002</v>
      </c>
      <c r="R370" s="7">
        <v>118658.35800000001</v>
      </c>
      <c r="S370" s="7">
        <v>156283.859</v>
      </c>
      <c r="T370" s="7">
        <v>138074.07199999999</v>
      </c>
      <c r="U370" s="7">
        <v>125863.67600000001</v>
      </c>
      <c r="V370" s="7">
        <v>152607.30099999998</v>
      </c>
      <c r="W370" s="7">
        <v>142242.617</v>
      </c>
      <c r="X370" s="16">
        <f>SUM(Q370:W370)</f>
        <v>888786.679</v>
      </c>
      <c r="Y370" s="28">
        <v>88888.597000000009</v>
      </c>
      <c r="Z370" s="28">
        <v>47755.512000000002</v>
      </c>
      <c r="AA370" s="7">
        <v>28938.930999999997</v>
      </c>
      <c r="AB370" s="16">
        <f t="shared" si="11"/>
        <v>165583.03999999998</v>
      </c>
      <c r="AC370" s="7">
        <v>1054369.719</v>
      </c>
      <c r="AD370" s="8">
        <v>2.0705890695128719E-3</v>
      </c>
      <c r="AE370" s="8">
        <v>3.4552981088782636E-4</v>
      </c>
      <c r="AF370" s="8">
        <v>2.7514037774048055E-4</v>
      </c>
      <c r="AG370" s="8">
        <v>4.490343415090996E-4</v>
      </c>
      <c r="AH370" s="8">
        <v>5.084866582158302E-4</v>
      </c>
      <c r="AI370" s="8">
        <v>3.931659862066495E-4</v>
      </c>
      <c r="AJ370" s="8">
        <v>3.9369354403821186E-4</v>
      </c>
      <c r="AK370" s="8">
        <v>5.9625195794236682E-4</v>
      </c>
      <c r="AL370" s="8">
        <v>1.4239194001312351E-3</v>
      </c>
      <c r="AM370" s="8">
        <v>2.4188868621304641E-3</v>
      </c>
      <c r="AN370" s="8">
        <v>5.9846180009651812E-4</v>
      </c>
    </row>
    <row r="371" spans="1:40" x14ac:dyDescent="0.2">
      <c r="A371" t="s">
        <v>418</v>
      </c>
      <c r="B371">
        <v>2017</v>
      </c>
      <c r="C371" t="s">
        <v>427</v>
      </c>
      <c r="D371" s="7">
        <v>99</v>
      </c>
      <c r="E371" s="7">
        <v>60</v>
      </c>
      <c r="F371" s="7">
        <v>42</v>
      </c>
      <c r="G371" s="7">
        <v>52</v>
      </c>
      <c r="H371" s="7">
        <v>55</v>
      </c>
      <c r="I371" s="7">
        <v>52</v>
      </c>
      <c r="J371" s="7">
        <v>81</v>
      </c>
      <c r="K371" s="16">
        <f>SUM(D371:J371)</f>
        <v>441</v>
      </c>
      <c r="L371" s="28">
        <v>63</v>
      </c>
      <c r="M371" s="28">
        <v>46</v>
      </c>
      <c r="N371" s="7">
        <v>122</v>
      </c>
      <c r="O371" s="16">
        <f t="shared" si="10"/>
        <v>231</v>
      </c>
      <c r="P371" s="7">
        <v>672</v>
      </c>
      <c r="Q371" s="7">
        <v>54571</v>
      </c>
      <c r="R371" s="7">
        <v>117794</v>
      </c>
      <c r="S371" s="7">
        <v>154512</v>
      </c>
      <c r="T371" s="7">
        <v>140547</v>
      </c>
      <c r="U371" s="7">
        <v>124511</v>
      </c>
      <c r="V371" s="7">
        <v>149424</v>
      </c>
      <c r="W371" s="7">
        <v>144635</v>
      </c>
      <c r="X371" s="16">
        <f>SUM(Q371:W371)</f>
        <v>885994</v>
      </c>
      <c r="Y371" s="28">
        <v>93339</v>
      </c>
      <c r="Z371" s="28">
        <v>49153</v>
      </c>
      <c r="AA371" s="7">
        <v>27652</v>
      </c>
      <c r="AB371" s="16">
        <f t="shared" si="11"/>
        <v>170144</v>
      </c>
      <c r="AC371" s="7">
        <v>1056138</v>
      </c>
      <c r="AD371" s="8">
        <v>1.8141503729086877E-3</v>
      </c>
      <c r="AE371" s="8">
        <v>5.0936380460804456E-4</v>
      </c>
      <c r="AF371" s="8">
        <v>2.7182354768561667E-4</v>
      </c>
      <c r="AG371" s="8">
        <v>3.6998299501234464E-4</v>
      </c>
      <c r="AH371" s="8">
        <v>4.4172804009284323E-4</v>
      </c>
      <c r="AI371" s="8">
        <v>3.4800299817967664E-4</v>
      </c>
      <c r="AJ371" s="8">
        <v>5.6003042140560723E-4</v>
      </c>
      <c r="AK371" s="8">
        <v>6.7495902034519334E-4</v>
      </c>
      <c r="AL371" s="8">
        <v>9.3585335584806624E-4</v>
      </c>
      <c r="AM371" s="8">
        <v>4.4119774338203382E-3</v>
      </c>
      <c r="AN371" s="8">
        <v>6.362804860728427E-4</v>
      </c>
    </row>
    <row r="372" spans="1:40" x14ac:dyDescent="0.2">
      <c r="A372" t="s">
        <v>428</v>
      </c>
      <c r="B372">
        <v>2009</v>
      </c>
      <c r="C372" t="s">
        <v>429</v>
      </c>
      <c r="D372" s="7">
        <v>89</v>
      </c>
      <c r="E372" s="7">
        <v>60</v>
      </c>
      <c r="F372" s="7">
        <v>42</v>
      </c>
      <c r="G372" s="7">
        <v>69</v>
      </c>
      <c r="H372" s="7">
        <v>39</v>
      </c>
      <c r="I372" s="7">
        <v>66</v>
      </c>
      <c r="J372" s="7">
        <v>68</v>
      </c>
      <c r="K372" s="16">
        <f>SUM(D372:J372)</f>
        <v>433</v>
      </c>
      <c r="L372" s="28">
        <v>82</v>
      </c>
      <c r="M372" s="28">
        <v>197</v>
      </c>
      <c r="N372" s="7">
        <v>296</v>
      </c>
      <c r="O372" s="16">
        <f t="shared" si="10"/>
        <v>575</v>
      </c>
      <c r="P372" s="7">
        <v>1008</v>
      </c>
      <c r="Q372" s="7">
        <v>295751.25200000009</v>
      </c>
      <c r="R372" s="7">
        <v>571771.255</v>
      </c>
      <c r="S372" s="7">
        <v>622318.76599999995</v>
      </c>
      <c r="T372" s="7">
        <v>576709.62600000005</v>
      </c>
      <c r="U372" s="7">
        <v>606807.52399999986</v>
      </c>
      <c r="V372" s="7">
        <v>622042.08500000008</v>
      </c>
      <c r="W372" s="7">
        <v>514633.33399999997</v>
      </c>
      <c r="X372" s="16">
        <f>SUM(Q372:W372)</f>
        <v>3810033.8419999997</v>
      </c>
      <c r="Y372" s="28">
        <v>314381.929</v>
      </c>
      <c r="Z372" s="28">
        <v>195406.98300000001</v>
      </c>
      <c r="AA372" s="7">
        <v>66003.995999999999</v>
      </c>
      <c r="AB372" s="16">
        <f t="shared" si="11"/>
        <v>575792.90800000005</v>
      </c>
      <c r="AC372" s="7">
        <v>4385826.75</v>
      </c>
      <c r="AD372" s="8">
        <v>3.0092856546892988E-4</v>
      </c>
      <c r="AE372" s="8">
        <v>1.0493706963285519E-4</v>
      </c>
      <c r="AF372" s="8">
        <v>6.7489528348884802E-5</v>
      </c>
      <c r="AG372" s="8">
        <v>1.19644266177031E-4</v>
      </c>
      <c r="AH372" s="8">
        <v>6.4270791737908653E-5</v>
      </c>
      <c r="AI372" s="8">
        <v>1.0610214580577774E-4</v>
      </c>
      <c r="AJ372" s="8">
        <v>1.3213290999140759E-4</v>
      </c>
      <c r="AK372" s="8">
        <v>2.6082924123797206E-4</v>
      </c>
      <c r="AL372" s="8">
        <v>1.0081523033391288E-3</v>
      </c>
      <c r="AM372" s="8">
        <v>4.4845769640977492E-3</v>
      </c>
      <c r="AN372" s="8">
        <v>2.2983123991388854E-4</v>
      </c>
    </row>
    <row r="373" spans="1:40" x14ac:dyDescent="0.2">
      <c r="A373" t="s">
        <v>428</v>
      </c>
      <c r="B373">
        <v>2010</v>
      </c>
      <c r="C373" t="s">
        <v>430</v>
      </c>
      <c r="D373" s="7">
        <v>129</v>
      </c>
      <c r="E373" s="7">
        <v>59</v>
      </c>
      <c r="F373" s="7">
        <v>43</v>
      </c>
      <c r="G373" s="7">
        <v>52</v>
      </c>
      <c r="H373" s="7">
        <v>55</v>
      </c>
      <c r="I373" s="7">
        <v>56</v>
      </c>
      <c r="J373" s="7">
        <v>48</v>
      </c>
      <c r="K373" s="16">
        <f>SUM(D373:J373)</f>
        <v>442</v>
      </c>
      <c r="L373" s="28">
        <v>57</v>
      </c>
      <c r="M373" s="28">
        <v>208</v>
      </c>
      <c r="N373" s="7">
        <v>327</v>
      </c>
      <c r="O373" s="16">
        <f t="shared" si="10"/>
        <v>592</v>
      </c>
      <c r="P373" s="7">
        <v>1034</v>
      </c>
      <c r="Q373" s="7">
        <v>313276.27899999998</v>
      </c>
      <c r="R373" s="7">
        <v>619036.0830000001</v>
      </c>
      <c r="S373" s="7">
        <v>687400.77399999998</v>
      </c>
      <c r="T373" s="7">
        <v>612780.52399999998</v>
      </c>
      <c r="U373" s="7">
        <v>656475.16100000008</v>
      </c>
      <c r="V373" s="7">
        <v>695496.45599999989</v>
      </c>
      <c r="W373" s="7">
        <v>592628.96</v>
      </c>
      <c r="X373" s="16">
        <f>SUM(Q373:W373)</f>
        <v>4177094.2370000002</v>
      </c>
      <c r="Y373" s="28">
        <v>365179.96199999988</v>
      </c>
      <c r="Z373" s="28">
        <v>202964.13499999998</v>
      </c>
      <c r="AA373" s="7">
        <v>71050.82699999999</v>
      </c>
      <c r="AB373" s="16">
        <f t="shared" si="11"/>
        <v>639194.92399999988</v>
      </c>
      <c r="AC373" s="7">
        <v>4816289.1609999994</v>
      </c>
      <c r="AD373" s="8">
        <v>4.1177710745217324E-4</v>
      </c>
      <c r="AE373" s="8">
        <v>9.5309468414299188E-5</v>
      </c>
      <c r="AF373" s="8">
        <v>6.2554482954364554E-5</v>
      </c>
      <c r="AG373" s="8">
        <v>8.4859093857232325E-5</v>
      </c>
      <c r="AH373" s="8">
        <v>8.3780778416991768E-5</v>
      </c>
      <c r="AI373" s="8">
        <v>8.0518023516715096E-5</v>
      </c>
      <c r="AJ373" s="8">
        <v>8.0995029335049709E-5</v>
      </c>
      <c r="AK373" s="8">
        <v>1.5608742519119935E-4</v>
      </c>
      <c r="AL373" s="8">
        <v>1.0248116003352022E-3</v>
      </c>
      <c r="AM373" s="8">
        <v>4.602339111408232E-3</v>
      </c>
      <c r="AN373" s="8">
        <v>2.146881064311579E-4</v>
      </c>
    </row>
    <row r="374" spans="1:40" x14ac:dyDescent="0.2">
      <c r="A374" t="s">
        <v>428</v>
      </c>
      <c r="B374">
        <v>2011</v>
      </c>
      <c r="C374" t="s">
        <v>431</v>
      </c>
      <c r="D374" s="7">
        <v>118</v>
      </c>
      <c r="E374" s="7">
        <v>36</v>
      </c>
      <c r="F374" s="7">
        <v>63</v>
      </c>
      <c r="G374" s="7">
        <v>49</v>
      </c>
      <c r="H374" s="7">
        <v>69</v>
      </c>
      <c r="I374" s="7">
        <v>53</v>
      </c>
      <c r="J374" s="7">
        <v>69</v>
      </c>
      <c r="K374" s="16">
        <f>SUM(D374:J374)</f>
        <v>457</v>
      </c>
      <c r="L374" s="28">
        <v>97</v>
      </c>
      <c r="M374" s="28">
        <v>212</v>
      </c>
      <c r="N374" s="7">
        <v>313</v>
      </c>
      <c r="O374" s="16">
        <f t="shared" si="10"/>
        <v>622</v>
      </c>
      <c r="P374" s="7">
        <v>1079</v>
      </c>
      <c r="Q374" s="7">
        <v>293181.717</v>
      </c>
      <c r="R374" s="7">
        <v>578872.32599999988</v>
      </c>
      <c r="S374" s="7">
        <v>642728.35300000012</v>
      </c>
      <c r="T374" s="7">
        <v>573459.15700000001</v>
      </c>
      <c r="U374" s="7">
        <v>596935.53500000003</v>
      </c>
      <c r="V374" s="7">
        <v>638512.36300000001</v>
      </c>
      <c r="W374" s="7">
        <v>556351.95700000005</v>
      </c>
      <c r="X374" s="16">
        <f>SUM(Q374:W374)</f>
        <v>3880041.4079999998</v>
      </c>
      <c r="Y374" s="28">
        <v>350246.05100000009</v>
      </c>
      <c r="Z374" s="28">
        <v>188046.33599999998</v>
      </c>
      <c r="AA374" s="7">
        <v>65826.290000000008</v>
      </c>
      <c r="AB374" s="16">
        <f t="shared" si="11"/>
        <v>604118.67700000014</v>
      </c>
      <c r="AC374" s="7">
        <v>4484160.085</v>
      </c>
      <c r="AD374" s="8">
        <v>4.0248075905770074E-4</v>
      </c>
      <c r="AE374" s="8">
        <v>6.2189879154803479E-5</v>
      </c>
      <c r="AF374" s="8">
        <v>9.8019637232340962E-5</v>
      </c>
      <c r="AG374" s="8">
        <v>8.5446364229911498E-5</v>
      </c>
      <c r="AH374" s="8">
        <v>1.1559037107750672E-4</v>
      </c>
      <c r="AI374" s="8">
        <v>8.3005440569676169E-5</v>
      </c>
      <c r="AJ374" s="8">
        <v>1.2402221135711757E-4</v>
      </c>
      <c r="AK374" s="8">
        <v>2.7694816179383555E-4</v>
      </c>
      <c r="AL374" s="8">
        <v>1.1273817108566264E-3</v>
      </c>
      <c r="AM374" s="8">
        <v>4.7549390980412224E-3</v>
      </c>
      <c r="AN374" s="8">
        <v>2.4062477243160242E-4</v>
      </c>
    </row>
    <row r="375" spans="1:40" x14ac:dyDescent="0.2">
      <c r="A375" t="s">
        <v>428</v>
      </c>
      <c r="B375">
        <v>2012</v>
      </c>
      <c r="C375" t="s">
        <v>432</v>
      </c>
      <c r="D375" s="7">
        <v>120</v>
      </c>
      <c r="E375" s="7">
        <v>54</v>
      </c>
      <c r="F375" s="7">
        <v>63</v>
      </c>
      <c r="G375" s="7">
        <v>45</v>
      </c>
      <c r="H375" s="7">
        <v>47</v>
      </c>
      <c r="I375" s="7">
        <v>67</v>
      </c>
      <c r="J375" s="7">
        <v>63</v>
      </c>
      <c r="K375" s="16">
        <f>SUM(D375:J375)</f>
        <v>459</v>
      </c>
      <c r="L375" s="28">
        <v>71</v>
      </c>
      <c r="M375" s="28">
        <v>211</v>
      </c>
      <c r="N375" s="7">
        <v>287</v>
      </c>
      <c r="O375" s="16">
        <f t="shared" si="10"/>
        <v>569</v>
      </c>
      <c r="P375" s="7">
        <v>1028</v>
      </c>
      <c r="Q375" s="7">
        <v>299551.49200000003</v>
      </c>
      <c r="R375" s="7">
        <v>593917.21400000015</v>
      </c>
      <c r="S375" s="7">
        <v>666026.16899999999</v>
      </c>
      <c r="T375" s="7">
        <v>592260.32900000003</v>
      </c>
      <c r="U375" s="7">
        <v>602528.25799999991</v>
      </c>
      <c r="V375" s="7">
        <v>653668.3350000002</v>
      </c>
      <c r="W375" s="7">
        <v>585188.31299999997</v>
      </c>
      <c r="X375" s="16">
        <f>SUM(Q375:W375)</f>
        <v>3993140.1100000003</v>
      </c>
      <c r="Y375" s="28">
        <v>376015.15499999997</v>
      </c>
      <c r="Z375" s="28">
        <v>195526.424</v>
      </c>
      <c r="AA375" s="7">
        <v>70237.979999999981</v>
      </c>
      <c r="AB375" s="16">
        <f t="shared" si="11"/>
        <v>641779.55899999989</v>
      </c>
      <c r="AC375" s="7">
        <v>4634919.6689999998</v>
      </c>
      <c r="AD375" s="8">
        <v>4.0059890604717799E-4</v>
      </c>
      <c r="AE375" s="8">
        <v>9.0921762708834342E-5</v>
      </c>
      <c r="AF375" s="8">
        <v>9.4590877854830956E-5</v>
      </c>
      <c r="AG375" s="8">
        <v>7.5980101648847733E-5</v>
      </c>
      <c r="AH375" s="8">
        <v>7.8004640240458245E-5</v>
      </c>
      <c r="AI375" s="8">
        <v>1.0249846353655785E-4</v>
      </c>
      <c r="AJ375" s="8">
        <v>1.076576524179491E-4</v>
      </c>
      <c r="AK375" s="8">
        <v>1.8882217659551515E-4</v>
      </c>
      <c r="AL375" s="8">
        <v>1.0791380299575264E-3</v>
      </c>
      <c r="AM375" s="8">
        <v>4.0861083989032721E-3</v>
      </c>
      <c r="AN375" s="8">
        <v>2.2179456677008484E-4</v>
      </c>
    </row>
    <row r="376" spans="1:40" x14ac:dyDescent="0.2">
      <c r="A376" t="s">
        <v>428</v>
      </c>
      <c r="B376">
        <v>2013</v>
      </c>
      <c r="C376" t="s">
        <v>433</v>
      </c>
      <c r="D376" s="7">
        <v>111</v>
      </c>
      <c r="E376" s="7">
        <v>67</v>
      </c>
      <c r="F376" s="7">
        <v>52</v>
      </c>
      <c r="G376" s="7">
        <v>54</v>
      </c>
      <c r="H376" s="7">
        <v>33</v>
      </c>
      <c r="I376" s="7">
        <v>68</v>
      </c>
      <c r="J376" s="7">
        <v>62</v>
      </c>
      <c r="K376" s="16">
        <f>SUM(D376:J376)</f>
        <v>447</v>
      </c>
      <c r="L376" s="28">
        <v>109</v>
      </c>
      <c r="M376" s="28">
        <v>177</v>
      </c>
      <c r="N376" s="7">
        <v>282</v>
      </c>
      <c r="O376" s="16">
        <f t="shared" si="10"/>
        <v>568</v>
      </c>
      <c r="P376" s="7">
        <v>1015</v>
      </c>
      <c r="Q376" s="7">
        <v>296378.63</v>
      </c>
      <c r="R376" s="7">
        <v>596263.27400000009</v>
      </c>
      <c r="S376" s="7">
        <v>658243.70799999975</v>
      </c>
      <c r="T376" s="7">
        <v>594961.59000000008</v>
      </c>
      <c r="U376" s="7">
        <v>594106.38300000003</v>
      </c>
      <c r="V376" s="7">
        <v>651155.68400000012</v>
      </c>
      <c r="W376" s="7">
        <v>593016.21399999992</v>
      </c>
      <c r="X376" s="16">
        <f>SUM(Q376:W376)</f>
        <v>3984125.4829999991</v>
      </c>
      <c r="Y376" s="28">
        <v>389587.52799999999</v>
      </c>
      <c r="Z376" s="28">
        <v>197296.47999999998</v>
      </c>
      <c r="AA376" s="7">
        <v>72934.394</v>
      </c>
      <c r="AB376" s="16">
        <f t="shared" si="11"/>
        <v>659818.40199999989</v>
      </c>
      <c r="AC376" s="7">
        <v>4643943.8849999988</v>
      </c>
      <c r="AD376" s="8">
        <v>3.7452092952855611E-4</v>
      </c>
      <c r="AE376" s="8">
        <v>1.1236647119071095E-4</v>
      </c>
      <c r="AF376" s="8">
        <v>7.8998096553017133E-5</v>
      </c>
      <c r="AG376" s="8">
        <v>9.0762161638031108E-5</v>
      </c>
      <c r="AH376" s="8">
        <v>5.5545607561667952E-5</v>
      </c>
      <c r="AI376" s="8">
        <v>1.0442971115952047E-4</v>
      </c>
      <c r="AJ376" s="8">
        <v>1.0455026108274336E-4</v>
      </c>
      <c r="AK376" s="8">
        <v>2.7978308381576322E-4</v>
      </c>
      <c r="AL376" s="8">
        <v>8.9712700398912344E-4</v>
      </c>
      <c r="AM376" s="8">
        <v>3.8664885595676574E-3</v>
      </c>
      <c r="AN376" s="8">
        <v>2.1856422582505004E-4</v>
      </c>
    </row>
    <row r="377" spans="1:40" x14ac:dyDescent="0.2">
      <c r="A377" t="s">
        <v>428</v>
      </c>
      <c r="B377">
        <v>2014</v>
      </c>
      <c r="C377" t="s">
        <v>434</v>
      </c>
      <c r="D377" s="7">
        <v>82</v>
      </c>
      <c r="E377" s="7">
        <v>44</v>
      </c>
      <c r="F377" s="7">
        <v>45</v>
      </c>
      <c r="G377" s="7">
        <v>57</v>
      </c>
      <c r="H377" s="7">
        <v>52</v>
      </c>
      <c r="I377" s="7">
        <v>52</v>
      </c>
      <c r="J377" s="7">
        <v>84</v>
      </c>
      <c r="K377" s="16">
        <f>SUM(D377:J377)</f>
        <v>416</v>
      </c>
      <c r="L377" s="28">
        <v>107</v>
      </c>
      <c r="M377" s="28">
        <v>181</v>
      </c>
      <c r="N377" s="7">
        <v>256</v>
      </c>
      <c r="O377" s="16">
        <f t="shared" si="10"/>
        <v>544</v>
      </c>
      <c r="P377" s="7">
        <v>960</v>
      </c>
      <c r="Q377" s="7">
        <v>294928.51499999996</v>
      </c>
      <c r="R377" s="7">
        <v>603902.85900000005</v>
      </c>
      <c r="S377" s="7">
        <v>663081.32600000012</v>
      </c>
      <c r="T377" s="7">
        <v>605716.11700000009</v>
      </c>
      <c r="U377" s="7">
        <v>595004.31200000003</v>
      </c>
      <c r="V377" s="7">
        <v>653556.11699999985</v>
      </c>
      <c r="W377" s="7">
        <v>611836.7080000001</v>
      </c>
      <c r="X377" s="16">
        <f>SUM(Q377:W377)</f>
        <v>4028025.9540000004</v>
      </c>
      <c r="Y377" s="28">
        <v>417395.87500000012</v>
      </c>
      <c r="Z377" s="28">
        <v>205231.06700000007</v>
      </c>
      <c r="AA377" s="7">
        <v>75785.447</v>
      </c>
      <c r="AB377" s="16">
        <f t="shared" si="11"/>
        <v>698412.3890000002</v>
      </c>
      <c r="AC377" s="7">
        <v>4726438.3430000003</v>
      </c>
      <c r="AD377" s="8">
        <v>2.7803347533214958E-4</v>
      </c>
      <c r="AE377" s="8">
        <v>7.2859400057915602E-5</v>
      </c>
      <c r="AF377" s="8">
        <v>6.7864978601433259E-5</v>
      </c>
      <c r="AG377" s="8">
        <v>9.4103489077210727E-5</v>
      </c>
      <c r="AH377" s="8">
        <v>8.7394324631381832E-5</v>
      </c>
      <c r="AI377" s="8">
        <v>7.956470553545444E-5</v>
      </c>
      <c r="AJ377" s="8">
        <v>1.3729153367502753E-4</v>
      </c>
      <c r="AK377" s="8">
        <v>2.563513594857639E-4</v>
      </c>
      <c r="AL377" s="8">
        <v>8.8193275338767276E-4</v>
      </c>
      <c r="AM377" s="8">
        <v>3.3779572481772127E-3</v>
      </c>
      <c r="AN377" s="8">
        <v>2.0311277336808792E-4</v>
      </c>
    </row>
    <row r="378" spans="1:40" x14ac:dyDescent="0.2">
      <c r="A378" t="s">
        <v>428</v>
      </c>
      <c r="B378">
        <v>2015</v>
      </c>
      <c r="C378" t="s">
        <v>435</v>
      </c>
      <c r="D378" s="7">
        <v>132</v>
      </c>
      <c r="E378" s="7">
        <v>67</v>
      </c>
      <c r="F378" s="7">
        <v>46</v>
      </c>
      <c r="G378" s="7">
        <v>56</v>
      </c>
      <c r="H378" s="7">
        <v>50</v>
      </c>
      <c r="I378" s="7">
        <v>46</v>
      </c>
      <c r="J378" s="7">
        <v>76</v>
      </c>
      <c r="K378" s="16">
        <f>SUM(D378:J378)</f>
        <v>473</v>
      </c>
      <c r="L378" s="28">
        <v>129</v>
      </c>
      <c r="M378" s="28">
        <v>221</v>
      </c>
      <c r="N378" s="7">
        <v>328</v>
      </c>
      <c r="O378" s="16">
        <f t="shared" si="10"/>
        <v>678</v>
      </c>
      <c r="P378" s="7">
        <v>1151</v>
      </c>
      <c r="Q378" s="7">
        <v>286301.08800000011</v>
      </c>
      <c r="R378" s="7">
        <v>593470.88300000015</v>
      </c>
      <c r="S378" s="7">
        <v>637090.69099999999</v>
      </c>
      <c r="T378" s="7">
        <v>598183.3820000001</v>
      </c>
      <c r="U378" s="7">
        <v>577669.12300000002</v>
      </c>
      <c r="V378" s="7">
        <v>630881.902</v>
      </c>
      <c r="W378" s="7">
        <v>602879.72</v>
      </c>
      <c r="X378" s="16">
        <f>SUM(Q378:W378)</f>
        <v>3926476.7889999999</v>
      </c>
      <c r="Y378" s="28">
        <v>426021.39099999989</v>
      </c>
      <c r="Z378" s="28">
        <v>203119.114</v>
      </c>
      <c r="AA378" s="7">
        <v>76144.672999999995</v>
      </c>
      <c r="AB378" s="16">
        <f t="shared" si="11"/>
        <v>705285.17799999984</v>
      </c>
      <c r="AC378" s="7">
        <v>4631761.9670000002</v>
      </c>
      <c r="AD378" s="8">
        <v>4.6105308548460687E-4</v>
      </c>
      <c r="AE378" s="8">
        <v>1.1289517635863525E-4</v>
      </c>
      <c r="AF378" s="8">
        <v>7.2203221063859492E-5</v>
      </c>
      <c r="AG378" s="8">
        <v>9.3616776535594215E-5</v>
      </c>
      <c r="AH378" s="8">
        <v>8.6554738706364956E-5</v>
      </c>
      <c r="AI378" s="8">
        <v>7.29138050309771E-5</v>
      </c>
      <c r="AJ378" s="8">
        <v>1.2606162967299681E-4</v>
      </c>
      <c r="AK378" s="8">
        <v>3.0280169664062724E-4</v>
      </c>
      <c r="AL378" s="8">
        <v>1.0880315281406752E-3</v>
      </c>
      <c r="AM378" s="8">
        <v>4.3075895801666913E-3</v>
      </c>
      <c r="AN378" s="8">
        <v>2.4850154394818883E-4</v>
      </c>
    </row>
    <row r="379" spans="1:40" x14ac:dyDescent="0.2">
      <c r="A379" t="s">
        <v>428</v>
      </c>
      <c r="B379">
        <v>2016</v>
      </c>
      <c r="C379" t="s">
        <v>436</v>
      </c>
      <c r="D379" s="7">
        <v>101</v>
      </c>
      <c r="E379" s="7">
        <v>49</v>
      </c>
      <c r="F379" s="7">
        <v>63</v>
      </c>
      <c r="G379" s="7">
        <v>50</v>
      </c>
      <c r="H379" s="7">
        <v>66</v>
      </c>
      <c r="I379" s="7">
        <v>47</v>
      </c>
      <c r="J379" s="7">
        <v>86</v>
      </c>
      <c r="K379" s="16">
        <f>SUM(D379:J379)</f>
        <v>462</v>
      </c>
      <c r="L379" s="28">
        <v>100</v>
      </c>
      <c r="M379" s="28">
        <v>159</v>
      </c>
      <c r="N379" s="7">
        <v>244</v>
      </c>
      <c r="O379" s="16">
        <f t="shared" si="10"/>
        <v>503</v>
      </c>
      <c r="P379" s="7">
        <v>965</v>
      </c>
      <c r="Q379" s="7">
        <v>295647.4439999999</v>
      </c>
      <c r="R379" s="7">
        <v>619839.28300000017</v>
      </c>
      <c r="S379" s="7">
        <v>669343.20900000003</v>
      </c>
      <c r="T379" s="7">
        <v>635441.70300000021</v>
      </c>
      <c r="U379" s="7">
        <v>606910.72399999993</v>
      </c>
      <c r="V379" s="7">
        <v>661726.0140000002</v>
      </c>
      <c r="W379" s="7">
        <v>649758.71800000011</v>
      </c>
      <c r="X379" s="16">
        <f>SUM(Q379:W379)</f>
        <v>4138667.0950000007</v>
      </c>
      <c r="Y379" s="28">
        <v>483952.75099999987</v>
      </c>
      <c r="Z379" s="28">
        <v>220350.55899999998</v>
      </c>
      <c r="AA379" s="7">
        <v>82513.180999999982</v>
      </c>
      <c r="AB379" s="16">
        <f t="shared" si="11"/>
        <v>786816.49099999981</v>
      </c>
      <c r="AC379" s="7">
        <v>4925483.5860000011</v>
      </c>
      <c r="AD379" s="8">
        <v>3.4162311242575815E-4</v>
      </c>
      <c r="AE379" s="8">
        <v>7.9052750194924304E-5</v>
      </c>
      <c r="AF379" s="8">
        <v>9.412211725300405E-5</v>
      </c>
      <c r="AG379" s="8">
        <v>7.8685424270934231E-5</v>
      </c>
      <c r="AH379" s="8">
        <v>1.0874746052435878E-4</v>
      </c>
      <c r="AI379" s="8">
        <v>7.1026374973373783E-5</v>
      </c>
      <c r="AJ379" s="8">
        <v>1.3235682356785243E-4</v>
      </c>
      <c r="AK379" s="8">
        <v>2.0663174203136212E-4</v>
      </c>
      <c r="AL379" s="8">
        <v>7.215774750995754E-4</v>
      </c>
      <c r="AM379" s="8">
        <v>2.9571033020772772E-3</v>
      </c>
      <c r="AN379" s="8">
        <v>1.9591984891450612E-4</v>
      </c>
    </row>
    <row r="380" spans="1:40" x14ac:dyDescent="0.2">
      <c r="A380" t="s">
        <v>428</v>
      </c>
      <c r="B380">
        <v>2017</v>
      </c>
      <c r="C380" t="s">
        <v>437</v>
      </c>
      <c r="D380" s="7">
        <v>85</v>
      </c>
      <c r="E380" s="7">
        <v>39</v>
      </c>
      <c r="F380" s="7">
        <v>45</v>
      </c>
      <c r="G380" s="7">
        <v>58</v>
      </c>
      <c r="H380" s="7">
        <v>52</v>
      </c>
      <c r="I380" s="7">
        <v>60</v>
      </c>
      <c r="J380" s="7">
        <v>55</v>
      </c>
      <c r="K380" s="16">
        <f>SUM(D380:J380)</f>
        <v>394</v>
      </c>
      <c r="L380" s="28">
        <v>97</v>
      </c>
      <c r="M380" s="28">
        <v>207</v>
      </c>
      <c r="N380" s="7">
        <v>253</v>
      </c>
      <c r="O380" s="16">
        <f t="shared" si="10"/>
        <v>557</v>
      </c>
      <c r="P380" s="7">
        <v>951</v>
      </c>
      <c r="Q380" s="7">
        <v>287954</v>
      </c>
      <c r="R380" s="7">
        <v>609680</v>
      </c>
      <c r="S380" s="7">
        <v>653241</v>
      </c>
      <c r="T380" s="7">
        <v>629942</v>
      </c>
      <c r="U380" s="7">
        <v>589578</v>
      </c>
      <c r="V380" s="7">
        <v>639932</v>
      </c>
      <c r="W380" s="7">
        <v>631530</v>
      </c>
      <c r="X380" s="16">
        <f>SUM(Q380:W380)</f>
        <v>4041857</v>
      </c>
      <c r="Y380" s="28">
        <v>478421</v>
      </c>
      <c r="Z380" s="28">
        <v>219282</v>
      </c>
      <c r="AA380" s="7">
        <v>82674</v>
      </c>
      <c r="AB380" s="16">
        <f t="shared" si="11"/>
        <v>780377</v>
      </c>
      <c r="AC380" s="7">
        <v>4822234</v>
      </c>
      <c r="AD380" s="8">
        <v>2.9518603665863296E-4</v>
      </c>
      <c r="AE380" s="8">
        <v>6.3967983204303895E-5</v>
      </c>
      <c r="AF380" s="8">
        <v>6.8887286621629689E-5</v>
      </c>
      <c r="AG380" s="8">
        <v>9.2071968530436129E-5</v>
      </c>
      <c r="AH380" s="8">
        <v>8.8198677698285888E-5</v>
      </c>
      <c r="AI380" s="8">
        <v>9.3759961995962065E-5</v>
      </c>
      <c r="AJ380" s="8">
        <v>8.709008281475147E-5</v>
      </c>
      <c r="AK380" s="8">
        <v>2.0275029733226593E-4</v>
      </c>
      <c r="AL380" s="8">
        <v>9.4398993077407175E-4</v>
      </c>
      <c r="AM380" s="8">
        <v>3.0602124005128578E-3</v>
      </c>
      <c r="AN380" s="8">
        <v>1.9721149989817996E-4</v>
      </c>
    </row>
    <row r="381" spans="1:40" x14ac:dyDescent="0.2">
      <c r="A381" t="s">
        <v>438</v>
      </c>
      <c r="B381">
        <v>2009</v>
      </c>
      <c r="C381" t="s">
        <v>439</v>
      </c>
      <c r="D381" s="7">
        <v>106</v>
      </c>
      <c r="E381" s="7">
        <v>48</v>
      </c>
      <c r="F381" s="7">
        <v>51</v>
      </c>
      <c r="G381" s="7">
        <v>54</v>
      </c>
      <c r="H381" s="7">
        <v>57</v>
      </c>
      <c r="I381" s="7">
        <v>43</v>
      </c>
      <c r="J381" s="7">
        <v>55</v>
      </c>
      <c r="K381" s="16">
        <f>SUM(D381:J381)</f>
        <v>414</v>
      </c>
      <c r="L381" s="28">
        <v>48</v>
      </c>
      <c r="M381" s="28">
        <v>43</v>
      </c>
      <c r="N381" s="7">
        <v>77</v>
      </c>
      <c r="O381" s="16">
        <f t="shared" si="10"/>
        <v>168</v>
      </c>
      <c r="P381" s="7">
        <v>582</v>
      </c>
      <c r="Q381" s="7">
        <v>55525.162000000011</v>
      </c>
      <c r="R381" s="7">
        <v>104202.947</v>
      </c>
      <c r="S381" s="7">
        <v>119497.20700000004</v>
      </c>
      <c r="T381" s="7">
        <v>96951.753999999986</v>
      </c>
      <c r="U381" s="7">
        <v>96791.543999999994</v>
      </c>
      <c r="V381" s="7">
        <v>114736.485</v>
      </c>
      <c r="W381" s="7">
        <v>86550.713999999964</v>
      </c>
      <c r="X381" s="16">
        <f>SUM(Q381:W381)</f>
        <v>674255.81299999997</v>
      </c>
      <c r="Y381" s="28">
        <v>53423.368999999999</v>
      </c>
      <c r="Z381" s="28">
        <v>40950.546999999999</v>
      </c>
      <c r="AA381" s="7">
        <v>18533.295000000002</v>
      </c>
      <c r="AB381" s="16">
        <f t="shared" si="11"/>
        <v>112907.211</v>
      </c>
      <c r="AC381" s="7">
        <v>787163.02399999998</v>
      </c>
      <c r="AD381" s="8">
        <v>1.9090444076507148E-3</v>
      </c>
      <c r="AE381" s="8">
        <v>4.6063956329373294E-4</v>
      </c>
      <c r="AF381" s="8">
        <v>4.2678821773633574E-4</v>
      </c>
      <c r="AG381" s="8">
        <v>5.5697806147993992E-4</v>
      </c>
      <c r="AH381" s="8">
        <v>5.8889441829753232E-4</v>
      </c>
      <c r="AI381" s="8">
        <v>3.747718086361108E-4</v>
      </c>
      <c r="AJ381" s="8">
        <v>6.354655837963396E-4</v>
      </c>
      <c r="AK381" s="8">
        <v>8.9848320872463138E-4</v>
      </c>
      <c r="AL381" s="8">
        <v>1.0500470237918922E-3</v>
      </c>
      <c r="AM381" s="8">
        <v>4.1546848523157914E-3</v>
      </c>
      <c r="AN381" s="8">
        <v>7.3936399736174597E-4</v>
      </c>
    </row>
    <row r="382" spans="1:40" x14ac:dyDescent="0.2">
      <c r="A382" t="s">
        <v>438</v>
      </c>
      <c r="B382">
        <v>2010</v>
      </c>
      <c r="C382" t="s">
        <v>440</v>
      </c>
      <c r="D382" s="7">
        <v>114</v>
      </c>
      <c r="E382" s="7">
        <v>59</v>
      </c>
      <c r="F382" s="7">
        <v>56</v>
      </c>
      <c r="G382" s="7">
        <v>68</v>
      </c>
      <c r="H382" s="7">
        <v>59</v>
      </c>
      <c r="I382" s="7">
        <v>67</v>
      </c>
      <c r="J382" s="7">
        <v>45</v>
      </c>
      <c r="K382" s="16">
        <f>SUM(D382:J382)</f>
        <v>468</v>
      </c>
      <c r="L382" s="28">
        <v>36</v>
      </c>
      <c r="M382" s="28">
        <v>62</v>
      </c>
      <c r="N382" s="7">
        <v>72</v>
      </c>
      <c r="O382" s="16">
        <f t="shared" si="10"/>
        <v>170</v>
      </c>
      <c r="P382" s="7">
        <v>638</v>
      </c>
      <c r="Q382" s="7">
        <v>52763.137999999999</v>
      </c>
      <c r="R382" s="7">
        <v>100992.29400000001</v>
      </c>
      <c r="S382" s="7">
        <v>107115.26300000001</v>
      </c>
      <c r="T382" s="7">
        <v>92840.982000000018</v>
      </c>
      <c r="U382" s="7">
        <v>90924.632000000012</v>
      </c>
      <c r="V382" s="7">
        <v>108636.36199999999</v>
      </c>
      <c r="W382" s="7">
        <v>83743.777000000002</v>
      </c>
      <c r="X382" s="16">
        <f>SUM(Q382:W382)</f>
        <v>637016.44799999997</v>
      </c>
      <c r="Y382" s="28">
        <v>51132.86099999999</v>
      </c>
      <c r="Z382" s="28">
        <v>36537.791999999994</v>
      </c>
      <c r="AA382" s="7">
        <v>16915.374999999996</v>
      </c>
      <c r="AB382" s="16">
        <f t="shared" si="11"/>
        <v>104586.02799999999</v>
      </c>
      <c r="AC382" s="7">
        <v>741602.47600000002</v>
      </c>
      <c r="AD382" s="8">
        <v>2.1605993184105163E-3</v>
      </c>
      <c r="AE382" s="8">
        <v>5.8420298879437269E-4</v>
      </c>
      <c r="AF382" s="8">
        <v>5.2280131170475677E-4</v>
      </c>
      <c r="AG382" s="8">
        <v>7.3243516532386509E-4</v>
      </c>
      <c r="AH382" s="8">
        <v>6.4888907111551456E-4</v>
      </c>
      <c r="AI382" s="8">
        <v>6.1673641096339363E-4</v>
      </c>
      <c r="AJ382" s="8">
        <v>5.3735336059657307E-4</v>
      </c>
      <c r="AK382" s="8">
        <v>7.0404822448718457E-4</v>
      </c>
      <c r="AL382" s="8">
        <v>1.6968731991248954E-3</v>
      </c>
      <c r="AM382" s="8">
        <v>4.2564826378368803E-3</v>
      </c>
      <c r="AN382" s="8">
        <v>8.6029917731828063E-4</v>
      </c>
    </row>
    <row r="383" spans="1:40" x14ac:dyDescent="0.2">
      <c r="A383" t="s">
        <v>438</v>
      </c>
      <c r="B383">
        <v>2011</v>
      </c>
      <c r="C383" t="s">
        <v>441</v>
      </c>
      <c r="D383" s="7">
        <v>97</v>
      </c>
      <c r="E383" s="7">
        <v>65</v>
      </c>
      <c r="F383" s="7">
        <v>63</v>
      </c>
      <c r="G383" s="7">
        <v>40</v>
      </c>
      <c r="H383" s="7">
        <v>58</v>
      </c>
      <c r="I383" s="7">
        <v>54</v>
      </c>
      <c r="J383" s="7">
        <v>58</v>
      </c>
      <c r="K383" s="16">
        <f>SUM(D383:J383)</f>
        <v>435</v>
      </c>
      <c r="L383" s="28">
        <v>38</v>
      </c>
      <c r="M383" s="28">
        <v>58</v>
      </c>
      <c r="N383" s="7">
        <v>74</v>
      </c>
      <c r="O383" s="16">
        <f t="shared" si="10"/>
        <v>170</v>
      </c>
      <c r="P383" s="7">
        <v>605</v>
      </c>
      <c r="Q383" s="7">
        <v>59999.095000000001</v>
      </c>
      <c r="R383" s="7">
        <v>114385.98000000001</v>
      </c>
      <c r="S383" s="7">
        <v>123365.54799999997</v>
      </c>
      <c r="T383" s="7">
        <v>106589.21299999999</v>
      </c>
      <c r="U383" s="7">
        <v>101186.17800000003</v>
      </c>
      <c r="V383" s="7">
        <v>123283.088</v>
      </c>
      <c r="W383" s="7">
        <v>99694.980999999985</v>
      </c>
      <c r="X383" s="16">
        <f>SUM(Q383:W383)</f>
        <v>728504.08299999998</v>
      </c>
      <c r="Y383" s="28">
        <v>59611.988999999994</v>
      </c>
      <c r="Z383" s="28">
        <v>40949.639000000003</v>
      </c>
      <c r="AA383" s="7">
        <v>18974.231999999996</v>
      </c>
      <c r="AB383" s="16">
        <f t="shared" si="11"/>
        <v>119535.85999999999</v>
      </c>
      <c r="AC383" s="7">
        <v>848039.94299999985</v>
      </c>
      <c r="AD383" s="8">
        <v>1.6166910517566972E-3</v>
      </c>
      <c r="AE383" s="8">
        <v>5.6825145878891797E-4</v>
      </c>
      <c r="AF383" s="8">
        <v>5.1067742186821892E-4</v>
      </c>
      <c r="AG383" s="8">
        <v>3.7527249591382201E-4</v>
      </c>
      <c r="AH383" s="8">
        <v>5.7320081800105128E-4</v>
      </c>
      <c r="AI383" s="8">
        <v>4.3801628330400027E-4</v>
      </c>
      <c r="AJ383" s="8">
        <v>5.8177452283179637E-4</v>
      </c>
      <c r="AK383" s="8">
        <v>6.3745566349077869E-4</v>
      </c>
      <c r="AL383" s="8">
        <v>1.4163739025880057E-3</v>
      </c>
      <c r="AM383" s="8">
        <v>3.9000260985530277E-3</v>
      </c>
      <c r="AN383" s="8">
        <v>7.1340979277434826E-4</v>
      </c>
    </row>
    <row r="384" spans="1:40" x14ac:dyDescent="0.2">
      <c r="A384" t="s">
        <v>438</v>
      </c>
      <c r="B384">
        <v>2012</v>
      </c>
      <c r="C384" t="s">
        <v>442</v>
      </c>
      <c r="D384" s="7">
        <v>91</v>
      </c>
      <c r="E384" s="7">
        <v>62</v>
      </c>
      <c r="F384" s="7">
        <v>49</v>
      </c>
      <c r="G384" s="7">
        <v>55</v>
      </c>
      <c r="H384" s="7">
        <v>49</v>
      </c>
      <c r="I384" s="7">
        <v>72</v>
      </c>
      <c r="J384" s="7">
        <v>64</v>
      </c>
      <c r="K384" s="16">
        <f>SUM(D384:J384)</f>
        <v>442</v>
      </c>
      <c r="L384" s="28">
        <v>52</v>
      </c>
      <c r="M384" s="28">
        <v>43</v>
      </c>
      <c r="N384" s="7">
        <v>97</v>
      </c>
      <c r="O384" s="16">
        <f t="shared" si="10"/>
        <v>192</v>
      </c>
      <c r="P384" s="7">
        <v>634</v>
      </c>
      <c r="Q384" s="7">
        <v>55130.277000000016</v>
      </c>
      <c r="R384" s="7">
        <v>104309.61500000001</v>
      </c>
      <c r="S384" s="7">
        <v>112204.15900000001</v>
      </c>
      <c r="T384" s="7">
        <v>101853.24799999998</v>
      </c>
      <c r="U384" s="7">
        <v>92127.539999999979</v>
      </c>
      <c r="V384" s="7">
        <v>114947.70800000003</v>
      </c>
      <c r="W384" s="7">
        <v>99498.329000000012</v>
      </c>
      <c r="X384" s="16">
        <f>SUM(Q384:W384)</f>
        <v>680070.87600000005</v>
      </c>
      <c r="Y384" s="28">
        <v>59087.103999999992</v>
      </c>
      <c r="Z384" s="28">
        <v>40288.564000000006</v>
      </c>
      <c r="AA384" s="7">
        <v>19232.377999999997</v>
      </c>
      <c r="AB384" s="16">
        <f t="shared" si="11"/>
        <v>118608.046</v>
      </c>
      <c r="AC384" s="7">
        <v>798678.92200000002</v>
      </c>
      <c r="AD384" s="8">
        <v>1.6506356389248684E-3</v>
      </c>
      <c r="AE384" s="8">
        <v>5.9438432401461743E-4</v>
      </c>
      <c r="AF384" s="8">
        <v>4.3670395497550133E-4</v>
      </c>
      <c r="AG384" s="8">
        <v>5.3999259797782794E-4</v>
      </c>
      <c r="AH384" s="8">
        <v>5.3187136007322032E-4</v>
      </c>
      <c r="AI384" s="8">
        <v>6.2637177593832479E-4</v>
      </c>
      <c r="AJ384" s="8">
        <v>6.4322688273488486E-4</v>
      </c>
      <c r="AK384" s="8">
        <v>8.8005667023382985E-4</v>
      </c>
      <c r="AL384" s="8">
        <v>1.0673003882689886E-3</v>
      </c>
      <c r="AM384" s="8">
        <v>5.0435780744326059E-3</v>
      </c>
      <c r="AN384" s="8">
        <v>7.9381085757512955E-4</v>
      </c>
    </row>
    <row r="385" spans="1:40" x14ac:dyDescent="0.2">
      <c r="A385" t="s">
        <v>438</v>
      </c>
      <c r="B385">
        <v>2013</v>
      </c>
      <c r="C385" t="s">
        <v>443</v>
      </c>
      <c r="D385" s="7">
        <v>97</v>
      </c>
      <c r="E385" s="7">
        <v>25</v>
      </c>
      <c r="F385" s="7">
        <v>49</v>
      </c>
      <c r="G385" s="7">
        <v>53</v>
      </c>
      <c r="H385" s="7">
        <v>38</v>
      </c>
      <c r="I385" s="7">
        <v>60</v>
      </c>
      <c r="J385" s="7">
        <v>60</v>
      </c>
      <c r="K385" s="16">
        <f>SUM(D385:J385)</f>
        <v>382</v>
      </c>
      <c r="L385" s="28">
        <v>52</v>
      </c>
      <c r="M385" s="28">
        <v>52</v>
      </c>
      <c r="N385" s="7">
        <v>114</v>
      </c>
      <c r="O385" s="16">
        <f t="shared" si="10"/>
        <v>218</v>
      </c>
      <c r="P385" s="7">
        <v>600</v>
      </c>
      <c r="Q385" s="7">
        <v>53159.536</v>
      </c>
      <c r="R385" s="7">
        <v>103901.27099999999</v>
      </c>
      <c r="S385" s="7">
        <v>102711.96999999999</v>
      </c>
      <c r="T385" s="7">
        <v>99046.280999999974</v>
      </c>
      <c r="U385" s="7">
        <v>90949.018999999986</v>
      </c>
      <c r="V385" s="7">
        <v>108124.497</v>
      </c>
      <c r="W385" s="7">
        <v>99206.274999999994</v>
      </c>
      <c r="X385" s="16">
        <f>SUM(Q385:W385)</f>
        <v>657098.84899999993</v>
      </c>
      <c r="Y385" s="28">
        <v>60278.039999999986</v>
      </c>
      <c r="Z385" s="28">
        <v>38320.198999999993</v>
      </c>
      <c r="AA385" s="7">
        <v>17777.231000000003</v>
      </c>
      <c r="AB385" s="16">
        <f t="shared" si="11"/>
        <v>116375.46999999997</v>
      </c>
      <c r="AC385" s="7">
        <v>773474.31900000002</v>
      </c>
      <c r="AD385" s="8">
        <v>1.824696137302628E-3</v>
      </c>
      <c r="AE385" s="8">
        <v>2.4061303350177498E-4</v>
      </c>
      <c r="AF385" s="8">
        <v>4.7706221582547787E-4</v>
      </c>
      <c r="AG385" s="8">
        <v>5.351033826297831E-4</v>
      </c>
      <c r="AH385" s="8">
        <v>4.1781649123670046E-4</v>
      </c>
      <c r="AI385" s="8">
        <v>5.5491587627917477E-4</v>
      </c>
      <c r="AJ385" s="8">
        <v>6.0480045239073843E-4</v>
      </c>
      <c r="AK385" s="8">
        <v>8.6266905825073295E-4</v>
      </c>
      <c r="AL385" s="8">
        <v>1.3569866899699559E-3</v>
      </c>
      <c r="AM385" s="8">
        <v>6.4126972305191951E-3</v>
      </c>
      <c r="AN385" s="8">
        <v>7.7572064806976477E-4</v>
      </c>
    </row>
    <row r="386" spans="1:40" x14ac:dyDescent="0.2">
      <c r="A386" t="s">
        <v>438</v>
      </c>
      <c r="B386">
        <v>2014</v>
      </c>
      <c r="C386" t="s">
        <v>444</v>
      </c>
      <c r="D386" s="7">
        <v>112</v>
      </c>
      <c r="E386" s="7">
        <v>36</v>
      </c>
      <c r="F386" s="7">
        <v>62</v>
      </c>
      <c r="G386" s="7">
        <v>41</v>
      </c>
      <c r="H386" s="7">
        <v>40</v>
      </c>
      <c r="I386" s="7">
        <v>56</v>
      </c>
      <c r="J386" s="7">
        <v>51</v>
      </c>
      <c r="K386" s="16">
        <f>SUM(D386:J386)</f>
        <v>398</v>
      </c>
      <c r="L386" s="28">
        <v>69</v>
      </c>
      <c r="M386" s="28">
        <v>63</v>
      </c>
      <c r="N386" s="7">
        <v>96</v>
      </c>
      <c r="O386" s="16">
        <f t="shared" si="10"/>
        <v>228</v>
      </c>
      <c r="P386" s="7">
        <v>626</v>
      </c>
      <c r="Q386" s="7">
        <v>48676.28100000001</v>
      </c>
      <c r="R386" s="7">
        <v>95126.344000000026</v>
      </c>
      <c r="S386" s="7">
        <v>97905.493000000002</v>
      </c>
      <c r="T386" s="7">
        <v>92403.574000000037</v>
      </c>
      <c r="U386" s="7">
        <v>81982.353000000003</v>
      </c>
      <c r="V386" s="7">
        <v>97546.681999999972</v>
      </c>
      <c r="W386" s="7">
        <v>91150.550000000032</v>
      </c>
      <c r="X386" s="16">
        <f>SUM(Q386:W386)</f>
        <v>604791.277</v>
      </c>
      <c r="Y386" s="28">
        <v>55467.795999999995</v>
      </c>
      <c r="Z386" s="28">
        <v>34496.375999999997</v>
      </c>
      <c r="AA386" s="7">
        <v>16766.043999999998</v>
      </c>
      <c r="AB386" s="16">
        <f t="shared" si="11"/>
        <v>106730.21599999999</v>
      </c>
      <c r="AC386" s="7">
        <v>711521.49300000002</v>
      </c>
      <c r="AD386" s="8">
        <v>2.30091530616318E-3</v>
      </c>
      <c r="AE386" s="8">
        <v>3.7844406172069423E-4</v>
      </c>
      <c r="AF386" s="8">
        <v>6.3326375364863342E-4</v>
      </c>
      <c r="AG386" s="8">
        <v>4.4370578133698575E-4</v>
      </c>
      <c r="AH386" s="8">
        <v>4.8790987982499109E-4</v>
      </c>
      <c r="AI386" s="8">
        <v>5.7408410877573483E-4</v>
      </c>
      <c r="AJ386" s="8">
        <v>5.5951390309767724E-4</v>
      </c>
      <c r="AK386" s="8">
        <v>1.2439650567691567E-3</v>
      </c>
      <c r="AL386" s="8">
        <v>1.826278795198661E-3</v>
      </c>
      <c r="AM386" s="8">
        <v>5.7258587654905359E-3</v>
      </c>
      <c r="AN386" s="8">
        <v>8.7980476508247934E-4</v>
      </c>
    </row>
    <row r="387" spans="1:40" x14ac:dyDescent="0.2">
      <c r="A387" t="s">
        <v>438</v>
      </c>
      <c r="B387">
        <v>2015</v>
      </c>
      <c r="C387" t="s">
        <v>445</v>
      </c>
      <c r="D387" s="7">
        <v>102</v>
      </c>
      <c r="E387" s="7">
        <v>54</v>
      </c>
      <c r="F387" s="7">
        <v>65</v>
      </c>
      <c r="G387" s="7">
        <v>72</v>
      </c>
      <c r="H387" s="7">
        <v>38</v>
      </c>
      <c r="I387" s="7">
        <v>55</v>
      </c>
      <c r="J387" s="7">
        <v>62</v>
      </c>
      <c r="K387" s="16">
        <f>SUM(D387:J387)</f>
        <v>448</v>
      </c>
      <c r="L387" s="28">
        <v>46</v>
      </c>
      <c r="M387" s="28">
        <v>48</v>
      </c>
      <c r="N387" s="7">
        <v>113</v>
      </c>
      <c r="O387" s="16">
        <f t="shared" si="10"/>
        <v>207</v>
      </c>
      <c r="P387" s="7">
        <v>655</v>
      </c>
      <c r="Q387" s="7">
        <v>45186.614000000009</v>
      </c>
      <c r="R387" s="7">
        <v>89129.640000000072</v>
      </c>
      <c r="S387" s="7">
        <v>94221.318999999989</v>
      </c>
      <c r="T387" s="7">
        <v>82976.632000000012</v>
      </c>
      <c r="U387" s="7">
        <v>74376.45699999998</v>
      </c>
      <c r="V387" s="7">
        <v>84225.718999999997</v>
      </c>
      <c r="W387" s="7">
        <v>85090.688000000009</v>
      </c>
      <c r="X387" s="16">
        <f>SUM(Q387:W387)</f>
        <v>555207.06900000002</v>
      </c>
      <c r="Y387" s="28">
        <v>53649.700000000012</v>
      </c>
      <c r="Z387" s="28">
        <v>33144.765999999996</v>
      </c>
      <c r="AA387" s="7">
        <v>15548.692000000003</v>
      </c>
      <c r="AB387" s="16">
        <f t="shared" si="11"/>
        <v>102343.15800000002</v>
      </c>
      <c r="AC387" s="7">
        <v>657550.22700000007</v>
      </c>
      <c r="AD387" s="8">
        <v>2.2573056702146345E-3</v>
      </c>
      <c r="AE387" s="8">
        <v>6.0585906102616322E-4</v>
      </c>
      <c r="AF387" s="8">
        <v>6.8986510367149512E-4</v>
      </c>
      <c r="AG387" s="8">
        <v>8.6771417764943738E-4</v>
      </c>
      <c r="AH387" s="8">
        <v>5.1091436097850166E-4</v>
      </c>
      <c r="AI387" s="8">
        <v>6.5300718893239722E-4</v>
      </c>
      <c r="AJ387" s="8">
        <v>7.2863437183631643E-4</v>
      </c>
      <c r="AK387" s="8">
        <v>8.5741392775728453E-4</v>
      </c>
      <c r="AL387" s="8">
        <v>1.4481924536742846E-3</v>
      </c>
      <c r="AM387" s="8">
        <v>7.2674923395485598E-3</v>
      </c>
      <c r="AN387" s="8">
        <v>9.9612162402918595E-4</v>
      </c>
    </row>
    <row r="388" spans="1:40" x14ac:dyDescent="0.2">
      <c r="A388" t="s">
        <v>438</v>
      </c>
      <c r="B388">
        <v>2016</v>
      </c>
      <c r="C388" t="s">
        <v>446</v>
      </c>
      <c r="D388" s="7">
        <v>93</v>
      </c>
      <c r="E388" s="7">
        <v>35</v>
      </c>
      <c r="F388" s="7">
        <v>41</v>
      </c>
      <c r="G388" s="7">
        <v>72</v>
      </c>
      <c r="H388" s="7">
        <v>58</v>
      </c>
      <c r="I388" s="7">
        <v>66</v>
      </c>
      <c r="J388" s="7">
        <v>46</v>
      </c>
      <c r="K388" s="16">
        <f>SUM(D388:J388)</f>
        <v>411</v>
      </c>
      <c r="L388" s="28">
        <v>37</v>
      </c>
      <c r="M388" s="28">
        <v>61</v>
      </c>
      <c r="N388" s="7">
        <v>104</v>
      </c>
      <c r="O388" s="16">
        <f t="shared" ref="O388:O451" si="12">SUM(L388:N388)</f>
        <v>202</v>
      </c>
      <c r="P388" s="7">
        <v>613</v>
      </c>
      <c r="Q388" s="7">
        <v>52809.127000000008</v>
      </c>
      <c r="R388" s="7">
        <v>103182.58900000002</v>
      </c>
      <c r="S388" s="7">
        <v>104977.06799999998</v>
      </c>
      <c r="T388" s="7">
        <v>101234.12299999999</v>
      </c>
      <c r="U388" s="7">
        <v>88875.686999999976</v>
      </c>
      <c r="V388" s="7">
        <v>98078.281999999963</v>
      </c>
      <c r="W388" s="7">
        <v>101828.02499999999</v>
      </c>
      <c r="X388" s="16">
        <f>SUM(Q388:W388)</f>
        <v>650984.90099999995</v>
      </c>
      <c r="Y388" s="28">
        <v>63261.175999999992</v>
      </c>
      <c r="Z388" s="28">
        <v>36248.487000000008</v>
      </c>
      <c r="AA388" s="7">
        <v>17611.056999999997</v>
      </c>
      <c r="AB388" s="16">
        <f t="shared" ref="AB388:AB451" si="13">SUM(Y388:AA388)</f>
        <v>117120.72</v>
      </c>
      <c r="AC388" s="7">
        <v>768105.62099999993</v>
      </c>
      <c r="AD388" s="8">
        <v>1.7610592199337055E-3</v>
      </c>
      <c r="AE388" s="8">
        <v>3.3920451443605464E-4</v>
      </c>
      <c r="AF388" s="8">
        <v>3.9056148910541116E-4</v>
      </c>
      <c r="AG388" s="8">
        <v>7.1122263784514634E-4</v>
      </c>
      <c r="AH388" s="8">
        <v>6.5259692451097469E-4</v>
      </c>
      <c r="AI388" s="8">
        <v>6.7293185253795558E-4</v>
      </c>
      <c r="AJ388" s="8">
        <v>4.5174204252709414E-4</v>
      </c>
      <c r="AK388" s="8">
        <v>5.8487689195028567E-4</v>
      </c>
      <c r="AL388" s="8">
        <v>1.6828288584844931E-3</v>
      </c>
      <c r="AM388" s="8">
        <v>5.9053809206341228E-3</v>
      </c>
      <c r="AN388" s="8">
        <v>7.9806732725368255E-4</v>
      </c>
    </row>
    <row r="389" spans="1:40" x14ac:dyDescent="0.2">
      <c r="A389" t="s">
        <v>438</v>
      </c>
      <c r="B389">
        <v>2017</v>
      </c>
      <c r="C389" t="s">
        <v>447</v>
      </c>
      <c r="D389" s="7">
        <v>106</v>
      </c>
      <c r="E389" s="7">
        <v>46</v>
      </c>
      <c r="F389" s="7">
        <v>55</v>
      </c>
      <c r="G389" s="7">
        <v>46</v>
      </c>
      <c r="H389" s="7">
        <v>47</v>
      </c>
      <c r="I389" s="7">
        <v>41</v>
      </c>
      <c r="J389" s="7">
        <v>56</v>
      </c>
      <c r="K389" s="16">
        <f>SUM(D389:J389)</f>
        <v>397</v>
      </c>
      <c r="L389" s="28">
        <v>47</v>
      </c>
      <c r="M389" s="28">
        <v>48</v>
      </c>
      <c r="N389" s="7">
        <v>97</v>
      </c>
      <c r="O389" s="16">
        <f t="shared" si="12"/>
        <v>192</v>
      </c>
      <c r="P389" s="7">
        <v>589</v>
      </c>
      <c r="Q389" s="7">
        <v>59377</v>
      </c>
      <c r="R389" s="7">
        <v>120839</v>
      </c>
      <c r="S389" s="7">
        <v>121720</v>
      </c>
      <c r="T389" s="7">
        <v>116598</v>
      </c>
      <c r="U389" s="7">
        <v>105042</v>
      </c>
      <c r="V389" s="7">
        <v>109302</v>
      </c>
      <c r="W389" s="7">
        <v>118246</v>
      </c>
      <c r="X389" s="16">
        <f>SUM(Q389:W389)</f>
        <v>751124</v>
      </c>
      <c r="Y389" s="28">
        <v>79809</v>
      </c>
      <c r="Z389" s="28">
        <v>42592</v>
      </c>
      <c r="AA389" s="7">
        <v>19178</v>
      </c>
      <c r="AB389" s="16">
        <f t="shared" si="13"/>
        <v>141579</v>
      </c>
      <c r="AC389" s="7">
        <v>892703</v>
      </c>
      <c r="AD389" s="8">
        <v>1.7852030247402194E-3</v>
      </c>
      <c r="AE389" s="8">
        <v>3.8067180297751555E-4</v>
      </c>
      <c r="AF389" s="8">
        <v>4.51856720341768E-4</v>
      </c>
      <c r="AG389" s="8">
        <v>3.9451791625928404E-4</v>
      </c>
      <c r="AH389" s="8">
        <v>4.4744007159041145E-4</v>
      </c>
      <c r="AI389" s="8">
        <v>3.7510750032021371E-4</v>
      </c>
      <c r="AJ389" s="8">
        <v>4.735889586117078E-4</v>
      </c>
      <c r="AK389" s="8">
        <v>5.8890601310629127E-4</v>
      </c>
      <c r="AL389" s="8">
        <v>1.1269722013523666E-3</v>
      </c>
      <c r="AM389" s="8">
        <v>5.0578788194806552E-3</v>
      </c>
      <c r="AN389" s="8">
        <v>6.5979390682007345E-4</v>
      </c>
    </row>
    <row r="390" spans="1:40" x14ac:dyDescent="0.2">
      <c r="A390" t="s">
        <v>448</v>
      </c>
      <c r="B390">
        <v>2009</v>
      </c>
      <c r="C390" t="s">
        <v>449</v>
      </c>
      <c r="D390" s="7">
        <v>105</v>
      </c>
      <c r="E390" s="7">
        <v>53</v>
      </c>
      <c r="F390" s="7">
        <v>53</v>
      </c>
      <c r="G390" s="7">
        <v>53</v>
      </c>
      <c r="H390" s="7">
        <v>57</v>
      </c>
      <c r="I390" s="7">
        <v>59</v>
      </c>
      <c r="J390" s="7">
        <v>132</v>
      </c>
      <c r="K390" s="16">
        <f>SUM(D390:J390)</f>
        <v>512</v>
      </c>
      <c r="L390" s="28">
        <v>164</v>
      </c>
      <c r="M390" s="28">
        <v>378</v>
      </c>
      <c r="N390" s="7">
        <v>554</v>
      </c>
      <c r="O390" s="16">
        <f t="shared" si="12"/>
        <v>1096</v>
      </c>
      <c r="P390" s="7">
        <v>1608</v>
      </c>
      <c r="Q390" s="7">
        <v>405972.66799999995</v>
      </c>
      <c r="R390" s="7">
        <v>795174.43799999962</v>
      </c>
      <c r="S390" s="7">
        <v>815508.31900000002</v>
      </c>
      <c r="T390" s="7">
        <v>820092.1050000001</v>
      </c>
      <c r="U390" s="7">
        <v>861006.35999999987</v>
      </c>
      <c r="V390" s="7">
        <v>879131.15100000007</v>
      </c>
      <c r="W390" s="7">
        <v>696165.50699999987</v>
      </c>
      <c r="X390" s="16">
        <f>SUM(Q390:W390)</f>
        <v>5273050.5479999995</v>
      </c>
      <c r="Y390" s="28">
        <v>426953.42300000018</v>
      </c>
      <c r="Z390" s="28">
        <v>262068.78400000001</v>
      </c>
      <c r="AA390" s="7">
        <v>94521.242999999973</v>
      </c>
      <c r="AB390" s="16">
        <f t="shared" si="13"/>
        <v>783543.45000000019</v>
      </c>
      <c r="AC390" s="7">
        <v>6056593.9979999997</v>
      </c>
      <c r="AD390" s="8">
        <v>2.5863810122310997E-4</v>
      </c>
      <c r="AE390" s="8">
        <v>6.6652041951076942E-5</v>
      </c>
      <c r="AF390" s="8">
        <v>6.4990140217073615E-5</v>
      </c>
      <c r="AG390" s="8">
        <v>6.4626887244573575E-5</v>
      </c>
      <c r="AH390" s="8">
        <v>6.6201601577019724E-5</v>
      </c>
      <c r="AI390" s="8">
        <v>6.7111715849095185E-5</v>
      </c>
      <c r="AJ390" s="8">
        <v>1.8961008362627772E-4</v>
      </c>
      <c r="AK390" s="8">
        <v>3.8411684077305062E-4</v>
      </c>
      <c r="AL390" s="8">
        <v>1.4423694200832403E-3</v>
      </c>
      <c r="AM390" s="8">
        <v>5.8611163206984083E-3</v>
      </c>
      <c r="AN390" s="8">
        <v>2.6549575562287843E-4</v>
      </c>
    </row>
    <row r="391" spans="1:40" x14ac:dyDescent="0.2">
      <c r="A391" t="s">
        <v>448</v>
      </c>
      <c r="B391">
        <v>2010</v>
      </c>
      <c r="C391" t="s">
        <v>450</v>
      </c>
      <c r="D391" s="7">
        <v>120</v>
      </c>
      <c r="E391" s="7">
        <v>70</v>
      </c>
      <c r="F391" s="7">
        <v>60</v>
      </c>
      <c r="G391" s="7">
        <v>67</v>
      </c>
      <c r="H391" s="7">
        <v>62</v>
      </c>
      <c r="I391" s="7">
        <v>58</v>
      </c>
      <c r="J391" s="7">
        <v>127</v>
      </c>
      <c r="K391" s="16">
        <f>SUM(D391:J391)</f>
        <v>564</v>
      </c>
      <c r="L391" s="28">
        <v>209</v>
      </c>
      <c r="M391" s="28">
        <v>373</v>
      </c>
      <c r="N391" s="7">
        <v>535</v>
      </c>
      <c r="O391" s="16">
        <f t="shared" si="12"/>
        <v>1117</v>
      </c>
      <c r="P391" s="7">
        <v>1681</v>
      </c>
      <c r="Q391" s="7">
        <v>405224.66099999996</v>
      </c>
      <c r="R391" s="7">
        <v>830016.85199999972</v>
      </c>
      <c r="S391" s="7">
        <v>854012.89799999993</v>
      </c>
      <c r="T391" s="7">
        <v>822706.54499999981</v>
      </c>
      <c r="U391" s="7">
        <v>876685.22099999979</v>
      </c>
      <c r="V391" s="7">
        <v>913957.92600000021</v>
      </c>
      <c r="W391" s="7">
        <v>746007.66400000011</v>
      </c>
      <c r="X391" s="16">
        <f>SUM(Q391:W391)</f>
        <v>5448611.767</v>
      </c>
      <c r="Y391" s="28">
        <v>460381.03900000005</v>
      </c>
      <c r="Z391" s="28">
        <v>264383.554</v>
      </c>
      <c r="AA391" s="7">
        <v>95329.391000000018</v>
      </c>
      <c r="AB391" s="16">
        <f t="shared" si="13"/>
        <v>820093.98400000017</v>
      </c>
      <c r="AC391" s="7">
        <v>6268705.7509999992</v>
      </c>
      <c r="AD391" s="8">
        <v>2.9613202637733841E-4</v>
      </c>
      <c r="AE391" s="8">
        <v>8.4335637079330071E-5</v>
      </c>
      <c r="AF391" s="8">
        <v>7.0256550153414673E-5</v>
      </c>
      <c r="AG391" s="8">
        <v>8.1438515844066872E-5</v>
      </c>
      <c r="AH391" s="8">
        <v>7.0720936676996885E-5</v>
      </c>
      <c r="AI391" s="8">
        <v>6.3460251670272166E-5</v>
      </c>
      <c r="AJ391" s="8">
        <v>1.7023953791445227E-4</v>
      </c>
      <c r="AK391" s="8">
        <v>4.5397178053633956E-4</v>
      </c>
      <c r="AL391" s="8">
        <v>1.4108290563338141E-3</v>
      </c>
      <c r="AM391" s="8">
        <v>5.6121201907185147E-3</v>
      </c>
      <c r="AN391" s="8">
        <v>2.6815742623297365E-4</v>
      </c>
    </row>
    <row r="392" spans="1:40" x14ac:dyDescent="0.2">
      <c r="A392" t="s">
        <v>448</v>
      </c>
      <c r="B392">
        <v>2011</v>
      </c>
      <c r="C392" t="s">
        <v>451</v>
      </c>
      <c r="D392" s="7">
        <v>102</v>
      </c>
      <c r="E392" s="7">
        <v>51</v>
      </c>
      <c r="F392" s="7">
        <v>50</v>
      </c>
      <c r="G392" s="7">
        <v>51</v>
      </c>
      <c r="H392" s="7">
        <v>51</v>
      </c>
      <c r="I392" s="7">
        <v>73</v>
      </c>
      <c r="J392" s="7">
        <v>97</v>
      </c>
      <c r="K392" s="16">
        <f>SUM(D392:J392)</f>
        <v>475</v>
      </c>
      <c r="L392" s="28">
        <v>236</v>
      </c>
      <c r="M392" s="28">
        <v>406</v>
      </c>
      <c r="N392" s="7">
        <v>550</v>
      </c>
      <c r="O392" s="16">
        <f t="shared" si="12"/>
        <v>1192</v>
      </c>
      <c r="P392" s="7">
        <v>1667</v>
      </c>
      <c r="Q392" s="7">
        <v>410603.21800000023</v>
      </c>
      <c r="R392" s="7">
        <v>837694.1479999997</v>
      </c>
      <c r="S392" s="7">
        <v>864387.43499999971</v>
      </c>
      <c r="T392" s="7">
        <v>829296.53299999994</v>
      </c>
      <c r="U392" s="7">
        <v>870345.652</v>
      </c>
      <c r="V392" s="7">
        <v>919269.40000000026</v>
      </c>
      <c r="W392" s="7">
        <v>768296.71900000016</v>
      </c>
      <c r="X392" s="16">
        <f>SUM(Q392:W392)</f>
        <v>5499893.1050000004</v>
      </c>
      <c r="Y392" s="28">
        <v>474593.35200000025</v>
      </c>
      <c r="Z392" s="28">
        <v>267836.51400000002</v>
      </c>
      <c r="AA392" s="7">
        <v>98621.291999999987</v>
      </c>
      <c r="AB392" s="16">
        <f t="shared" si="13"/>
        <v>841051.15800000029</v>
      </c>
      <c r="AC392" s="7">
        <v>6340944.2630000012</v>
      </c>
      <c r="AD392" s="8">
        <v>2.484150038979966E-4</v>
      </c>
      <c r="AE392" s="8">
        <v>6.0881408950704547E-5</v>
      </c>
      <c r="AF392" s="8">
        <v>5.7844431762245616E-5</v>
      </c>
      <c r="AG392" s="8">
        <v>6.1497905719569681E-5</v>
      </c>
      <c r="AH392" s="8">
        <v>5.8597408837288014E-5</v>
      </c>
      <c r="AI392" s="8">
        <v>7.9410888690518771E-5</v>
      </c>
      <c r="AJ392" s="8">
        <v>1.2625330500728063E-4</v>
      </c>
      <c r="AK392" s="8">
        <v>4.9726781676452951E-4</v>
      </c>
      <c r="AL392" s="8">
        <v>1.5158500756173969E-3</v>
      </c>
      <c r="AM392" s="8">
        <v>5.5768890150009395E-3</v>
      </c>
      <c r="AN392" s="8">
        <v>2.6289459910996217E-4</v>
      </c>
    </row>
    <row r="393" spans="1:40" x14ac:dyDescent="0.2">
      <c r="A393" t="s">
        <v>448</v>
      </c>
      <c r="B393">
        <v>2012</v>
      </c>
      <c r="C393" t="s">
        <v>452</v>
      </c>
      <c r="D393" s="7">
        <v>127</v>
      </c>
      <c r="E393" s="7">
        <v>33</v>
      </c>
      <c r="F393" s="7">
        <v>50</v>
      </c>
      <c r="G393" s="7">
        <v>36</v>
      </c>
      <c r="H393" s="7">
        <v>62</v>
      </c>
      <c r="I393" s="7">
        <v>60</v>
      </c>
      <c r="J393" s="7">
        <v>126</v>
      </c>
      <c r="K393" s="16">
        <f>SUM(D393:J393)</f>
        <v>494</v>
      </c>
      <c r="L393" s="28">
        <v>214</v>
      </c>
      <c r="M393" s="28">
        <v>355</v>
      </c>
      <c r="N393" s="7">
        <v>630</v>
      </c>
      <c r="O393" s="16">
        <f t="shared" si="12"/>
        <v>1199</v>
      </c>
      <c r="P393" s="7">
        <v>1693</v>
      </c>
      <c r="Q393" s="7">
        <v>405201.67799999984</v>
      </c>
      <c r="R393" s="7">
        <v>831540.3139999999</v>
      </c>
      <c r="S393" s="7">
        <v>864447.7349999994</v>
      </c>
      <c r="T393" s="7">
        <v>824634.37399999984</v>
      </c>
      <c r="U393" s="7">
        <v>854745.59899999981</v>
      </c>
      <c r="V393" s="7">
        <v>914103.51400000032</v>
      </c>
      <c r="W393" s="7">
        <v>783965.92500000016</v>
      </c>
      <c r="X393" s="16">
        <f>SUM(Q393:W393)</f>
        <v>5478639.1389999986</v>
      </c>
      <c r="Y393" s="28">
        <v>488551.87399999995</v>
      </c>
      <c r="Z393" s="28">
        <v>267612.79799999995</v>
      </c>
      <c r="AA393" s="7">
        <v>98936.495999999985</v>
      </c>
      <c r="AB393" s="16">
        <f t="shared" si="13"/>
        <v>855101.16799999983</v>
      </c>
      <c r="AC393" s="7">
        <v>6333740.3069999991</v>
      </c>
      <c r="AD393" s="8">
        <v>3.1342417096308286E-4</v>
      </c>
      <c r="AE393" s="8">
        <v>3.9685388001525085E-5</v>
      </c>
      <c r="AF393" s="8">
        <v>5.7840396793913788E-5</v>
      </c>
      <c r="AG393" s="8">
        <v>4.3655711106701946E-5</v>
      </c>
      <c r="AH393" s="8">
        <v>7.2536202669585214E-5</v>
      </c>
      <c r="AI393" s="8">
        <v>6.5638080459233389E-5</v>
      </c>
      <c r="AJ393" s="8">
        <v>1.6072127114453346E-4</v>
      </c>
      <c r="AK393" s="8">
        <v>4.3802922757799106E-4</v>
      </c>
      <c r="AL393" s="8">
        <v>1.3265434338457912E-3</v>
      </c>
      <c r="AM393" s="8">
        <v>6.3677209671949581E-3</v>
      </c>
      <c r="AN393" s="8">
        <v>2.6729861313210299E-4</v>
      </c>
    </row>
    <row r="394" spans="1:40" x14ac:dyDescent="0.2">
      <c r="A394" t="s">
        <v>448</v>
      </c>
      <c r="B394">
        <v>2013</v>
      </c>
      <c r="C394" t="s">
        <v>453</v>
      </c>
      <c r="D394" s="7">
        <v>96</v>
      </c>
      <c r="E394" s="7">
        <v>55</v>
      </c>
      <c r="F394" s="7">
        <v>47</v>
      </c>
      <c r="G394" s="7">
        <v>37</v>
      </c>
      <c r="H394" s="7">
        <v>59</v>
      </c>
      <c r="I394" s="7">
        <v>70</v>
      </c>
      <c r="J394" s="7">
        <v>150</v>
      </c>
      <c r="K394" s="16">
        <f>SUM(D394:J394)</f>
        <v>514</v>
      </c>
      <c r="L394" s="28">
        <v>249</v>
      </c>
      <c r="M394" s="28">
        <v>411</v>
      </c>
      <c r="N394" s="7">
        <v>597</v>
      </c>
      <c r="O394" s="16">
        <f t="shared" si="12"/>
        <v>1257</v>
      </c>
      <c r="P394" s="7">
        <v>1771</v>
      </c>
      <c r="Q394" s="7">
        <v>390066.82400000002</v>
      </c>
      <c r="R394" s="7">
        <v>804215.81599999999</v>
      </c>
      <c r="S394" s="7">
        <v>857793.94100000011</v>
      </c>
      <c r="T394" s="7">
        <v>808226.48400000017</v>
      </c>
      <c r="U394" s="7">
        <v>819600.277</v>
      </c>
      <c r="V394" s="7">
        <v>879521.45599999989</v>
      </c>
      <c r="W394" s="7">
        <v>774237.23200000008</v>
      </c>
      <c r="X394" s="16">
        <f>SUM(Q394:W394)</f>
        <v>5333662.03</v>
      </c>
      <c r="Y394" s="28">
        <v>489886.72199999989</v>
      </c>
      <c r="Z394" s="28">
        <v>263208.22600000002</v>
      </c>
      <c r="AA394" s="7">
        <v>98276.160999999993</v>
      </c>
      <c r="AB394" s="16">
        <f t="shared" si="13"/>
        <v>851371.10899999982</v>
      </c>
      <c r="AC394" s="7">
        <v>6185033.1390000004</v>
      </c>
      <c r="AD394" s="8">
        <v>2.4611167649571755E-4</v>
      </c>
      <c r="AE394" s="8">
        <v>6.8389602524305485E-5</v>
      </c>
      <c r="AF394" s="8">
        <v>5.479171366634775E-5</v>
      </c>
      <c r="AG394" s="8">
        <v>4.5779247194280253E-5</v>
      </c>
      <c r="AH394" s="8">
        <v>7.1986310468267453E-5</v>
      </c>
      <c r="AI394" s="8">
        <v>7.9588734899492902E-5</v>
      </c>
      <c r="AJ394" s="8">
        <v>1.9373906833764873E-4</v>
      </c>
      <c r="AK394" s="8">
        <v>5.0828076944694177E-4</v>
      </c>
      <c r="AL394" s="8">
        <v>1.5615013491257677E-3</v>
      </c>
      <c r="AM394" s="8">
        <v>6.0747183643040355E-3</v>
      </c>
      <c r="AN394" s="8">
        <v>2.8633638012913481E-4</v>
      </c>
    </row>
    <row r="395" spans="1:40" x14ac:dyDescent="0.2">
      <c r="A395" t="s">
        <v>448</v>
      </c>
      <c r="B395">
        <v>2014</v>
      </c>
      <c r="C395" t="s">
        <v>454</v>
      </c>
      <c r="D395" s="7">
        <v>104</v>
      </c>
      <c r="E395" s="7">
        <v>53</v>
      </c>
      <c r="F395" s="7">
        <v>49</v>
      </c>
      <c r="G395" s="7">
        <v>43</v>
      </c>
      <c r="H395" s="7">
        <v>73</v>
      </c>
      <c r="I395" s="7">
        <v>92</v>
      </c>
      <c r="J395" s="7">
        <v>173</v>
      </c>
      <c r="K395" s="16">
        <f>SUM(D395:J395)</f>
        <v>587</v>
      </c>
      <c r="L395" s="28">
        <v>257</v>
      </c>
      <c r="M395" s="28">
        <v>409</v>
      </c>
      <c r="N395" s="7">
        <v>582</v>
      </c>
      <c r="O395" s="16">
        <f t="shared" si="12"/>
        <v>1248</v>
      </c>
      <c r="P395" s="7">
        <v>1835</v>
      </c>
      <c r="Q395" s="7">
        <v>407946.527</v>
      </c>
      <c r="R395" s="7">
        <v>847750.86999999988</v>
      </c>
      <c r="S395" s="7">
        <v>885144.30299999984</v>
      </c>
      <c r="T395" s="7">
        <v>847093.72900000005</v>
      </c>
      <c r="U395" s="7">
        <v>848296.13799999992</v>
      </c>
      <c r="V395" s="7">
        <v>911845.54299999995</v>
      </c>
      <c r="W395" s="7">
        <v>825409.06199999992</v>
      </c>
      <c r="X395" s="16">
        <f>SUM(Q395:W395)</f>
        <v>5573486.1719999993</v>
      </c>
      <c r="Y395" s="28">
        <v>542648.28900000011</v>
      </c>
      <c r="Z395" s="28">
        <v>289910.95000000007</v>
      </c>
      <c r="AA395" s="7">
        <v>108793.857</v>
      </c>
      <c r="AB395" s="16">
        <f t="shared" si="13"/>
        <v>941353.09600000014</v>
      </c>
      <c r="AC395" s="7">
        <v>6514839.2679999992</v>
      </c>
      <c r="AD395" s="8">
        <v>2.5493537293920878E-4</v>
      </c>
      <c r="AE395" s="8">
        <v>6.2518366982035662E-5</v>
      </c>
      <c r="AF395" s="8">
        <v>5.5358205248483656E-5</v>
      </c>
      <c r="AG395" s="8">
        <v>5.0761797104509077E-5</v>
      </c>
      <c r="AH395" s="8">
        <v>8.6054853641217459E-5</v>
      </c>
      <c r="AI395" s="8">
        <v>1.0089428051303202E-4</v>
      </c>
      <c r="AJ395" s="8">
        <v>2.0959304660505412E-4</v>
      </c>
      <c r="AK395" s="8">
        <v>4.7360326238861492E-4</v>
      </c>
      <c r="AL395" s="8">
        <v>1.4107780337376007E-3</v>
      </c>
      <c r="AM395" s="8">
        <v>5.3495667498947115E-3</v>
      </c>
      <c r="AN395" s="8">
        <v>2.8166466193775026E-4</v>
      </c>
    </row>
    <row r="396" spans="1:40" x14ac:dyDescent="0.2">
      <c r="A396" t="s">
        <v>448</v>
      </c>
      <c r="B396">
        <v>2015</v>
      </c>
      <c r="C396" t="s">
        <v>455</v>
      </c>
      <c r="D396" s="7">
        <v>107</v>
      </c>
      <c r="E396" s="7">
        <v>43</v>
      </c>
      <c r="F396" s="7">
        <v>64</v>
      </c>
      <c r="G396" s="7">
        <v>35</v>
      </c>
      <c r="H396" s="7">
        <v>59</v>
      </c>
      <c r="I396" s="7">
        <v>89</v>
      </c>
      <c r="J396" s="7">
        <v>108</v>
      </c>
      <c r="K396" s="16">
        <f>SUM(D396:J396)</f>
        <v>505</v>
      </c>
      <c r="L396" s="28">
        <v>308</v>
      </c>
      <c r="M396" s="28">
        <v>485</v>
      </c>
      <c r="N396" s="7">
        <v>645</v>
      </c>
      <c r="O396" s="16">
        <f t="shared" si="12"/>
        <v>1438</v>
      </c>
      <c r="P396" s="7">
        <v>1943</v>
      </c>
      <c r="Q396" s="7">
        <v>400449.66000000003</v>
      </c>
      <c r="R396" s="7">
        <v>836348.94599999965</v>
      </c>
      <c r="S396" s="7">
        <v>872131.00999999966</v>
      </c>
      <c r="T396" s="7">
        <v>847675.4360000001</v>
      </c>
      <c r="U396" s="7">
        <v>837665.88500000001</v>
      </c>
      <c r="V396" s="7">
        <v>898668.44200000016</v>
      </c>
      <c r="W396" s="7">
        <v>830839.18700000003</v>
      </c>
      <c r="X396" s="16">
        <f>SUM(Q396:W396)</f>
        <v>5523778.5659999996</v>
      </c>
      <c r="Y396" s="28">
        <v>552916.42700000003</v>
      </c>
      <c r="Z396" s="28">
        <v>283530</v>
      </c>
      <c r="AA396" s="7">
        <v>106922.15199999997</v>
      </c>
      <c r="AB396" s="16">
        <f t="shared" si="13"/>
        <v>943368.57900000003</v>
      </c>
      <c r="AC396" s="7">
        <v>6467147.1449999996</v>
      </c>
      <c r="AD396" s="8">
        <v>2.6719962753870235E-4</v>
      </c>
      <c r="AE396" s="8">
        <v>5.141394654187801E-5</v>
      </c>
      <c r="AF396" s="8">
        <v>7.3383470219686402E-5</v>
      </c>
      <c r="AG396" s="8">
        <v>4.1289388029406096E-5</v>
      </c>
      <c r="AH396" s="8">
        <v>7.0433810253595319E-5</v>
      </c>
      <c r="AI396" s="8">
        <v>9.9035412662237433E-5</v>
      </c>
      <c r="AJ396" s="8">
        <v>1.2998905406708987E-4</v>
      </c>
      <c r="AK396" s="8">
        <v>5.5704620980631485E-4</v>
      </c>
      <c r="AL396" s="8">
        <v>1.7105773639473777E-3</v>
      </c>
      <c r="AM396" s="8">
        <v>6.0324262833767149E-3</v>
      </c>
      <c r="AN396" s="8">
        <v>3.0044159448300295E-4</v>
      </c>
    </row>
    <row r="397" spans="1:40" x14ac:dyDescent="0.2">
      <c r="A397" t="s">
        <v>448</v>
      </c>
      <c r="B397">
        <v>2016</v>
      </c>
      <c r="C397" t="s">
        <v>456</v>
      </c>
      <c r="D397" s="7">
        <v>97</v>
      </c>
      <c r="E397" s="7">
        <v>65</v>
      </c>
      <c r="F397" s="7">
        <v>60</v>
      </c>
      <c r="G397" s="7">
        <v>52</v>
      </c>
      <c r="H397" s="7">
        <v>65</v>
      </c>
      <c r="I397" s="7">
        <v>60</v>
      </c>
      <c r="J397" s="7">
        <v>187</v>
      </c>
      <c r="K397" s="16">
        <f>SUM(D397:J397)</f>
        <v>586</v>
      </c>
      <c r="L397" s="28">
        <v>281</v>
      </c>
      <c r="M397" s="28">
        <v>412</v>
      </c>
      <c r="N397" s="7">
        <v>519</v>
      </c>
      <c r="O397" s="16">
        <f t="shared" si="12"/>
        <v>1212</v>
      </c>
      <c r="P397" s="7">
        <v>1798</v>
      </c>
      <c r="Q397" s="7">
        <v>391701.37999999983</v>
      </c>
      <c r="R397" s="7">
        <v>816246.28700000001</v>
      </c>
      <c r="S397" s="7">
        <v>857368.25899999973</v>
      </c>
      <c r="T397" s="7">
        <v>838939.32199999993</v>
      </c>
      <c r="U397" s="7">
        <v>812439.92899999989</v>
      </c>
      <c r="V397" s="7">
        <v>868683.73300000012</v>
      </c>
      <c r="W397" s="7">
        <v>816612.11199999996</v>
      </c>
      <c r="X397" s="16">
        <f>SUM(Q397:W397)</f>
        <v>5401991.0219999999</v>
      </c>
      <c r="Y397" s="28">
        <v>561853.78300000005</v>
      </c>
      <c r="Z397" s="28">
        <v>281941.76699999999</v>
      </c>
      <c r="AA397" s="7">
        <v>104944.91300000002</v>
      </c>
      <c r="AB397" s="16">
        <f t="shared" si="13"/>
        <v>948740.46300000011</v>
      </c>
      <c r="AC397" s="7">
        <v>6350731.4849999994</v>
      </c>
      <c r="AD397" s="8">
        <v>2.4763762639794641E-4</v>
      </c>
      <c r="AE397" s="8">
        <v>7.9632827781549225E-5</v>
      </c>
      <c r="AF397" s="8">
        <v>6.9981597021076585E-5</v>
      </c>
      <c r="AG397" s="8">
        <v>6.1983028612884596E-5</v>
      </c>
      <c r="AH397" s="8">
        <v>8.0005915120402718E-5</v>
      </c>
      <c r="AI397" s="8">
        <v>6.9070016762936201E-5</v>
      </c>
      <c r="AJ397" s="8">
        <v>2.2899488906919372E-4</v>
      </c>
      <c r="AK397" s="8">
        <v>5.0013012015263046E-4</v>
      </c>
      <c r="AL397" s="8">
        <v>1.461294665149772E-3</v>
      </c>
      <c r="AM397" s="8">
        <v>4.9454517152251101E-3</v>
      </c>
      <c r="AN397" s="8">
        <v>2.8311699278213149E-4</v>
      </c>
    </row>
    <row r="398" spans="1:40" x14ac:dyDescent="0.2">
      <c r="A398" t="s">
        <v>448</v>
      </c>
      <c r="B398">
        <v>2017</v>
      </c>
      <c r="C398" t="s">
        <v>457</v>
      </c>
      <c r="D398" s="7">
        <v>92</v>
      </c>
      <c r="E398" s="7">
        <v>56</v>
      </c>
      <c r="F398" s="7">
        <v>66</v>
      </c>
      <c r="G398" s="7">
        <v>52</v>
      </c>
      <c r="H398" s="7">
        <v>66</v>
      </c>
      <c r="I398" s="7">
        <v>82</v>
      </c>
      <c r="J398" s="7">
        <v>169</v>
      </c>
      <c r="K398" s="16">
        <f>SUM(D398:J398)</f>
        <v>583</v>
      </c>
      <c r="L398" s="28">
        <v>337</v>
      </c>
      <c r="M398" s="28">
        <v>439</v>
      </c>
      <c r="N398" s="7">
        <v>545</v>
      </c>
      <c r="O398" s="16">
        <f t="shared" si="12"/>
        <v>1321</v>
      </c>
      <c r="P398" s="7">
        <v>1904</v>
      </c>
      <c r="Q398" s="7">
        <v>420176</v>
      </c>
      <c r="R398" s="7">
        <v>874939</v>
      </c>
      <c r="S398" s="7">
        <v>921170</v>
      </c>
      <c r="T398" s="7">
        <v>914686</v>
      </c>
      <c r="U398" s="7">
        <v>872935</v>
      </c>
      <c r="V398" s="7">
        <v>931694</v>
      </c>
      <c r="W398" s="7">
        <v>894819</v>
      </c>
      <c r="X398" s="16">
        <f>SUM(Q398:W398)</f>
        <v>5830419</v>
      </c>
      <c r="Y398" s="28">
        <v>630197</v>
      </c>
      <c r="Z398" s="28">
        <v>311698</v>
      </c>
      <c r="AA398" s="7">
        <v>117505</v>
      </c>
      <c r="AB398" s="16">
        <f t="shared" si="13"/>
        <v>1059400</v>
      </c>
      <c r="AC398" s="7">
        <v>6889819</v>
      </c>
      <c r="AD398" s="8">
        <v>2.1895586611324778E-4</v>
      </c>
      <c r="AE398" s="8">
        <v>6.4004462025352621E-5</v>
      </c>
      <c r="AF398" s="8">
        <v>7.1648012853219278E-5</v>
      </c>
      <c r="AG398" s="8">
        <v>5.685011031107943E-5</v>
      </c>
      <c r="AH398" s="8">
        <v>7.5607003957912106E-5</v>
      </c>
      <c r="AI398" s="8">
        <v>8.8011729172882944E-5</v>
      </c>
      <c r="AJ398" s="8">
        <v>1.8886501068931258E-4</v>
      </c>
      <c r="AK398" s="8">
        <v>5.3475341837552379E-4</v>
      </c>
      <c r="AL398" s="8">
        <v>1.4084145551142451E-3</v>
      </c>
      <c r="AM398" s="8">
        <v>4.6381005063614311E-3</v>
      </c>
      <c r="AN398" s="8">
        <v>2.7634978509595098E-4</v>
      </c>
    </row>
    <row r="399" spans="1:40" x14ac:dyDescent="0.2">
      <c r="A399" t="s">
        <v>458</v>
      </c>
      <c r="B399">
        <v>2009</v>
      </c>
      <c r="C399" t="s">
        <v>459</v>
      </c>
      <c r="D399" s="7">
        <v>116</v>
      </c>
      <c r="E399" s="7">
        <v>39</v>
      </c>
      <c r="F399" s="7">
        <v>50</v>
      </c>
      <c r="G399" s="7">
        <v>85</v>
      </c>
      <c r="H399" s="7">
        <v>118</v>
      </c>
      <c r="I399" s="7">
        <v>222</v>
      </c>
      <c r="J399" s="7">
        <v>317</v>
      </c>
      <c r="K399" s="16">
        <f>SUM(D399:J399)</f>
        <v>947</v>
      </c>
      <c r="L399" s="28">
        <v>415</v>
      </c>
      <c r="M399" s="28">
        <v>852</v>
      </c>
      <c r="N399" s="7">
        <v>1245</v>
      </c>
      <c r="O399" s="16">
        <f t="shared" si="12"/>
        <v>2512</v>
      </c>
      <c r="P399" s="7">
        <v>3459</v>
      </c>
      <c r="Q399" s="7">
        <v>1985625.7340000004</v>
      </c>
      <c r="R399" s="7">
        <v>3566777.6169999987</v>
      </c>
      <c r="S399" s="7">
        <v>3508389.5350000006</v>
      </c>
      <c r="T399" s="7">
        <v>3482930.1059999992</v>
      </c>
      <c r="U399" s="7">
        <v>3379838.4699999974</v>
      </c>
      <c r="V399" s="7">
        <v>3189718.6149999988</v>
      </c>
      <c r="W399" s="7">
        <v>2232492.8169999989</v>
      </c>
      <c r="X399" s="16">
        <f>SUM(Q399:W399)</f>
        <v>21345772.893999994</v>
      </c>
      <c r="Y399" s="28">
        <v>1285094.737999999</v>
      </c>
      <c r="Z399" s="28">
        <v>809215.82099999965</v>
      </c>
      <c r="AA399" s="7">
        <v>293159.61399999988</v>
      </c>
      <c r="AB399" s="16">
        <f t="shared" si="13"/>
        <v>2387470.1729999986</v>
      </c>
      <c r="AC399" s="7">
        <v>23733243.06699999</v>
      </c>
      <c r="AD399" s="8">
        <v>5.84198713854904E-5</v>
      </c>
      <c r="AE399" s="8">
        <v>1.0934239301636846E-5</v>
      </c>
      <c r="AF399" s="8">
        <v>1.4251553170249662E-5</v>
      </c>
      <c r="AG399" s="8">
        <v>2.4404738944824528E-5</v>
      </c>
      <c r="AH399" s="8">
        <v>3.4912911089505435E-5</v>
      </c>
      <c r="AI399" s="8">
        <v>6.9598615676010059E-5</v>
      </c>
      <c r="AJ399" s="8">
        <v>1.4199373793550717E-4</v>
      </c>
      <c r="AK399" s="8">
        <v>3.2293338983386324E-4</v>
      </c>
      <c r="AL399" s="8">
        <v>1.0528711598188098E-3</v>
      </c>
      <c r="AM399" s="8">
        <v>4.2468332626471551E-3</v>
      </c>
      <c r="AN399" s="8">
        <v>1.4574493634245816E-4</v>
      </c>
    </row>
    <row r="400" spans="1:40" x14ac:dyDescent="0.2">
      <c r="A400" t="s">
        <v>458</v>
      </c>
      <c r="B400">
        <v>2010</v>
      </c>
      <c r="C400" t="s">
        <v>460</v>
      </c>
      <c r="D400" s="7">
        <v>97</v>
      </c>
      <c r="E400" s="7">
        <v>64</v>
      </c>
      <c r="F400" s="7">
        <v>44</v>
      </c>
      <c r="G400" s="7">
        <v>53</v>
      </c>
      <c r="H400" s="7">
        <v>82</v>
      </c>
      <c r="I400" s="7">
        <v>145</v>
      </c>
      <c r="J400" s="7">
        <v>266</v>
      </c>
      <c r="K400" s="16">
        <f>SUM(D400:J400)</f>
        <v>751</v>
      </c>
      <c r="L400" s="28">
        <v>390</v>
      </c>
      <c r="M400" s="28">
        <v>826</v>
      </c>
      <c r="N400" s="7">
        <v>1219</v>
      </c>
      <c r="O400" s="16">
        <f t="shared" si="12"/>
        <v>2435</v>
      </c>
      <c r="P400" s="7">
        <v>3186</v>
      </c>
      <c r="Q400" s="7">
        <v>1895620.4740000002</v>
      </c>
      <c r="R400" s="7">
        <v>3641491.3590000034</v>
      </c>
      <c r="S400" s="7">
        <v>3609520.675999999</v>
      </c>
      <c r="T400" s="7">
        <v>3465989.0809999974</v>
      </c>
      <c r="U400" s="7">
        <v>3414624.5640000012</v>
      </c>
      <c r="V400" s="7">
        <v>3306800.4679999999</v>
      </c>
      <c r="W400" s="7">
        <v>2388891.4879999999</v>
      </c>
      <c r="X400" s="16">
        <f>SUM(Q400:W400)</f>
        <v>21722938.109999999</v>
      </c>
      <c r="Y400" s="28">
        <v>1366247.2309999997</v>
      </c>
      <c r="Z400" s="28">
        <v>796666.04900000023</v>
      </c>
      <c r="AA400" s="7">
        <v>289290.71200000006</v>
      </c>
      <c r="AB400" s="16">
        <f t="shared" si="13"/>
        <v>2452203.9919999996</v>
      </c>
      <c r="AC400" s="7">
        <v>24175142.101999998</v>
      </c>
      <c r="AD400" s="8">
        <v>5.1170580467153151E-5</v>
      </c>
      <c r="AE400" s="8">
        <v>1.7575216769860786E-5</v>
      </c>
      <c r="AF400" s="8">
        <v>1.2189984197225862E-5</v>
      </c>
      <c r="AG400" s="8">
        <v>1.5291450365651063E-5</v>
      </c>
      <c r="AH400" s="8">
        <v>2.4014353104735637E-5</v>
      </c>
      <c r="AI400" s="8">
        <v>4.3849032139425717E-5</v>
      </c>
      <c r="AJ400" s="8">
        <v>1.1134871606189926E-4</v>
      </c>
      <c r="AK400" s="8">
        <v>2.8545346050915443E-4</v>
      </c>
      <c r="AL400" s="8">
        <v>1.0368208875435581E-3</v>
      </c>
      <c r="AM400" s="8">
        <v>4.2137543634653569E-3</v>
      </c>
      <c r="AN400" s="8">
        <v>1.3178826360389517E-4</v>
      </c>
    </row>
    <row r="401" spans="1:40" x14ac:dyDescent="0.2">
      <c r="A401" t="s">
        <v>458</v>
      </c>
      <c r="B401">
        <v>2011</v>
      </c>
      <c r="C401" t="s">
        <v>461</v>
      </c>
      <c r="D401" s="7">
        <v>95</v>
      </c>
      <c r="E401" s="7">
        <v>60</v>
      </c>
      <c r="F401" s="7">
        <v>55</v>
      </c>
      <c r="G401" s="7">
        <v>51</v>
      </c>
      <c r="H401" s="7">
        <v>67</v>
      </c>
      <c r="I401" s="7">
        <v>135</v>
      </c>
      <c r="J401" s="7">
        <v>280</v>
      </c>
      <c r="K401" s="16">
        <f>SUM(D401:J401)</f>
        <v>743</v>
      </c>
      <c r="L401" s="28">
        <v>405</v>
      </c>
      <c r="M401" s="28">
        <v>803</v>
      </c>
      <c r="N401" s="7">
        <v>1265</v>
      </c>
      <c r="O401" s="16">
        <f t="shared" si="12"/>
        <v>2473</v>
      </c>
      <c r="P401" s="7">
        <v>3216</v>
      </c>
      <c r="Q401" s="7">
        <v>1924913.1259999988</v>
      </c>
      <c r="R401" s="7">
        <v>3733148.7680000025</v>
      </c>
      <c r="S401" s="7">
        <v>3682627.9380000019</v>
      </c>
      <c r="T401" s="7">
        <v>3555937.4959999989</v>
      </c>
      <c r="U401" s="7">
        <v>3458491.4709999999</v>
      </c>
      <c r="V401" s="7">
        <v>3387215.0599999977</v>
      </c>
      <c r="W401" s="7">
        <v>2518834.6079999991</v>
      </c>
      <c r="X401" s="16">
        <f>SUM(Q401:W401)</f>
        <v>22261168.467</v>
      </c>
      <c r="Y401" s="28">
        <v>1436207.670999998</v>
      </c>
      <c r="Z401" s="28">
        <v>815470.04899999988</v>
      </c>
      <c r="AA401" s="7">
        <v>302246.83400000003</v>
      </c>
      <c r="AB401" s="16">
        <f t="shared" si="13"/>
        <v>2553924.5539999977</v>
      </c>
      <c r="AC401" s="7">
        <v>24815093.020999994</v>
      </c>
      <c r="AD401" s="8">
        <v>4.9352876613923647E-5</v>
      </c>
      <c r="AE401" s="8">
        <v>1.6072223136219779E-5</v>
      </c>
      <c r="AF401" s="8">
        <v>1.4934986896848978E-5</v>
      </c>
      <c r="AG401" s="8">
        <v>1.4342209349115066E-5</v>
      </c>
      <c r="AH401" s="8">
        <v>1.9372608133287485E-5</v>
      </c>
      <c r="AI401" s="8">
        <v>3.9855750995627689E-5</v>
      </c>
      <c r="AJ401" s="8">
        <v>1.1116251901204626E-4</v>
      </c>
      <c r="AK401" s="8">
        <v>2.819926450594766E-4</v>
      </c>
      <c r="AL401" s="8">
        <v>9.8470814591499508E-4</v>
      </c>
      <c r="AM401" s="8">
        <v>4.1853209287876277E-3</v>
      </c>
      <c r="AN401" s="8">
        <v>1.295985470325834E-4</v>
      </c>
    </row>
    <row r="402" spans="1:40" x14ac:dyDescent="0.2">
      <c r="A402" t="s">
        <v>458</v>
      </c>
      <c r="B402">
        <v>2012</v>
      </c>
      <c r="C402" t="s">
        <v>462</v>
      </c>
      <c r="D402" s="7">
        <v>99</v>
      </c>
      <c r="E402" s="7">
        <v>37</v>
      </c>
      <c r="F402" s="7">
        <v>63</v>
      </c>
      <c r="G402" s="7">
        <v>42</v>
      </c>
      <c r="H402" s="7">
        <v>74</v>
      </c>
      <c r="I402" s="7">
        <v>125</v>
      </c>
      <c r="J402" s="7">
        <v>253</v>
      </c>
      <c r="K402" s="16">
        <f>SUM(D402:J402)</f>
        <v>693</v>
      </c>
      <c r="L402" s="28">
        <v>440</v>
      </c>
      <c r="M402" s="28">
        <v>784</v>
      </c>
      <c r="N402" s="7">
        <v>1211</v>
      </c>
      <c r="O402" s="16">
        <f t="shared" si="12"/>
        <v>2435</v>
      </c>
      <c r="P402" s="7">
        <v>3128</v>
      </c>
      <c r="Q402" s="7">
        <v>1914320.7790000006</v>
      </c>
      <c r="R402" s="7">
        <v>3763085.0730000003</v>
      </c>
      <c r="S402" s="7">
        <v>3694811.7749999994</v>
      </c>
      <c r="T402" s="7">
        <v>3600543.3080000021</v>
      </c>
      <c r="U402" s="7">
        <v>3454687.9779999978</v>
      </c>
      <c r="V402" s="7">
        <v>3392555.4999999986</v>
      </c>
      <c r="W402" s="7">
        <v>2598309.8310000002</v>
      </c>
      <c r="X402" s="16">
        <f>SUM(Q402:W402)</f>
        <v>22418314.243999999</v>
      </c>
      <c r="Y402" s="28">
        <v>1486837.0019999994</v>
      </c>
      <c r="Z402" s="28">
        <v>822902.7589999995</v>
      </c>
      <c r="AA402" s="7">
        <v>312120.07299999992</v>
      </c>
      <c r="AB402" s="16">
        <f t="shared" si="13"/>
        <v>2621859.8339999989</v>
      </c>
      <c r="AC402" s="7">
        <v>25040174.077999998</v>
      </c>
      <c r="AD402" s="8">
        <v>5.1715470618103741E-5</v>
      </c>
      <c r="AE402" s="8">
        <v>9.8323581003984385E-6</v>
      </c>
      <c r="AF402" s="8">
        <v>1.7050936241535607E-5</v>
      </c>
      <c r="AG402" s="8">
        <v>1.1664906211982154E-5</v>
      </c>
      <c r="AH402" s="8">
        <v>2.1420168904179991E-5</v>
      </c>
      <c r="AI402" s="8">
        <v>3.6845381011452888E-5</v>
      </c>
      <c r="AJ402" s="8">
        <v>9.7370989780163738E-5</v>
      </c>
      <c r="AK402" s="8">
        <v>2.9593021925613887E-4</v>
      </c>
      <c r="AL402" s="8">
        <v>9.5272496224550935E-4</v>
      </c>
      <c r="AM402" s="8">
        <v>3.879917072811912E-3</v>
      </c>
      <c r="AN402" s="8">
        <v>1.2491925935723521E-4</v>
      </c>
    </row>
    <row r="403" spans="1:40" x14ac:dyDescent="0.2">
      <c r="A403" t="s">
        <v>458</v>
      </c>
      <c r="B403">
        <v>2013</v>
      </c>
      <c r="C403" t="s">
        <v>463</v>
      </c>
      <c r="D403" s="7">
        <v>125</v>
      </c>
      <c r="E403" s="7">
        <v>51</v>
      </c>
      <c r="F403" s="7">
        <v>58</v>
      </c>
      <c r="G403" s="7">
        <v>61</v>
      </c>
      <c r="H403" s="7">
        <v>83</v>
      </c>
      <c r="I403" s="7">
        <v>186</v>
      </c>
      <c r="J403" s="7">
        <v>365</v>
      </c>
      <c r="K403" s="16">
        <f>SUM(D403:J403)</f>
        <v>929</v>
      </c>
      <c r="L403" s="28">
        <v>490</v>
      </c>
      <c r="M403" s="28">
        <v>841</v>
      </c>
      <c r="N403" s="7">
        <v>1277</v>
      </c>
      <c r="O403" s="16">
        <f t="shared" si="12"/>
        <v>2608</v>
      </c>
      <c r="P403" s="7">
        <v>3537</v>
      </c>
      <c r="Q403" s="7">
        <v>1935820.7289999989</v>
      </c>
      <c r="R403" s="7">
        <v>3862721.597000001</v>
      </c>
      <c r="S403" s="7">
        <v>3768454.8230000013</v>
      </c>
      <c r="T403" s="7">
        <v>3689711.0820000041</v>
      </c>
      <c r="U403" s="7">
        <v>3515056.0790000004</v>
      </c>
      <c r="V403" s="7">
        <v>3444028.4460000014</v>
      </c>
      <c r="W403" s="7">
        <v>2715331.6399999987</v>
      </c>
      <c r="X403" s="16">
        <f>SUM(Q403:W403)</f>
        <v>22931124.396000005</v>
      </c>
      <c r="Y403" s="28">
        <v>1573989.3889999986</v>
      </c>
      <c r="Z403" s="28">
        <v>851795.47700000065</v>
      </c>
      <c r="AA403" s="7">
        <v>323943.87600000005</v>
      </c>
      <c r="AB403" s="16">
        <f t="shared" si="13"/>
        <v>2749728.7419999996</v>
      </c>
      <c r="AC403" s="7">
        <v>25680853.138000004</v>
      </c>
      <c r="AD403" s="8">
        <v>6.4572094991756897E-5</v>
      </c>
      <c r="AE403" s="8">
        <v>1.3203126013432955E-5</v>
      </c>
      <c r="AF403" s="8">
        <v>1.539092352812849E-5</v>
      </c>
      <c r="AG403" s="8">
        <v>1.6532459762929463E-5</v>
      </c>
      <c r="AH403" s="8">
        <v>2.361271004917017E-5</v>
      </c>
      <c r="AI403" s="8">
        <v>5.4006522569819656E-5</v>
      </c>
      <c r="AJ403" s="8">
        <v>1.3442188593950174E-4</v>
      </c>
      <c r="AK403" s="8">
        <v>3.1131086614968309E-4</v>
      </c>
      <c r="AL403" s="8">
        <v>9.8732620999817701E-4</v>
      </c>
      <c r="AM403" s="8">
        <v>3.9420408737716028E-3</v>
      </c>
      <c r="AN403" s="8">
        <v>1.3772906924055007E-4</v>
      </c>
    </row>
    <row r="404" spans="1:40" x14ac:dyDescent="0.2">
      <c r="A404" t="s">
        <v>458</v>
      </c>
      <c r="B404">
        <v>2014</v>
      </c>
      <c r="C404" t="s">
        <v>464</v>
      </c>
      <c r="D404" s="7">
        <v>108</v>
      </c>
      <c r="E404" s="7">
        <v>46</v>
      </c>
      <c r="F404" s="7">
        <v>48</v>
      </c>
      <c r="G404" s="7">
        <v>91</v>
      </c>
      <c r="H404" s="7">
        <v>111</v>
      </c>
      <c r="I404" s="7">
        <v>203</v>
      </c>
      <c r="J404" s="7">
        <v>458</v>
      </c>
      <c r="K404" s="16">
        <f>SUM(D404:J404)</f>
        <v>1065</v>
      </c>
      <c r="L404" s="28">
        <v>533</v>
      </c>
      <c r="M404" s="28">
        <v>829</v>
      </c>
      <c r="N404" s="7">
        <v>1190</v>
      </c>
      <c r="O404" s="16">
        <f t="shared" si="12"/>
        <v>2552</v>
      </c>
      <c r="P404" s="7">
        <v>3617</v>
      </c>
      <c r="Q404" s="7">
        <v>1933816.064</v>
      </c>
      <c r="R404" s="7">
        <v>3902246.302999997</v>
      </c>
      <c r="S404" s="7">
        <v>3797501.5940000005</v>
      </c>
      <c r="T404" s="7">
        <v>3756948.0820000004</v>
      </c>
      <c r="U404" s="7">
        <v>3546395.046999997</v>
      </c>
      <c r="V404" s="7">
        <v>3447274.1000000015</v>
      </c>
      <c r="W404" s="7">
        <v>2795286.0599999996</v>
      </c>
      <c r="X404" s="16">
        <f>SUM(Q404:W404)</f>
        <v>23179467.249999996</v>
      </c>
      <c r="Y404" s="28">
        <v>1640312.9579999996</v>
      </c>
      <c r="Z404" s="28">
        <v>867255.90099999995</v>
      </c>
      <c r="AA404" s="7">
        <v>331829.67</v>
      </c>
      <c r="AB404" s="16">
        <f t="shared" si="13"/>
        <v>2839398.5289999996</v>
      </c>
      <c r="AC404" s="7">
        <v>26018865.778999999</v>
      </c>
      <c r="AD404" s="8">
        <v>5.5848124343639746E-5</v>
      </c>
      <c r="AE404" s="8">
        <v>1.1788082152742586E-5</v>
      </c>
      <c r="AF404" s="8">
        <v>1.2639889361952956E-5</v>
      </c>
      <c r="AG404" s="8">
        <v>2.4221788008195314E-5</v>
      </c>
      <c r="AH404" s="8">
        <v>3.129938952906509E-5</v>
      </c>
      <c r="AI404" s="8">
        <v>5.888710735244404E-5</v>
      </c>
      <c r="AJ404" s="8">
        <v>1.6384727364898033E-4</v>
      </c>
      <c r="AK404" s="8">
        <v>3.2493799271687525E-4</v>
      </c>
      <c r="AL404" s="8">
        <v>9.5588856650512439E-4</v>
      </c>
      <c r="AM404" s="8">
        <v>3.5861772095304198E-3</v>
      </c>
      <c r="AN404" s="8">
        <v>1.3901451472643765E-4</v>
      </c>
    </row>
    <row r="405" spans="1:40" x14ac:dyDescent="0.2">
      <c r="A405" t="s">
        <v>458</v>
      </c>
      <c r="B405">
        <v>2015</v>
      </c>
      <c r="C405" t="s">
        <v>465</v>
      </c>
      <c r="D405" s="7">
        <v>112</v>
      </c>
      <c r="E405" s="7">
        <v>38</v>
      </c>
      <c r="F405" s="7">
        <v>62</v>
      </c>
      <c r="G405" s="7">
        <v>62</v>
      </c>
      <c r="H405" s="7">
        <v>65</v>
      </c>
      <c r="I405" s="7">
        <v>161</v>
      </c>
      <c r="J405" s="7">
        <v>318</v>
      </c>
      <c r="K405" s="16">
        <f>SUM(D405:J405)</f>
        <v>818</v>
      </c>
      <c r="L405" s="28">
        <v>496</v>
      </c>
      <c r="M405" s="28">
        <v>826</v>
      </c>
      <c r="N405" s="7">
        <v>1253</v>
      </c>
      <c r="O405" s="16">
        <f t="shared" si="12"/>
        <v>2575</v>
      </c>
      <c r="P405" s="7">
        <v>3393</v>
      </c>
      <c r="Q405" s="7">
        <v>1916586.6740000015</v>
      </c>
      <c r="R405" s="7">
        <v>3885681.7449999982</v>
      </c>
      <c r="S405" s="7">
        <v>3804172.3629999985</v>
      </c>
      <c r="T405" s="7">
        <v>3768801.7449999982</v>
      </c>
      <c r="U405" s="7">
        <v>3538066.8300000019</v>
      </c>
      <c r="V405" s="7">
        <v>3400375.6400000011</v>
      </c>
      <c r="W405" s="7">
        <v>2839062.5380000006</v>
      </c>
      <c r="X405" s="16">
        <f>SUM(Q405:W405)</f>
        <v>23152747.534999996</v>
      </c>
      <c r="Y405" s="28">
        <v>1700907.1150000002</v>
      </c>
      <c r="Z405" s="28">
        <v>874629.42699999921</v>
      </c>
      <c r="AA405" s="7">
        <v>334921.24500000011</v>
      </c>
      <c r="AB405" s="16">
        <f t="shared" si="13"/>
        <v>2910457.7869999995</v>
      </c>
      <c r="AC405" s="7">
        <v>26063205.322000001</v>
      </c>
      <c r="AD405" s="8">
        <v>5.8437221503920311E-5</v>
      </c>
      <c r="AE405" s="8">
        <v>9.7794936625722082E-6</v>
      </c>
      <c r="AF405" s="8">
        <v>1.6297894544164749E-5</v>
      </c>
      <c r="AG405" s="8">
        <v>1.6450852073143484E-5</v>
      </c>
      <c r="AH405" s="8">
        <v>1.8371614535048216E-5</v>
      </c>
      <c r="AI405" s="8">
        <v>4.7347710090053448E-5</v>
      </c>
      <c r="AJ405" s="8">
        <v>1.1200880422451614E-4</v>
      </c>
      <c r="AK405" s="8">
        <v>2.9160910412206722E-4</v>
      </c>
      <c r="AL405" s="8">
        <v>9.443999647178584E-4</v>
      </c>
      <c r="AM405" s="8">
        <v>3.7411780193280946E-3</v>
      </c>
      <c r="AN405" s="8">
        <v>1.3018352724006522E-4</v>
      </c>
    </row>
    <row r="406" spans="1:40" x14ac:dyDescent="0.2">
      <c r="A406" t="s">
        <v>458</v>
      </c>
      <c r="B406">
        <v>2016</v>
      </c>
      <c r="C406" t="s">
        <v>466</v>
      </c>
      <c r="D406" s="7">
        <v>115</v>
      </c>
      <c r="E406" s="7">
        <v>75</v>
      </c>
      <c r="F406" s="7">
        <v>37</v>
      </c>
      <c r="G406" s="7">
        <v>45</v>
      </c>
      <c r="H406" s="7">
        <v>84</v>
      </c>
      <c r="I406" s="7">
        <v>110</v>
      </c>
      <c r="J406" s="7">
        <v>320</v>
      </c>
      <c r="K406" s="16">
        <f>SUM(D406:J406)</f>
        <v>786</v>
      </c>
      <c r="L406" s="28">
        <v>518</v>
      </c>
      <c r="M406" s="28">
        <v>716</v>
      </c>
      <c r="N406" s="7">
        <v>1026</v>
      </c>
      <c r="O406" s="16">
        <f t="shared" si="12"/>
        <v>2260</v>
      </c>
      <c r="P406" s="7">
        <v>3046</v>
      </c>
      <c r="Q406" s="7">
        <v>1936654.3180000004</v>
      </c>
      <c r="R406" s="7">
        <v>3937365.8679999993</v>
      </c>
      <c r="S406" s="7">
        <v>3843164.1370000024</v>
      </c>
      <c r="T406" s="7">
        <v>3853360.4499999997</v>
      </c>
      <c r="U406" s="7">
        <v>3591032.81</v>
      </c>
      <c r="V406" s="7">
        <v>3417364.297999999</v>
      </c>
      <c r="W406" s="7">
        <v>2916420.4219999998</v>
      </c>
      <c r="X406" s="16">
        <f>SUM(Q406:W406)</f>
        <v>23495362.302999999</v>
      </c>
      <c r="Y406" s="28">
        <v>1799092.833000001</v>
      </c>
      <c r="Z406" s="28">
        <v>902832.27700000035</v>
      </c>
      <c r="AA406" s="7">
        <v>347125.95200000011</v>
      </c>
      <c r="AB406" s="16">
        <f t="shared" si="13"/>
        <v>3049051.0620000013</v>
      </c>
      <c r="AC406" s="7">
        <v>26544413.364999998</v>
      </c>
      <c r="AD406" s="8">
        <v>5.9380757283912957E-5</v>
      </c>
      <c r="AE406" s="8">
        <v>1.9048267932006163E-5</v>
      </c>
      <c r="AF406" s="8">
        <v>9.6274836777807845E-6</v>
      </c>
      <c r="AG406" s="8">
        <v>1.1678118510818266E-5</v>
      </c>
      <c r="AH406" s="8">
        <v>2.33915991427547E-5</v>
      </c>
      <c r="AI406" s="8">
        <v>3.2188549539297616E-5</v>
      </c>
      <c r="AJ406" s="8">
        <v>1.0972354931616922E-4</v>
      </c>
      <c r="AK406" s="8">
        <v>2.8792288563355068E-4</v>
      </c>
      <c r="AL406" s="8">
        <v>7.9305981657986258E-4</v>
      </c>
      <c r="AM406" s="8">
        <v>2.9556994920391308E-3</v>
      </c>
      <c r="AN406" s="8">
        <v>1.1475107617244568E-4</v>
      </c>
    </row>
    <row r="407" spans="1:40" x14ac:dyDescent="0.2">
      <c r="A407" t="s">
        <v>458</v>
      </c>
      <c r="B407">
        <v>2017</v>
      </c>
      <c r="C407" t="s">
        <v>467</v>
      </c>
      <c r="D407" s="7">
        <v>118</v>
      </c>
      <c r="E407" s="7">
        <v>57</v>
      </c>
      <c r="F407" s="7">
        <v>39</v>
      </c>
      <c r="G407" s="7">
        <v>56</v>
      </c>
      <c r="H407" s="7">
        <v>62</v>
      </c>
      <c r="I407" s="7">
        <v>168</v>
      </c>
      <c r="J407" s="7">
        <v>326</v>
      </c>
      <c r="K407" s="16">
        <f>SUM(D407:J407)</f>
        <v>826</v>
      </c>
      <c r="L407" s="28">
        <v>518</v>
      </c>
      <c r="M407" s="28">
        <v>741</v>
      </c>
      <c r="N407" s="7">
        <v>1031</v>
      </c>
      <c r="O407" s="16">
        <f t="shared" si="12"/>
        <v>2290</v>
      </c>
      <c r="P407" s="7">
        <v>3116</v>
      </c>
      <c r="Q407" s="7">
        <v>1956475</v>
      </c>
      <c r="R407" s="7">
        <v>3992090</v>
      </c>
      <c r="S407" s="7">
        <v>3899817</v>
      </c>
      <c r="T407" s="7">
        <v>3953626</v>
      </c>
      <c r="U407" s="7">
        <v>3667632</v>
      </c>
      <c r="V407" s="7">
        <v>3469176</v>
      </c>
      <c r="W407" s="7">
        <v>3022032</v>
      </c>
      <c r="X407" s="16">
        <f>SUM(Q407:W407)</f>
        <v>23960848</v>
      </c>
      <c r="Y407" s="28">
        <v>1908434</v>
      </c>
      <c r="Z407" s="28">
        <v>939087</v>
      </c>
      <c r="AA407" s="7">
        <v>359501</v>
      </c>
      <c r="AB407" s="16">
        <f t="shared" si="13"/>
        <v>3207022</v>
      </c>
      <c r="AC407" s="7">
        <v>27167870</v>
      </c>
      <c r="AD407" s="8">
        <v>6.031255191096232E-5</v>
      </c>
      <c r="AE407" s="8">
        <v>1.4278235210128028E-5</v>
      </c>
      <c r="AF407" s="8">
        <v>1.0000469252788015E-5</v>
      </c>
      <c r="AG407" s="8">
        <v>1.4164212801109665E-5</v>
      </c>
      <c r="AH407" s="8">
        <v>1.6904640378314947E-5</v>
      </c>
      <c r="AI407" s="8">
        <v>4.8426485136528098E-5</v>
      </c>
      <c r="AJ407" s="8">
        <v>1.0787443680278699E-4</v>
      </c>
      <c r="AK407" s="8">
        <v>2.7142672997861072E-4</v>
      </c>
      <c r="AL407" s="8">
        <v>7.890642720003578E-4</v>
      </c>
      <c r="AM407" s="8">
        <v>2.8678640671375047E-3</v>
      </c>
      <c r="AN407" s="8">
        <v>1.1469430617858522E-4</v>
      </c>
    </row>
    <row r="408" spans="1:40" x14ac:dyDescent="0.2">
      <c r="A408" t="s">
        <v>468</v>
      </c>
      <c r="B408">
        <v>2009</v>
      </c>
      <c r="C408" t="s">
        <v>469</v>
      </c>
      <c r="D408" s="7">
        <v>78</v>
      </c>
      <c r="E408" s="7">
        <v>57</v>
      </c>
      <c r="F408" s="7">
        <v>39</v>
      </c>
      <c r="G408" s="7">
        <v>44</v>
      </c>
      <c r="H408" s="7">
        <v>64</v>
      </c>
      <c r="I408" s="7">
        <v>40</v>
      </c>
      <c r="J408" s="7">
        <v>42</v>
      </c>
      <c r="K408" s="16">
        <f>SUM(D408:J408)</f>
        <v>364</v>
      </c>
      <c r="L408" s="28">
        <v>72</v>
      </c>
      <c r="M408" s="28">
        <v>72</v>
      </c>
      <c r="N408" s="7">
        <v>124</v>
      </c>
      <c r="O408" s="16">
        <f t="shared" si="12"/>
        <v>268</v>
      </c>
      <c r="P408" s="7">
        <v>632</v>
      </c>
      <c r="Q408" s="7">
        <v>258158.67400000003</v>
      </c>
      <c r="R408" s="7">
        <v>438616.08299999993</v>
      </c>
      <c r="S408" s="7">
        <v>463179.386</v>
      </c>
      <c r="T408" s="7">
        <v>413122.76900000003</v>
      </c>
      <c r="U408" s="7">
        <v>318041.86699999997</v>
      </c>
      <c r="V408" s="7">
        <v>299989.28500000003</v>
      </c>
      <c r="W408" s="7">
        <v>211216.62999999998</v>
      </c>
      <c r="X408" s="16">
        <f>SUM(Q408:W408)</f>
        <v>2402324.6940000001</v>
      </c>
      <c r="Y408" s="28">
        <v>123373.08500000001</v>
      </c>
      <c r="Z408" s="28">
        <v>79235.283000000025</v>
      </c>
      <c r="AA408" s="7">
        <v>29270.849000000002</v>
      </c>
      <c r="AB408" s="16">
        <f t="shared" si="13"/>
        <v>231879.217</v>
      </c>
      <c r="AC408" s="7">
        <v>2634203.9109999998</v>
      </c>
      <c r="AD408" s="8">
        <v>3.0213976075814516E-4</v>
      </c>
      <c r="AE408" s="8">
        <v>1.2995419504487256E-4</v>
      </c>
      <c r="AF408" s="8">
        <v>8.4200638410967618E-5</v>
      </c>
      <c r="AG408" s="8">
        <v>1.065058701714889E-4</v>
      </c>
      <c r="AH408" s="8">
        <v>2.012313680701667E-4</v>
      </c>
      <c r="AI408" s="8">
        <v>1.3333809572565233E-4</v>
      </c>
      <c r="AJ408" s="8">
        <v>1.9884797896832274E-4</v>
      </c>
      <c r="AK408" s="8">
        <v>5.835956845854993E-4</v>
      </c>
      <c r="AL408" s="8">
        <v>9.0868609631898428E-4</v>
      </c>
      <c r="AM408" s="8">
        <v>4.236296664985699E-3</v>
      </c>
      <c r="AN408" s="8">
        <v>2.3992068243497495E-4</v>
      </c>
    </row>
    <row r="409" spans="1:40" x14ac:dyDescent="0.2">
      <c r="A409" t="s">
        <v>468</v>
      </c>
      <c r="B409">
        <v>2010</v>
      </c>
      <c r="C409" t="s">
        <v>470</v>
      </c>
      <c r="D409" s="7">
        <v>98</v>
      </c>
      <c r="E409" s="7">
        <v>73</v>
      </c>
      <c r="F409" s="7">
        <v>55</v>
      </c>
      <c r="G409" s="7">
        <v>52</v>
      </c>
      <c r="H409" s="7">
        <v>48</v>
      </c>
      <c r="I409" s="7">
        <v>56</v>
      </c>
      <c r="J409" s="7">
        <v>55</v>
      </c>
      <c r="K409" s="16">
        <f>SUM(D409:J409)</f>
        <v>437</v>
      </c>
      <c r="L409" s="28">
        <v>56</v>
      </c>
      <c r="M409" s="28">
        <v>91</v>
      </c>
      <c r="N409" s="7">
        <v>148</v>
      </c>
      <c r="O409" s="16">
        <f t="shared" si="12"/>
        <v>295</v>
      </c>
      <c r="P409" s="7">
        <v>732</v>
      </c>
      <c r="Q409" s="7">
        <v>255764.22200000004</v>
      </c>
      <c r="R409" s="7">
        <v>452268.92499999993</v>
      </c>
      <c r="S409" s="7">
        <v>448952.08700000006</v>
      </c>
      <c r="T409" s="7">
        <v>425979.51700000011</v>
      </c>
      <c r="U409" s="7">
        <v>320635.80200000003</v>
      </c>
      <c r="V409" s="7">
        <v>301820.64299999998</v>
      </c>
      <c r="W409" s="7">
        <v>223932.15199999997</v>
      </c>
      <c r="X409" s="16">
        <f>SUM(Q409:W409)</f>
        <v>2429353.3480000002</v>
      </c>
      <c r="Y409" s="28">
        <v>128441.24700000002</v>
      </c>
      <c r="Z409" s="28">
        <v>79531.786999999997</v>
      </c>
      <c r="AA409" s="7">
        <v>28674.317999999996</v>
      </c>
      <c r="AB409" s="16">
        <f t="shared" si="13"/>
        <v>236647.35200000001</v>
      </c>
      <c r="AC409" s="7">
        <v>2666000.7000000002</v>
      </c>
      <c r="AD409" s="8">
        <v>3.8316539832533727E-4</v>
      </c>
      <c r="AE409" s="8">
        <v>1.6140839214190983E-4</v>
      </c>
      <c r="AF409" s="8">
        <v>1.2250750490441531E-4</v>
      </c>
      <c r="AG409" s="8">
        <v>1.2207159716555099E-4</v>
      </c>
      <c r="AH409" s="8">
        <v>1.4970255879285743E-4</v>
      </c>
      <c r="AI409" s="8">
        <v>1.8554065568006893E-4</v>
      </c>
      <c r="AJ409" s="8">
        <v>2.4561010783301905E-4</v>
      </c>
      <c r="AK409" s="8">
        <v>4.3599701270418209E-4</v>
      </c>
      <c r="AL409" s="8">
        <v>1.1441965965130396E-3</v>
      </c>
      <c r="AM409" s="8">
        <v>5.1614130805133713E-3</v>
      </c>
      <c r="AN409" s="8">
        <v>2.7456857006826743E-4</v>
      </c>
    </row>
    <row r="410" spans="1:40" x14ac:dyDescent="0.2">
      <c r="A410" t="s">
        <v>468</v>
      </c>
      <c r="B410">
        <v>2011</v>
      </c>
      <c r="C410" t="s">
        <v>471</v>
      </c>
      <c r="D410" s="7">
        <v>121</v>
      </c>
      <c r="E410" s="7">
        <v>54</v>
      </c>
      <c r="F410" s="7">
        <v>52</v>
      </c>
      <c r="G410" s="7">
        <v>51</v>
      </c>
      <c r="H410" s="7">
        <v>61</v>
      </c>
      <c r="I410" s="7">
        <v>60</v>
      </c>
      <c r="J410" s="7">
        <v>50</v>
      </c>
      <c r="K410" s="16">
        <f>SUM(D410:J410)</f>
        <v>449</v>
      </c>
      <c r="L410" s="28">
        <v>54</v>
      </c>
      <c r="M410" s="28">
        <v>67</v>
      </c>
      <c r="N410" s="7">
        <v>148</v>
      </c>
      <c r="O410" s="16">
        <f t="shared" si="12"/>
        <v>269</v>
      </c>
      <c r="P410" s="7">
        <v>718</v>
      </c>
      <c r="Q410" s="7">
        <v>252970.53399999999</v>
      </c>
      <c r="R410" s="7">
        <v>453814.27500000002</v>
      </c>
      <c r="S410" s="7">
        <v>443867.43000000005</v>
      </c>
      <c r="T410" s="7">
        <v>427466.05600000004</v>
      </c>
      <c r="U410" s="7">
        <v>322234.35199999996</v>
      </c>
      <c r="V410" s="7">
        <v>300486.93200000003</v>
      </c>
      <c r="W410" s="7">
        <v>230371.46600000001</v>
      </c>
      <c r="X410" s="16">
        <f>SUM(Q410:W410)</f>
        <v>2431211.0449999999</v>
      </c>
      <c r="Y410" s="28">
        <v>133850.23200000002</v>
      </c>
      <c r="Z410" s="28">
        <v>80002.817999999999</v>
      </c>
      <c r="AA410" s="7">
        <v>29838.632999999994</v>
      </c>
      <c r="AB410" s="16">
        <f t="shared" si="13"/>
        <v>243691.68300000002</v>
      </c>
      <c r="AC410" s="7">
        <v>2674902.7279999997</v>
      </c>
      <c r="AD410" s="8">
        <v>4.7831657737655727E-4</v>
      </c>
      <c r="AE410" s="8">
        <v>1.1899140898553709E-4</v>
      </c>
      <c r="AF410" s="8">
        <v>1.1715209651674599E-4</v>
      </c>
      <c r="AG410" s="8">
        <v>1.1930771878644791E-4</v>
      </c>
      <c r="AH410" s="8">
        <v>1.8930321867111178E-4</v>
      </c>
      <c r="AI410" s="8">
        <v>1.9967590470789591E-4</v>
      </c>
      <c r="AJ410" s="8">
        <v>2.1704076840835834E-4</v>
      </c>
      <c r="AK410" s="8">
        <v>4.0343598358499666E-4</v>
      </c>
      <c r="AL410" s="8">
        <v>8.3747050010163392E-4</v>
      </c>
      <c r="AM410" s="8">
        <v>4.9600127458922141E-3</v>
      </c>
      <c r="AN410" s="8">
        <v>2.6842097564304406E-4</v>
      </c>
    </row>
    <row r="411" spans="1:40" x14ac:dyDescent="0.2">
      <c r="A411" t="s">
        <v>468</v>
      </c>
      <c r="B411">
        <v>2012</v>
      </c>
      <c r="C411" t="s">
        <v>472</v>
      </c>
      <c r="D411" s="7">
        <v>95</v>
      </c>
      <c r="E411" s="7">
        <v>66</v>
      </c>
      <c r="F411" s="7">
        <v>50</v>
      </c>
      <c r="G411" s="7">
        <v>46</v>
      </c>
      <c r="H411" s="7">
        <v>29</v>
      </c>
      <c r="I411" s="7">
        <v>60</v>
      </c>
      <c r="J411" s="7">
        <v>47</v>
      </c>
      <c r="K411" s="16">
        <f>SUM(D411:J411)</f>
        <v>393</v>
      </c>
      <c r="L411" s="28">
        <v>47</v>
      </c>
      <c r="M411" s="28">
        <v>75</v>
      </c>
      <c r="N411" s="7">
        <v>145</v>
      </c>
      <c r="O411" s="16">
        <f t="shared" si="12"/>
        <v>267</v>
      </c>
      <c r="P411" s="7">
        <v>660</v>
      </c>
      <c r="Q411" s="7">
        <v>260600.56999999998</v>
      </c>
      <c r="R411" s="7">
        <v>477120.62300000002</v>
      </c>
      <c r="S411" s="7">
        <v>451651.56699999998</v>
      </c>
      <c r="T411" s="7">
        <v>442332.42199999996</v>
      </c>
      <c r="U411" s="7">
        <v>336747.18099999998</v>
      </c>
      <c r="V411" s="7">
        <v>307240.05799999996</v>
      </c>
      <c r="W411" s="7">
        <v>242459.73699999996</v>
      </c>
      <c r="X411" s="16">
        <f>SUM(Q411:W411)</f>
        <v>2518152.1579999998</v>
      </c>
      <c r="Y411" s="28">
        <v>139581.18400000001</v>
      </c>
      <c r="Z411" s="28">
        <v>82827.823000000004</v>
      </c>
      <c r="AA411" s="7">
        <v>30752.971000000001</v>
      </c>
      <c r="AB411" s="16">
        <f t="shared" si="13"/>
        <v>253161.978</v>
      </c>
      <c r="AC411" s="7">
        <v>2771314.1359999995</v>
      </c>
      <c r="AD411" s="8">
        <v>3.6454256412409231E-4</v>
      </c>
      <c r="AE411" s="8">
        <v>1.383297992549779E-4</v>
      </c>
      <c r="AF411" s="8">
        <v>1.1070480798309729E-4</v>
      </c>
      <c r="AG411" s="8">
        <v>1.0399418562178108E-4</v>
      </c>
      <c r="AH411" s="8">
        <v>8.6118018609337668E-5</v>
      </c>
      <c r="AI411" s="8">
        <v>1.9528703513003505E-4</v>
      </c>
      <c r="AJ411" s="8">
        <v>1.9384661792320597E-4</v>
      </c>
      <c r="AK411" s="8">
        <v>3.3672160282004768E-4</v>
      </c>
      <c r="AL411" s="8">
        <v>9.0549283179880262E-4</v>
      </c>
      <c r="AM411" s="8">
        <v>4.7149916019496134E-3</v>
      </c>
      <c r="AN411" s="8">
        <v>2.3815416355239206E-4</v>
      </c>
    </row>
    <row r="412" spans="1:40" x14ac:dyDescent="0.2">
      <c r="A412" t="s">
        <v>468</v>
      </c>
      <c r="B412">
        <v>2013</v>
      </c>
      <c r="C412" t="s">
        <v>473</v>
      </c>
      <c r="D412" s="7">
        <v>78</v>
      </c>
      <c r="E412" s="7">
        <v>34</v>
      </c>
      <c r="F412" s="7">
        <v>53</v>
      </c>
      <c r="G412" s="7">
        <v>42</v>
      </c>
      <c r="H412" s="7">
        <v>50</v>
      </c>
      <c r="I412" s="7">
        <v>47</v>
      </c>
      <c r="J412" s="7">
        <v>71</v>
      </c>
      <c r="K412" s="16">
        <f>SUM(D412:J412)</f>
        <v>375</v>
      </c>
      <c r="L412" s="28">
        <v>69</v>
      </c>
      <c r="M412" s="28">
        <v>95</v>
      </c>
      <c r="N412" s="7">
        <v>169</v>
      </c>
      <c r="O412" s="16">
        <f t="shared" si="12"/>
        <v>333</v>
      </c>
      <c r="P412" s="7">
        <v>708</v>
      </c>
      <c r="Q412" s="7">
        <v>264524.179</v>
      </c>
      <c r="R412" s="7">
        <v>499844.74899999995</v>
      </c>
      <c r="S412" s="7">
        <v>467759.04600000009</v>
      </c>
      <c r="T412" s="7">
        <v>456731.89500000014</v>
      </c>
      <c r="U412" s="7">
        <v>364376.10400000005</v>
      </c>
      <c r="V412" s="7">
        <v>326874.56999999995</v>
      </c>
      <c r="W412" s="7">
        <v>271388.30499999999</v>
      </c>
      <c r="X412" s="16">
        <f>SUM(Q412:W412)</f>
        <v>2651498.8480000002</v>
      </c>
      <c r="Y412" s="28">
        <v>160512.31099999999</v>
      </c>
      <c r="Z412" s="28">
        <v>91756.79800000001</v>
      </c>
      <c r="AA412" s="7">
        <v>34869.953000000001</v>
      </c>
      <c r="AB412" s="16">
        <f t="shared" si="13"/>
        <v>287139.06199999998</v>
      </c>
      <c r="AC412" s="7">
        <v>2938637.91</v>
      </c>
      <c r="AD412" s="8">
        <v>2.9486907508746111E-4</v>
      </c>
      <c r="AE412" s="8">
        <v>6.8021120694017746E-5</v>
      </c>
      <c r="AF412" s="8">
        <v>1.1330619996176405E-4</v>
      </c>
      <c r="AG412" s="8">
        <v>9.1957668075709907E-5</v>
      </c>
      <c r="AH412" s="8">
        <v>1.3722085353873808E-4</v>
      </c>
      <c r="AI412" s="8">
        <v>1.4378604000916929E-4</v>
      </c>
      <c r="AJ412" s="8">
        <v>2.6161775836287419E-4</v>
      </c>
      <c r="AK412" s="8">
        <v>4.2987356901241054E-4</v>
      </c>
      <c r="AL412" s="8">
        <v>1.0353456318299161E-3</v>
      </c>
      <c r="AM412" s="8">
        <v>4.8465795179018448E-3</v>
      </c>
      <c r="AN412" s="8">
        <v>2.4092794746529352E-4</v>
      </c>
    </row>
    <row r="413" spans="1:40" x14ac:dyDescent="0.2">
      <c r="A413" t="s">
        <v>468</v>
      </c>
      <c r="B413">
        <v>2014</v>
      </c>
      <c r="C413" t="s">
        <v>474</v>
      </c>
      <c r="D413" s="7">
        <v>130</v>
      </c>
      <c r="E413" s="7">
        <v>50</v>
      </c>
      <c r="F413" s="7">
        <v>39</v>
      </c>
      <c r="G413" s="7">
        <v>57</v>
      </c>
      <c r="H413" s="7">
        <v>53</v>
      </c>
      <c r="I413" s="7">
        <v>49</v>
      </c>
      <c r="J413" s="7">
        <v>57</v>
      </c>
      <c r="K413" s="16">
        <f>SUM(D413:J413)</f>
        <v>435</v>
      </c>
      <c r="L413" s="28">
        <v>54</v>
      </c>
      <c r="M413" s="28">
        <v>86</v>
      </c>
      <c r="N413" s="7">
        <v>139</v>
      </c>
      <c r="O413" s="16">
        <f t="shared" si="12"/>
        <v>279</v>
      </c>
      <c r="P413" s="7">
        <v>714</v>
      </c>
      <c r="Q413" s="7">
        <v>252989.337</v>
      </c>
      <c r="R413" s="7">
        <v>489222.55200000003</v>
      </c>
      <c r="S413" s="7">
        <v>451357.95499999996</v>
      </c>
      <c r="T413" s="7">
        <v>438414.77399999992</v>
      </c>
      <c r="U413" s="7">
        <v>357851.75099999993</v>
      </c>
      <c r="V413" s="7">
        <v>306610.50300000003</v>
      </c>
      <c r="W413" s="7">
        <v>261314.21299999996</v>
      </c>
      <c r="X413" s="16">
        <f>SUM(Q413:W413)</f>
        <v>2557761.085</v>
      </c>
      <c r="Y413" s="28">
        <v>156474.56900000002</v>
      </c>
      <c r="Z413" s="28">
        <v>85776.763999999996</v>
      </c>
      <c r="AA413" s="7">
        <v>33224.944000000003</v>
      </c>
      <c r="AB413" s="16">
        <f t="shared" si="13"/>
        <v>275476.277</v>
      </c>
      <c r="AC413" s="7">
        <v>2833237.3620000002</v>
      </c>
      <c r="AD413" s="8">
        <v>5.1385564918097711E-4</v>
      </c>
      <c r="AE413" s="8">
        <v>1.0220297448593497E-4</v>
      </c>
      <c r="AF413" s="8">
        <v>8.6405921437675791E-5</v>
      </c>
      <c r="AG413" s="8">
        <v>1.3001386673159882E-4</v>
      </c>
      <c r="AH413" s="8">
        <v>1.4810602393838785E-4</v>
      </c>
      <c r="AI413" s="8">
        <v>1.5981187702496935E-4</v>
      </c>
      <c r="AJ413" s="8">
        <v>2.1812820414785479E-4</v>
      </c>
      <c r="AK413" s="8">
        <v>3.4510400217175225E-4</v>
      </c>
      <c r="AL413" s="8">
        <v>1.0026025229862951E-3</v>
      </c>
      <c r="AM413" s="8">
        <v>4.1836037406112704E-3</v>
      </c>
      <c r="AN413" s="8">
        <v>2.5200853609243061E-4</v>
      </c>
    </row>
    <row r="414" spans="1:40" x14ac:dyDescent="0.2">
      <c r="A414" t="s">
        <v>468</v>
      </c>
      <c r="B414">
        <v>2015</v>
      </c>
      <c r="C414" t="s">
        <v>475</v>
      </c>
      <c r="D414" s="7">
        <v>94</v>
      </c>
      <c r="E414" s="7">
        <v>55</v>
      </c>
      <c r="F414" s="7">
        <v>39</v>
      </c>
      <c r="G414" s="7">
        <v>39</v>
      </c>
      <c r="H414" s="7">
        <v>67</v>
      </c>
      <c r="I414" s="7">
        <v>38</v>
      </c>
      <c r="J414" s="7">
        <v>51</v>
      </c>
      <c r="K414" s="16">
        <f>SUM(D414:J414)</f>
        <v>383</v>
      </c>
      <c r="L414" s="28">
        <v>37</v>
      </c>
      <c r="M414" s="28">
        <v>81</v>
      </c>
      <c r="N414" s="7">
        <v>150</v>
      </c>
      <c r="O414" s="16">
        <f t="shared" si="12"/>
        <v>268</v>
      </c>
      <c r="P414" s="7">
        <v>651</v>
      </c>
      <c r="Q414" s="7">
        <v>253695.53799999997</v>
      </c>
      <c r="R414" s="7">
        <v>498613.23600000003</v>
      </c>
      <c r="S414" s="7">
        <v>466388.68499999988</v>
      </c>
      <c r="T414" s="7">
        <v>441306.55400000006</v>
      </c>
      <c r="U414" s="7">
        <v>373259.47</v>
      </c>
      <c r="V414" s="7">
        <v>311183.13999999996</v>
      </c>
      <c r="W414" s="7">
        <v>274712.21799999994</v>
      </c>
      <c r="X414" s="16">
        <f>SUM(Q414:W414)</f>
        <v>2619158.8409999995</v>
      </c>
      <c r="Y414" s="28">
        <v>165084.31400000001</v>
      </c>
      <c r="Z414" s="28">
        <v>88986.472999999998</v>
      </c>
      <c r="AA414" s="7">
        <v>33917.68</v>
      </c>
      <c r="AB414" s="16">
        <f t="shared" si="13"/>
        <v>287988.467</v>
      </c>
      <c r="AC414" s="7">
        <v>2907147.3079999997</v>
      </c>
      <c r="AD414" s="8">
        <v>3.7052287454894067E-4</v>
      </c>
      <c r="AE414" s="8">
        <v>1.1030593660373669E-4</v>
      </c>
      <c r="AF414" s="8">
        <v>8.3621239653359106E-5</v>
      </c>
      <c r="AG414" s="8">
        <v>8.8373942436395351E-5</v>
      </c>
      <c r="AH414" s="8">
        <v>1.7949979942906742E-4</v>
      </c>
      <c r="AI414" s="8">
        <v>1.2211458499968863E-4</v>
      </c>
      <c r="AJ414" s="8">
        <v>1.8564882323508455E-4</v>
      </c>
      <c r="AK414" s="8">
        <v>2.241278962457935E-4</v>
      </c>
      <c r="AL414" s="8">
        <v>9.1025070743055525E-4</v>
      </c>
      <c r="AM414" s="8">
        <v>4.4224722917369352E-3</v>
      </c>
      <c r="AN414" s="8">
        <v>2.2393086109140503E-4</v>
      </c>
    </row>
    <row r="415" spans="1:40" x14ac:dyDescent="0.2">
      <c r="A415" t="s">
        <v>468</v>
      </c>
      <c r="B415">
        <v>2016</v>
      </c>
      <c r="C415" t="s">
        <v>476</v>
      </c>
      <c r="D415" s="7">
        <v>116</v>
      </c>
      <c r="E415" s="7">
        <v>22</v>
      </c>
      <c r="F415" s="7">
        <v>55</v>
      </c>
      <c r="G415" s="7">
        <v>56</v>
      </c>
      <c r="H415" s="7">
        <v>41</v>
      </c>
      <c r="I415" s="7">
        <v>57</v>
      </c>
      <c r="J415" s="7">
        <v>47</v>
      </c>
      <c r="K415" s="16">
        <f>SUM(D415:J415)</f>
        <v>394</v>
      </c>
      <c r="L415" s="28">
        <v>58</v>
      </c>
      <c r="M415" s="28">
        <v>94</v>
      </c>
      <c r="N415" s="7">
        <v>161</v>
      </c>
      <c r="O415" s="16">
        <f t="shared" si="12"/>
        <v>313</v>
      </c>
      <c r="P415" s="7">
        <v>707</v>
      </c>
      <c r="Q415" s="7">
        <v>250285.253</v>
      </c>
      <c r="R415" s="7">
        <v>501206.61</v>
      </c>
      <c r="S415" s="7">
        <v>469973.57400000002</v>
      </c>
      <c r="T415" s="7">
        <v>437227.15799999994</v>
      </c>
      <c r="U415" s="7">
        <v>381255.03699999995</v>
      </c>
      <c r="V415" s="7">
        <v>306210.23300000001</v>
      </c>
      <c r="W415" s="7">
        <v>277140.74700000003</v>
      </c>
      <c r="X415" s="16">
        <f>SUM(Q415:W415)</f>
        <v>2623298.6119999997</v>
      </c>
      <c r="Y415" s="28">
        <v>172716.182</v>
      </c>
      <c r="Z415" s="28">
        <v>89990.382000000012</v>
      </c>
      <c r="AA415" s="7">
        <v>34068.915000000001</v>
      </c>
      <c r="AB415" s="16">
        <f t="shared" si="13"/>
        <v>296775.47899999999</v>
      </c>
      <c r="AC415" s="7">
        <v>2920074.091</v>
      </c>
      <c r="AD415" s="8">
        <v>4.6347117382900704E-4</v>
      </c>
      <c r="AE415" s="8">
        <v>4.3894073942879567E-5</v>
      </c>
      <c r="AF415" s="8">
        <v>1.1702785654922802E-4</v>
      </c>
      <c r="AG415" s="8">
        <v>1.2807987558723425E-4</v>
      </c>
      <c r="AH415" s="8">
        <v>1.0753956281500881E-4</v>
      </c>
      <c r="AI415" s="8">
        <v>1.8614662038417246E-4</v>
      </c>
      <c r="AJ415" s="8">
        <v>1.695889201020303E-4</v>
      </c>
      <c r="AK415" s="8">
        <v>3.3581103593408518E-4</v>
      </c>
      <c r="AL415" s="8">
        <v>1.0445560726700771E-3</v>
      </c>
      <c r="AM415" s="8">
        <v>4.7257155092846363E-3</v>
      </c>
      <c r="AN415" s="8">
        <v>2.4211714428036408E-4</v>
      </c>
    </row>
    <row r="416" spans="1:40" x14ac:dyDescent="0.2">
      <c r="A416" t="s">
        <v>468</v>
      </c>
      <c r="B416">
        <v>2017</v>
      </c>
      <c r="C416" t="s">
        <v>477</v>
      </c>
      <c r="D416" s="7">
        <v>98</v>
      </c>
      <c r="E416" s="7">
        <v>74</v>
      </c>
      <c r="F416" s="7">
        <v>47</v>
      </c>
      <c r="G416" s="7">
        <v>31</v>
      </c>
      <c r="H416" s="7">
        <v>56</v>
      </c>
      <c r="I416" s="7">
        <v>38</v>
      </c>
      <c r="J416" s="7">
        <v>62</v>
      </c>
      <c r="K416" s="16">
        <f>SUM(D416:J416)</f>
        <v>406</v>
      </c>
      <c r="L416" s="28">
        <v>60</v>
      </c>
      <c r="M416" s="28">
        <v>83</v>
      </c>
      <c r="N416" s="7">
        <v>100</v>
      </c>
      <c r="O416" s="16">
        <f t="shared" si="12"/>
        <v>243</v>
      </c>
      <c r="P416" s="7">
        <v>649</v>
      </c>
      <c r="Q416" s="7">
        <v>251018</v>
      </c>
      <c r="R416" s="7">
        <v>506955</v>
      </c>
      <c r="S416" s="7">
        <v>480382</v>
      </c>
      <c r="T416" s="7">
        <v>443533</v>
      </c>
      <c r="U416" s="7">
        <v>395492</v>
      </c>
      <c r="V416" s="7">
        <v>311592</v>
      </c>
      <c r="W416" s="7">
        <v>287014</v>
      </c>
      <c r="X416" s="16">
        <f>SUM(Q416:W416)</f>
        <v>2675986</v>
      </c>
      <c r="Y416" s="28">
        <v>185269</v>
      </c>
      <c r="Z416" s="28">
        <v>93407</v>
      </c>
      <c r="AA416" s="7">
        <v>35307</v>
      </c>
      <c r="AB416" s="16">
        <f t="shared" si="13"/>
        <v>313983</v>
      </c>
      <c r="AC416" s="7">
        <v>2989969</v>
      </c>
      <c r="AD416" s="8">
        <v>3.9041024946418184E-4</v>
      </c>
      <c r="AE416" s="8">
        <v>1.4596956337347496E-4</v>
      </c>
      <c r="AF416" s="8">
        <v>9.7838803285718454E-5</v>
      </c>
      <c r="AG416" s="8">
        <v>6.9893333754196416E-5</v>
      </c>
      <c r="AH416" s="8">
        <v>1.41595784491216E-4</v>
      </c>
      <c r="AI416" s="8">
        <v>1.2195435056099002E-4</v>
      </c>
      <c r="AJ416" s="8">
        <v>2.1601733713338026E-4</v>
      </c>
      <c r="AK416" s="8">
        <v>3.2385342394032461E-4</v>
      </c>
      <c r="AL416" s="8">
        <v>8.8858436733863628E-4</v>
      </c>
      <c r="AM416" s="8">
        <v>2.8322995439997735E-3</v>
      </c>
      <c r="AN416" s="8">
        <v>2.1705910663287814E-4</v>
      </c>
    </row>
    <row r="417" spans="1:40" x14ac:dyDescent="0.2">
      <c r="A417" t="s">
        <v>478</v>
      </c>
      <c r="B417">
        <v>2009</v>
      </c>
      <c r="C417" t="s">
        <v>479</v>
      </c>
      <c r="D417" s="7">
        <v>83</v>
      </c>
      <c r="E417" s="7">
        <v>64</v>
      </c>
      <c r="F417" s="7">
        <v>63</v>
      </c>
      <c r="G417" s="7">
        <v>64</v>
      </c>
      <c r="H417" s="7">
        <v>52</v>
      </c>
      <c r="I417" s="7">
        <v>59</v>
      </c>
      <c r="J417" s="7">
        <v>57</v>
      </c>
      <c r="K417" s="16">
        <f>SUM(D417:J417)</f>
        <v>442</v>
      </c>
      <c r="L417" s="28">
        <v>50</v>
      </c>
      <c r="M417" s="28">
        <v>43</v>
      </c>
      <c r="N417" s="7">
        <v>58</v>
      </c>
      <c r="O417" s="16">
        <f t="shared" si="12"/>
        <v>151</v>
      </c>
      <c r="P417" s="7">
        <v>593</v>
      </c>
      <c r="Q417" s="7">
        <v>32510.932000000001</v>
      </c>
      <c r="R417" s="7">
        <v>72258.352000000014</v>
      </c>
      <c r="S417" s="7">
        <v>94733.088999999993</v>
      </c>
      <c r="T417" s="7">
        <v>67506.609000000011</v>
      </c>
      <c r="U417" s="7">
        <v>85457.424000000014</v>
      </c>
      <c r="V417" s="7">
        <v>102428.065</v>
      </c>
      <c r="W417" s="7">
        <v>80435.02900000001</v>
      </c>
      <c r="X417" s="16">
        <f>SUM(Q417:W417)</f>
        <v>535329.5</v>
      </c>
      <c r="Y417" s="28">
        <v>44563.913</v>
      </c>
      <c r="Z417" s="28">
        <v>30203.242999999999</v>
      </c>
      <c r="AA417" s="7">
        <v>10728.603000000001</v>
      </c>
      <c r="AB417" s="16">
        <f t="shared" si="13"/>
        <v>85495.759000000005</v>
      </c>
      <c r="AC417" s="7">
        <v>620825.25899999996</v>
      </c>
      <c r="AD417" s="8">
        <v>2.552987407435751E-3</v>
      </c>
      <c r="AE417" s="8">
        <v>8.8571076185075452E-4</v>
      </c>
      <c r="AF417" s="8">
        <v>6.6502634575760537E-4</v>
      </c>
      <c r="AG417" s="8">
        <v>9.4805532299807843E-4</v>
      </c>
      <c r="AH417" s="8">
        <v>6.0849014124273154E-4</v>
      </c>
      <c r="AI417" s="8">
        <v>5.7601400553647082E-4</v>
      </c>
      <c r="AJ417" s="8">
        <v>7.0864647789211331E-4</v>
      </c>
      <c r="AK417" s="8">
        <v>1.1219840591646429E-3</v>
      </c>
      <c r="AL417" s="8">
        <v>1.4236881781204754E-3</v>
      </c>
      <c r="AM417" s="8">
        <v>5.4061092576545141E-3</v>
      </c>
      <c r="AN417" s="8">
        <v>9.551802079625115E-4</v>
      </c>
    </row>
    <row r="418" spans="1:40" x14ac:dyDescent="0.2">
      <c r="A418" t="s">
        <v>478</v>
      </c>
      <c r="B418">
        <v>2010</v>
      </c>
      <c r="C418" t="s">
        <v>480</v>
      </c>
      <c r="D418" s="7">
        <v>111</v>
      </c>
      <c r="E418" s="7">
        <v>47</v>
      </c>
      <c r="F418" s="7">
        <v>49</v>
      </c>
      <c r="G418" s="7">
        <v>42</v>
      </c>
      <c r="H418" s="7">
        <v>55</v>
      </c>
      <c r="I418" s="7">
        <v>49</v>
      </c>
      <c r="J418" s="7">
        <v>64</v>
      </c>
      <c r="K418" s="16">
        <f>SUM(D418:J418)</f>
        <v>417</v>
      </c>
      <c r="L418" s="28">
        <v>48</v>
      </c>
      <c r="M418" s="28">
        <v>67</v>
      </c>
      <c r="N418" s="7">
        <v>56</v>
      </c>
      <c r="O418" s="16">
        <f t="shared" si="12"/>
        <v>171</v>
      </c>
      <c r="P418" s="7">
        <v>588</v>
      </c>
      <c r="Q418" s="7">
        <v>29364.756000000001</v>
      </c>
      <c r="R418" s="7">
        <v>67666.705000000002</v>
      </c>
      <c r="S418" s="7">
        <v>84956.448999999993</v>
      </c>
      <c r="T418" s="7">
        <v>62465.757000000005</v>
      </c>
      <c r="U418" s="7">
        <v>76908.089999999982</v>
      </c>
      <c r="V418" s="7">
        <v>94816.569000000003</v>
      </c>
      <c r="W418" s="7">
        <v>77049.417000000001</v>
      </c>
      <c r="X418" s="16">
        <f>SUM(Q418:W418)</f>
        <v>493227.74300000002</v>
      </c>
      <c r="Y418" s="28">
        <v>42024.949000000008</v>
      </c>
      <c r="Z418" s="28">
        <v>27466.205000000002</v>
      </c>
      <c r="AA418" s="7">
        <v>10509.152</v>
      </c>
      <c r="AB418" s="16">
        <f t="shared" si="13"/>
        <v>80000.306000000011</v>
      </c>
      <c r="AC418" s="7">
        <v>573228.049</v>
      </c>
      <c r="AD418" s="8">
        <v>3.7800416254097258E-3</v>
      </c>
      <c r="AE418" s="8">
        <v>6.9458088730639392E-4</v>
      </c>
      <c r="AF418" s="8">
        <v>5.7676610282993352E-4</v>
      </c>
      <c r="AG418" s="8">
        <v>6.7236838256838855E-4</v>
      </c>
      <c r="AH418" s="8">
        <v>7.1513933059578019E-4</v>
      </c>
      <c r="AI418" s="8">
        <v>5.1678731382908403E-4</v>
      </c>
      <c r="AJ418" s="8">
        <v>8.3063574640675089E-4</v>
      </c>
      <c r="AK418" s="8">
        <v>1.1421786615374593E-3</v>
      </c>
      <c r="AL418" s="8">
        <v>2.4393613897515146E-3</v>
      </c>
      <c r="AM418" s="8">
        <v>5.3286887467228561E-3</v>
      </c>
      <c r="AN418" s="8">
        <v>1.0257697630563782E-3</v>
      </c>
    </row>
    <row r="419" spans="1:40" x14ac:dyDescent="0.2">
      <c r="A419" t="s">
        <v>478</v>
      </c>
      <c r="B419">
        <v>2011</v>
      </c>
      <c r="C419" t="s">
        <v>481</v>
      </c>
      <c r="D419" s="7">
        <v>92</v>
      </c>
      <c r="E419" s="7">
        <v>47</v>
      </c>
      <c r="F419" s="7">
        <v>40</v>
      </c>
      <c r="G419" s="7">
        <v>47</v>
      </c>
      <c r="H419" s="7">
        <v>51</v>
      </c>
      <c r="I419" s="7">
        <v>66</v>
      </c>
      <c r="J419" s="7">
        <v>62</v>
      </c>
      <c r="K419" s="16">
        <f>SUM(D419:J419)</f>
        <v>405</v>
      </c>
      <c r="L419" s="28">
        <v>69</v>
      </c>
      <c r="M419" s="28">
        <v>74</v>
      </c>
      <c r="N419" s="7">
        <v>44</v>
      </c>
      <c r="O419" s="16">
        <f t="shared" si="12"/>
        <v>187</v>
      </c>
      <c r="P419" s="7">
        <v>592</v>
      </c>
      <c r="Q419" s="7">
        <v>35564.800000000003</v>
      </c>
      <c r="R419" s="7">
        <v>80648.016000000003</v>
      </c>
      <c r="S419" s="7">
        <v>98918.718999999983</v>
      </c>
      <c r="T419" s="7">
        <v>77618.155000000028</v>
      </c>
      <c r="U419" s="7">
        <v>89850.825000000012</v>
      </c>
      <c r="V419" s="7">
        <v>112472.60500000001</v>
      </c>
      <c r="W419" s="7">
        <v>95933.951000000001</v>
      </c>
      <c r="X419" s="16">
        <f>SUM(Q419:W419)</f>
        <v>591007.071</v>
      </c>
      <c r="Y419" s="28">
        <v>53430.446999999986</v>
      </c>
      <c r="Z419" s="28">
        <v>33289.818999999996</v>
      </c>
      <c r="AA419" s="7">
        <v>13038.345999999998</v>
      </c>
      <c r="AB419" s="16">
        <f t="shared" si="13"/>
        <v>99758.611999999965</v>
      </c>
      <c r="AC419" s="7">
        <v>690765.68299999996</v>
      </c>
      <c r="AD419" s="8">
        <v>2.5868274248695335E-3</v>
      </c>
      <c r="AE419" s="8">
        <v>5.827793705427297E-4</v>
      </c>
      <c r="AF419" s="8">
        <v>4.0437240195154579E-4</v>
      </c>
      <c r="AG419" s="8">
        <v>6.0552843596965147E-4</v>
      </c>
      <c r="AH419" s="8">
        <v>5.6760747605823312E-4</v>
      </c>
      <c r="AI419" s="8">
        <v>5.8680956131495305E-4</v>
      </c>
      <c r="AJ419" s="8">
        <v>6.4627797931516445E-4</v>
      </c>
      <c r="AK419" s="8">
        <v>1.2913985166547459E-3</v>
      </c>
      <c r="AL419" s="8">
        <v>2.2229018427525849E-3</v>
      </c>
      <c r="AM419" s="8">
        <v>3.3746611725137534E-3</v>
      </c>
      <c r="AN419" s="8">
        <v>8.570199918284013E-4</v>
      </c>
    </row>
    <row r="420" spans="1:40" x14ac:dyDescent="0.2">
      <c r="A420" t="s">
        <v>478</v>
      </c>
      <c r="B420">
        <v>2012</v>
      </c>
      <c r="C420" t="s">
        <v>482</v>
      </c>
      <c r="D420" s="7">
        <v>107</v>
      </c>
      <c r="E420" s="7">
        <v>58</v>
      </c>
      <c r="F420" s="7">
        <v>73</v>
      </c>
      <c r="G420" s="7">
        <v>60</v>
      </c>
      <c r="H420" s="7">
        <v>54</v>
      </c>
      <c r="I420" s="7">
        <v>46</v>
      </c>
      <c r="J420" s="7">
        <v>54</v>
      </c>
      <c r="K420" s="16">
        <f>SUM(D420:J420)</f>
        <v>452</v>
      </c>
      <c r="L420" s="28">
        <v>44</v>
      </c>
      <c r="M420" s="28">
        <v>47</v>
      </c>
      <c r="N420" s="7">
        <v>62</v>
      </c>
      <c r="O420" s="16">
        <f t="shared" si="12"/>
        <v>153</v>
      </c>
      <c r="P420" s="7">
        <v>605</v>
      </c>
      <c r="Q420" s="7">
        <v>34450.637999999999</v>
      </c>
      <c r="R420" s="7">
        <v>77027.476999999999</v>
      </c>
      <c r="S420" s="7">
        <v>93619.204999999987</v>
      </c>
      <c r="T420" s="7">
        <v>72888.324999999997</v>
      </c>
      <c r="U420" s="7">
        <v>81094.625</v>
      </c>
      <c r="V420" s="7">
        <v>102855.258</v>
      </c>
      <c r="W420" s="7">
        <v>90941.391000000003</v>
      </c>
      <c r="X420" s="16">
        <f>SUM(Q420:W420)</f>
        <v>552876.91899999999</v>
      </c>
      <c r="Y420" s="28">
        <v>51158.722999999998</v>
      </c>
      <c r="Z420" s="28">
        <v>30999.249000000003</v>
      </c>
      <c r="AA420" s="7">
        <v>12933.883</v>
      </c>
      <c r="AB420" s="16">
        <f t="shared" si="13"/>
        <v>95091.85500000001</v>
      </c>
      <c r="AC420" s="7">
        <v>647968.77399999998</v>
      </c>
      <c r="AD420" s="8">
        <v>3.1058931332418288E-3</v>
      </c>
      <c r="AE420" s="8">
        <v>7.5297805742748135E-4</v>
      </c>
      <c r="AF420" s="8">
        <v>7.7975453861202956E-4</v>
      </c>
      <c r="AG420" s="8">
        <v>8.2317710003625415E-4</v>
      </c>
      <c r="AH420" s="8">
        <v>6.6588876883023993E-4</v>
      </c>
      <c r="AI420" s="8">
        <v>4.4723041771962691E-4</v>
      </c>
      <c r="AJ420" s="8">
        <v>5.9378902616521448E-4</v>
      </c>
      <c r="AK420" s="8">
        <v>8.6006837973653103E-4</v>
      </c>
      <c r="AL420" s="8">
        <v>1.5161657625963776E-3</v>
      </c>
      <c r="AM420" s="8">
        <v>4.7936107045347485E-3</v>
      </c>
      <c r="AN420" s="8">
        <v>9.3368696806985332E-4</v>
      </c>
    </row>
    <row r="421" spans="1:40" x14ac:dyDescent="0.2">
      <c r="A421" t="s">
        <v>478</v>
      </c>
      <c r="B421">
        <v>2013</v>
      </c>
      <c r="C421" t="s">
        <v>483</v>
      </c>
      <c r="D421" s="7">
        <v>100</v>
      </c>
      <c r="E421" s="7">
        <v>66</v>
      </c>
      <c r="F421" s="7">
        <v>46</v>
      </c>
      <c r="G421" s="7">
        <v>32</v>
      </c>
      <c r="H421" s="7">
        <v>50</v>
      </c>
      <c r="I421" s="7">
        <v>53</v>
      </c>
      <c r="J421" s="7">
        <v>70</v>
      </c>
      <c r="K421" s="16">
        <f>SUM(D421:J421)</f>
        <v>417</v>
      </c>
      <c r="L421" s="28">
        <v>59</v>
      </c>
      <c r="M421" s="28">
        <v>40</v>
      </c>
      <c r="N421" s="7">
        <v>40</v>
      </c>
      <c r="O421" s="16">
        <f t="shared" si="12"/>
        <v>139</v>
      </c>
      <c r="P421" s="7">
        <v>556</v>
      </c>
      <c r="Q421" s="7">
        <v>28486.361000000004</v>
      </c>
      <c r="R421" s="7">
        <v>64030.434000000001</v>
      </c>
      <c r="S421" s="7">
        <v>81489.354999999996</v>
      </c>
      <c r="T421" s="7">
        <v>63791.103999999999</v>
      </c>
      <c r="U421" s="7">
        <v>69040.64499999999</v>
      </c>
      <c r="V421" s="7">
        <v>87828.967000000004</v>
      </c>
      <c r="W421" s="7">
        <v>80417.132000000012</v>
      </c>
      <c r="X421" s="16">
        <f>SUM(Q421:W421)</f>
        <v>475083.99800000002</v>
      </c>
      <c r="Y421" s="28">
        <v>46129.860999999997</v>
      </c>
      <c r="Z421" s="28">
        <v>25962.094999999994</v>
      </c>
      <c r="AA421" s="7">
        <v>10935.663</v>
      </c>
      <c r="AB421" s="16">
        <f t="shared" si="13"/>
        <v>83027.618999999992</v>
      </c>
      <c r="AC421" s="7">
        <v>558111.61700000009</v>
      </c>
      <c r="AD421" s="8">
        <v>3.5104518966111533E-3</v>
      </c>
      <c r="AE421" s="8">
        <v>1.0307598414841291E-3</v>
      </c>
      <c r="AF421" s="8">
        <v>5.644909080455969E-4</v>
      </c>
      <c r="AG421" s="8">
        <v>5.0163734429176836E-4</v>
      </c>
      <c r="AH421" s="8">
        <v>7.242110788507264E-4</v>
      </c>
      <c r="AI421" s="8">
        <v>6.0344555800138238E-4</v>
      </c>
      <c r="AJ421" s="8">
        <v>8.7046128429449571E-4</v>
      </c>
      <c r="AK421" s="8">
        <v>1.2789980008827688E-3</v>
      </c>
      <c r="AL421" s="8">
        <v>1.5407077125324444E-3</v>
      </c>
      <c r="AM421" s="8">
        <v>3.6577571931395471E-3</v>
      </c>
      <c r="AN421" s="8">
        <v>9.9621649695924509E-4</v>
      </c>
    </row>
    <row r="422" spans="1:40" x14ac:dyDescent="0.2">
      <c r="A422" t="s">
        <v>478</v>
      </c>
      <c r="B422">
        <v>2014</v>
      </c>
      <c r="C422" t="s">
        <v>484</v>
      </c>
      <c r="D422" s="7">
        <v>106</v>
      </c>
      <c r="E422" s="7">
        <v>59</v>
      </c>
      <c r="F422" s="7">
        <v>59</v>
      </c>
      <c r="G422" s="7">
        <v>38</v>
      </c>
      <c r="H422" s="7">
        <v>51</v>
      </c>
      <c r="I422" s="7">
        <v>52</v>
      </c>
      <c r="J422" s="7">
        <v>64</v>
      </c>
      <c r="K422" s="16">
        <f>SUM(D422:J422)</f>
        <v>429</v>
      </c>
      <c r="L422" s="28">
        <v>54</v>
      </c>
      <c r="M422" s="28">
        <v>61</v>
      </c>
      <c r="N422" s="7">
        <v>48</v>
      </c>
      <c r="O422" s="16">
        <f t="shared" si="12"/>
        <v>163</v>
      </c>
      <c r="P422" s="7">
        <v>592</v>
      </c>
      <c r="Q422" s="7">
        <v>25489.142999999996</v>
      </c>
      <c r="R422" s="7">
        <v>58131.128000000004</v>
      </c>
      <c r="S422" s="7">
        <v>72285.448000000004</v>
      </c>
      <c r="T422" s="7">
        <v>59504.741999999991</v>
      </c>
      <c r="U422" s="7">
        <v>61516.443999999996</v>
      </c>
      <c r="V422" s="7">
        <v>78245.801999999996</v>
      </c>
      <c r="W422" s="7">
        <v>75640.316999999981</v>
      </c>
      <c r="X422" s="16">
        <f>SUM(Q422:W422)</f>
        <v>430813.02400000003</v>
      </c>
      <c r="Y422" s="28">
        <v>44133.85</v>
      </c>
      <c r="Z422" s="28">
        <v>23956.532999999999</v>
      </c>
      <c r="AA422" s="7">
        <v>10166.959999999999</v>
      </c>
      <c r="AB422" s="16">
        <f t="shared" si="13"/>
        <v>78257.342999999993</v>
      </c>
      <c r="AC422" s="7">
        <v>509070.36700000003</v>
      </c>
      <c r="AD422" s="8">
        <v>4.158633344400791E-3</v>
      </c>
      <c r="AE422" s="8">
        <v>1.0149467596775345E-3</v>
      </c>
      <c r="AF422" s="8">
        <v>8.1620854034134222E-4</v>
      </c>
      <c r="AG422" s="8">
        <v>6.3860456701081078E-4</v>
      </c>
      <c r="AH422" s="8">
        <v>8.2904662044509597E-4</v>
      </c>
      <c r="AI422" s="8">
        <v>6.6457239456757056E-4</v>
      </c>
      <c r="AJ422" s="8">
        <v>8.4610962167173379E-4</v>
      </c>
      <c r="AK422" s="8">
        <v>1.2235506306383875E-3</v>
      </c>
      <c r="AL422" s="8">
        <v>2.5462782949435964E-3</v>
      </c>
      <c r="AM422" s="8">
        <v>4.7211752578941992E-3</v>
      </c>
      <c r="AN422" s="8">
        <v>1.1629040666592168E-3</v>
      </c>
    </row>
    <row r="423" spans="1:40" x14ac:dyDescent="0.2">
      <c r="A423" t="s">
        <v>478</v>
      </c>
      <c r="B423">
        <v>2015</v>
      </c>
      <c r="C423" t="s">
        <v>485</v>
      </c>
      <c r="D423" s="7">
        <v>119</v>
      </c>
      <c r="E423" s="7">
        <v>72</v>
      </c>
      <c r="F423" s="7">
        <v>58</v>
      </c>
      <c r="G423" s="7">
        <v>61</v>
      </c>
      <c r="H423" s="7">
        <v>72</v>
      </c>
      <c r="I423" s="7">
        <v>52</v>
      </c>
      <c r="J423" s="7">
        <v>60</v>
      </c>
      <c r="K423" s="16">
        <f>SUM(D423:J423)</f>
        <v>494</v>
      </c>
      <c r="L423" s="28">
        <v>61</v>
      </c>
      <c r="M423" s="28">
        <v>24</v>
      </c>
      <c r="N423" s="7">
        <v>57</v>
      </c>
      <c r="O423" s="16">
        <f t="shared" si="12"/>
        <v>142</v>
      </c>
      <c r="P423" s="7">
        <v>636</v>
      </c>
      <c r="Q423" s="7">
        <v>37228.029000000002</v>
      </c>
      <c r="R423" s="7">
        <v>85715.700000000012</v>
      </c>
      <c r="S423" s="7">
        <v>105467.92499999999</v>
      </c>
      <c r="T423" s="7">
        <v>85644.553</v>
      </c>
      <c r="U423" s="7">
        <v>89133.162999999986</v>
      </c>
      <c r="V423" s="7">
        <v>111911.75200000002</v>
      </c>
      <c r="W423" s="7">
        <v>110588.76600000002</v>
      </c>
      <c r="X423" s="16">
        <f>SUM(Q423:W423)</f>
        <v>625689.88800000004</v>
      </c>
      <c r="Y423" s="28">
        <v>69550.974999999991</v>
      </c>
      <c r="Z423" s="28">
        <v>35466.881000000001</v>
      </c>
      <c r="AA423" s="7">
        <v>15366.233999999999</v>
      </c>
      <c r="AB423" s="16">
        <f t="shared" si="13"/>
        <v>120384.09</v>
      </c>
      <c r="AC423" s="7">
        <v>746073.97800000012</v>
      </c>
      <c r="AD423" s="8">
        <v>3.1965162592948447E-3</v>
      </c>
      <c r="AE423" s="8">
        <v>8.3998614022868612E-4</v>
      </c>
      <c r="AF423" s="8">
        <v>5.4993022760237305E-4</v>
      </c>
      <c r="AG423" s="8">
        <v>7.1224611330506914E-4</v>
      </c>
      <c r="AH423" s="8">
        <v>8.0778015248937152E-4</v>
      </c>
      <c r="AI423" s="8">
        <v>4.6465182673576579E-4</v>
      </c>
      <c r="AJ423" s="8">
        <v>5.4255058782372149E-4</v>
      </c>
      <c r="AK423" s="8">
        <v>8.7705456321784145E-4</v>
      </c>
      <c r="AL423" s="8">
        <v>6.7668763994217589E-4</v>
      </c>
      <c r="AM423" s="8">
        <v>3.7094319922500209E-3</v>
      </c>
      <c r="AN423" s="8">
        <v>8.5246238141815998E-4</v>
      </c>
    </row>
    <row r="424" spans="1:40" x14ac:dyDescent="0.2">
      <c r="A424" t="s">
        <v>478</v>
      </c>
      <c r="B424">
        <v>2016</v>
      </c>
      <c r="C424" t="s">
        <v>486</v>
      </c>
      <c r="D424" s="7">
        <v>104</v>
      </c>
      <c r="E424" s="7">
        <v>41</v>
      </c>
      <c r="F424" s="7">
        <v>49</v>
      </c>
      <c r="G424" s="7">
        <v>49</v>
      </c>
      <c r="H424" s="7">
        <v>60</v>
      </c>
      <c r="I424" s="7">
        <v>61</v>
      </c>
      <c r="J424" s="7">
        <v>46</v>
      </c>
      <c r="K424" s="16">
        <f>SUM(D424:J424)</f>
        <v>410</v>
      </c>
      <c r="L424" s="28">
        <v>41</v>
      </c>
      <c r="M424" s="28">
        <v>55</v>
      </c>
      <c r="N424" s="7">
        <v>54</v>
      </c>
      <c r="O424" s="16">
        <f t="shared" si="12"/>
        <v>150</v>
      </c>
      <c r="P424" s="7">
        <v>560</v>
      </c>
      <c r="Q424" s="7">
        <v>26950.145999999997</v>
      </c>
      <c r="R424" s="7">
        <v>60017.729000000007</v>
      </c>
      <c r="S424" s="7">
        <v>81278.62999999999</v>
      </c>
      <c r="T424" s="7">
        <v>64655.152999999991</v>
      </c>
      <c r="U424" s="7">
        <v>63089.375999999989</v>
      </c>
      <c r="V424" s="7">
        <v>80573.314999999988</v>
      </c>
      <c r="W424" s="7">
        <v>83937.842999999993</v>
      </c>
      <c r="X424" s="16">
        <f>SUM(Q424:W424)</f>
        <v>460502.19199999998</v>
      </c>
      <c r="Y424" s="28">
        <v>54930.506000000008</v>
      </c>
      <c r="Z424" s="28">
        <v>27402.936000000005</v>
      </c>
      <c r="AA424" s="7">
        <v>12719.062000000002</v>
      </c>
      <c r="AB424" s="16">
        <f t="shared" si="13"/>
        <v>95052.504000000015</v>
      </c>
      <c r="AC424" s="7">
        <v>555554.696</v>
      </c>
      <c r="AD424" s="8">
        <v>3.8589772389359231E-3</v>
      </c>
      <c r="AE424" s="8">
        <v>6.8313147936670509E-4</v>
      </c>
      <c r="AF424" s="8">
        <v>6.0286449217955573E-4</v>
      </c>
      <c r="AG424" s="8">
        <v>7.5786689422883285E-4</v>
      </c>
      <c r="AH424" s="8">
        <v>9.5103175533072339E-4</v>
      </c>
      <c r="AI424" s="8">
        <v>7.5707447310564314E-4</v>
      </c>
      <c r="AJ424" s="8">
        <v>5.4802456622574873E-4</v>
      </c>
      <c r="AK424" s="8">
        <v>7.4639763922800916E-4</v>
      </c>
      <c r="AL424" s="8">
        <v>2.0070842044078775E-3</v>
      </c>
      <c r="AM424" s="8">
        <v>4.245596098202839E-3</v>
      </c>
      <c r="AN424" s="8">
        <v>1.0080015595800131E-3</v>
      </c>
    </row>
    <row r="425" spans="1:40" x14ac:dyDescent="0.2">
      <c r="A425" t="s">
        <v>478</v>
      </c>
      <c r="B425">
        <v>2017</v>
      </c>
      <c r="C425" t="s">
        <v>487</v>
      </c>
      <c r="D425" s="7">
        <v>117</v>
      </c>
      <c r="E425" s="7">
        <v>29</v>
      </c>
      <c r="F425" s="7">
        <v>53</v>
      </c>
      <c r="G425" s="7">
        <v>54</v>
      </c>
      <c r="H425" s="7">
        <v>56</v>
      </c>
      <c r="I425" s="7">
        <v>49</v>
      </c>
      <c r="J425" s="7">
        <v>63</v>
      </c>
      <c r="K425" s="16">
        <f>SUM(D425:J425)</f>
        <v>421</v>
      </c>
      <c r="L425" s="28">
        <v>32</v>
      </c>
      <c r="M425" s="28">
        <v>52</v>
      </c>
      <c r="N425" s="7">
        <v>54</v>
      </c>
      <c r="O425" s="16">
        <f t="shared" si="12"/>
        <v>138</v>
      </c>
      <c r="P425" s="7">
        <v>559</v>
      </c>
      <c r="Q425" s="7">
        <v>32093</v>
      </c>
      <c r="R425" s="7">
        <v>72496</v>
      </c>
      <c r="S425" s="7">
        <v>92808</v>
      </c>
      <c r="T425" s="7">
        <v>74877</v>
      </c>
      <c r="U425" s="7">
        <v>74671</v>
      </c>
      <c r="V425" s="7">
        <v>93129</v>
      </c>
      <c r="W425" s="7">
        <v>101817</v>
      </c>
      <c r="X425" s="16">
        <f>SUM(Q425:W425)</f>
        <v>541891</v>
      </c>
      <c r="Y425" s="28">
        <v>69213</v>
      </c>
      <c r="Z425" s="28">
        <v>32302</v>
      </c>
      <c r="AA425" s="7">
        <v>14061</v>
      </c>
      <c r="AB425" s="16">
        <f t="shared" si="13"/>
        <v>115576</v>
      </c>
      <c r="AC425" s="7">
        <v>657467</v>
      </c>
      <c r="AD425" s="8">
        <v>3.6456548156918954E-3</v>
      </c>
      <c r="AE425" s="8">
        <v>4.0002207018318249E-4</v>
      </c>
      <c r="AF425" s="8">
        <v>5.7107145935695203E-4</v>
      </c>
      <c r="AG425" s="8">
        <v>7.2118273969309671E-4</v>
      </c>
      <c r="AH425" s="8">
        <v>7.4995647574024719E-4</v>
      </c>
      <c r="AI425" s="8">
        <v>5.2615189683127709E-4</v>
      </c>
      <c r="AJ425" s="8">
        <v>6.1875718200300538E-4</v>
      </c>
      <c r="AK425" s="8">
        <v>4.6234088971724963E-4</v>
      </c>
      <c r="AL425" s="8">
        <v>1.6098074422636369E-3</v>
      </c>
      <c r="AM425" s="8">
        <v>3.8404096436953274E-3</v>
      </c>
      <c r="AN425" s="8">
        <v>8.5023278734902281E-4</v>
      </c>
    </row>
    <row r="426" spans="1:40" x14ac:dyDescent="0.2">
      <c r="A426" t="s">
        <v>488</v>
      </c>
      <c r="B426">
        <v>2009</v>
      </c>
      <c r="C426" t="s">
        <v>489</v>
      </c>
      <c r="D426" s="7">
        <v>118</v>
      </c>
      <c r="E426" s="7">
        <v>44</v>
      </c>
      <c r="F426" s="7">
        <v>73</v>
      </c>
      <c r="G426" s="7">
        <v>57</v>
      </c>
      <c r="H426" s="7">
        <v>62</v>
      </c>
      <c r="I426" s="7">
        <v>55</v>
      </c>
      <c r="J426" s="7">
        <v>65</v>
      </c>
      <c r="K426" s="16">
        <f>SUM(D426:J426)</f>
        <v>474</v>
      </c>
      <c r="L426" s="28">
        <v>128</v>
      </c>
      <c r="M426" s="28">
        <v>351</v>
      </c>
      <c r="N426" s="7">
        <v>550</v>
      </c>
      <c r="O426" s="16">
        <f t="shared" si="12"/>
        <v>1029</v>
      </c>
      <c r="P426" s="7">
        <v>1503</v>
      </c>
      <c r="Q426" s="7">
        <v>520160.201</v>
      </c>
      <c r="R426" s="7">
        <v>992039.69600000023</v>
      </c>
      <c r="S426" s="7">
        <v>1108231.0219999999</v>
      </c>
      <c r="T426" s="7">
        <v>1040514.4959999997</v>
      </c>
      <c r="U426" s="7">
        <v>1141703.4109999998</v>
      </c>
      <c r="V426" s="7">
        <v>1134931.9290000002</v>
      </c>
      <c r="W426" s="7">
        <v>847941.7999999997</v>
      </c>
      <c r="X426" s="16">
        <f>SUM(Q426:W426)</f>
        <v>6785522.5549999997</v>
      </c>
      <c r="Y426" s="28">
        <v>489290.29199999978</v>
      </c>
      <c r="Z426" s="28">
        <v>299651.77899999992</v>
      </c>
      <c r="AA426" s="7">
        <v>111586.35300000006</v>
      </c>
      <c r="AB426" s="16">
        <f t="shared" si="13"/>
        <v>900528.42399999988</v>
      </c>
      <c r="AC426" s="7">
        <v>7686050.9789999994</v>
      </c>
      <c r="AD426" s="8">
        <v>2.2685318825459313E-4</v>
      </c>
      <c r="AE426" s="8">
        <v>4.435306387175054E-5</v>
      </c>
      <c r="AF426" s="8">
        <v>6.5870742246737073E-5</v>
      </c>
      <c r="AG426" s="8">
        <v>5.4780591927476633E-5</v>
      </c>
      <c r="AH426" s="8">
        <v>5.4304821552293677E-5</v>
      </c>
      <c r="AI426" s="8">
        <v>4.8461056204895958E-5</v>
      </c>
      <c r="AJ426" s="8">
        <v>7.6656204470637042E-5</v>
      </c>
      <c r="AK426" s="8">
        <v>2.6160339187763826E-4</v>
      </c>
      <c r="AL426" s="8">
        <v>1.1713596400840993E-3</v>
      </c>
      <c r="AM426" s="8">
        <v>4.9289181446767038E-3</v>
      </c>
      <c r="AN426" s="8">
        <v>1.9554905426811899E-4</v>
      </c>
    </row>
    <row r="427" spans="1:40" x14ac:dyDescent="0.2">
      <c r="A427" t="s">
        <v>488</v>
      </c>
      <c r="B427">
        <v>2010</v>
      </c>
      <c r="C427" t="s">
        <v>490</v>
      </c>
      <c r="D427" s="7">
        <v>101</v>
      </c>
      <c r="E427" s="7">
        <v>47</v>
      </c>
      <c r="F427" s="7">
        <v>42</v>
      </c>
      <c r="G427" s="7">
        <v>69</v>
      </c>
      <c r="H427" s="7">
        <v>51</v>
      </c>
      <c r="I427" s="7">
        <v>60</v>
      </c>
      <c r="J427" s="7">
        <v>71</v>
      </c>
      <c r="K427" s="16">
        <f>SUM(D427:J427)</f>
        <v>441</v>
      </c>
      <c r="L427" s="28">
        <v>148</v>
      </c>
      <c r="M427" s="28">
        <v>329</v>
      </c>
      <c r="N427" s="7">
        <v>581</v>
      </c>
      <c r="O427" s="16">
        <f t="shared" si="12"/>
        <v>1058</v>
      </c>
      <c r="P427" s="7">
        <v>1499</v>
      </c>
      <c r="Q427" s="7">
        <v>491480.57300000015</v>
      </c>
      <c r="R427" s="7">
        <v>980611.00600000005</v>
      </c>
      <c r="S427" s="7">
        <v>1065176.642</v>
      </c>
      <c r="T427" s="7">
        <v>1020824.8029999998</v>
      </c>
      <c r="U427" s="7">
        <v>1108666.9980000001</v>
      </c>
      <c r="V427" s="7">
        <v>1146428.6980000001</v>
      </c>
      <c r="W427" s="7">
        <v>868867.44900000014</v>
      </c>
      <c r="X427" s="16">
        <f>SUM(Q427:W427)</f>
        <v>6682056.1689999998</v>
      </c>
      <c r="Y427" s="28">
        <v>492348.85199999984</v>
      </c>
      <c r="Z427" s="28">
        <v>289073.95099999988</v>
      </c>
      <c r="AA427" s="7">
        <v>107965.701</v>
      </c>
      <c r="AB427" s="16">
        <f t="shared" si="13"/>
        <v>889388.50399999972</v>
      </c>
      <c r="AC427" s="7">
        <v>7571444.6729999995</v>
      </c>
      <c r="AD427" s="8">
        <v>2.0550151022958129E-4</v>
      </c>
      <c r="AE427" s="8">
        <v>4.7929300928119501E-5</v>
      </c>
      <c r="AF427" s="8">
        <v>3.9430079804547573E-5</v>
      </c>
      <c r="AG427" s="8">
        <v>6.7592401553354505E-5</v>
      </c>
      <c r="AH427" s="8">
        <v>4.6001188898021108E-5</v>
      </c>
      <c r="AI427" s="8">
        <v>5.2336442819926684E-5</v>
      </c>
      <c r="AJ427" s="8">
        <v>8.1715571324159463E-5</v>
      </c>
      <c r="AK427" s="8">
        <v>3.0059986816014764E-4</v>
      </c>
      <c r="AL427" s="8">
        <v>1.1381170764846954E-3</v>
      </c>
      <c r="AM427" s="8">
        <v>5.3813386530968755E-3</v>
      </c>
      <c r="AN427" s="8">
        <v>1.9798071104520901E-4</v>
      </c>
    </row>
    <row r="428" spans="1:40" x14ac:dyDescent="0.2">
      <c r="A428" t="s">
        <v>488</v>
      </c>
      <c r="B428">
        <v>2011</v>
      </c>
      <c r="C428" t="s">
        <v>491</v>
      </c>
      <c r="D428" s="7">
        <v>100</v>
      </c>
      <c r="E428" s="7">
        <v>60</v>
      </c>
      <c r="F428" s="7">
        <v>54</v>
      </c>
      <c r="G428" s="7">
        <v>46</v>
      </c>
      <c r="H428" s="7">
        <v>51</v>
      </c>
      <c r="I428" s="7">
        <v>85</v>
      </c>
      <c r="J428" s="7">
        <v>97</v>
      </c>
      <c r="K428" s="16">
        <f>SUM(D428:J428)</f>
        <v>493</v>
      </c>
      <c r="L428" s="28">
        <v>197</v>
      </c>
      <c r="M428" s="28">
        <v>346</v>
      </c>
      <c r="N428" s="7">
        <v>661</v>
      </c>
      <c r="O428" s="16">
        <f t="shared" si="12"/>
        <v>1204</v>
      </c>
      <c r="P428" s="7">
        <v>1697</v>
      </c>
      <c r="Q428" s="7">
        <v>508880.315</v>
      </c>
      <c r="R428" s="7">
        <v>1017991.3870000001</v>
      </c>
      <c r="S428" s="7">
        <v>1117069.1209999998</v>
      </c>
      <c r="T428" s="7">
        <v>1071799.1509999998</v>
      </c>
      <c r="U428" s="7">
        <v>1126467.4209999996</v>
      </c>
      <c r="V428" s="7">
        <v>1193534.9299999997</v>
      </c>
      <c r="W428" s="7">
        <v>927378.223</v>
      </c>
      <c r="X428" s="16">
        <f>SUM(Q428:W428)</f>
        <v>6963120.5479999995</v>
      </c>
      <c r="Y428" s="28">
        <v>531499.228</v>
      </c>
      <c r="Z428" s="28">
        <v>302107.88100000011</v>
      </c>
      <c r="AA428" s="7">
        <v>117058.30799999998</v>
      </c>
      <c r="AB428" s="16">
        <f t="shared" si="13"/>
        <v>950665.41700000013</v>
      </c>
      <c r="AC428" s="7">
        <v>7913785.9649999999</v>
      </c>
      <c r="AD428" s="8">
        <v>1.9650986106625092E-4</v>
      </c>
      <c r="AE428" s="8">
        <v>5.8939594937849893E-5</v>
      </c>
      <c r="AF428" s="8">
        <v>4.83407866038399E-5</v>
      </c>
      <c r="AG428" s="8">
        <v>4.291848893244739E-5</v>
      </c>
      <c r="AH428" s="8">
        <v>4.5274278731226631E-5</v>
      </c>
      <c r="AI428" s="8">
        <v>7.1217019178483555E-5</v>
      </c>
      <c r="AJ428" s="8">
        <v>1.0459594326704391E-4</v>
      </c>
      <c r="AK428" s="8">
        <v>3.7064964466891002E-4</v>
      </c>
      <c r="AL428" s="8">
        <v>1.1452862429629893E-3</v>
      </c>
      <c r="AM428" s="8">
        <v>5.6467585367798081E-3</v>
      </c>
      <c r="AN428" s="8">
        <v>2.1443592327430352E-4</v>
      </c>
    </row>
    <row r="429" spans="1:40" x14ac:dyDescent="0.2">
      <c r="A429" t="s">
        <v>488</v>
      </c>
      <c r="B429">
        <v>2012</v>
      </c>
      <c r="C429" t="s">
        <v>492</v>
      </c>
      <c r="D429" s="7">
        <v>87</v>
      </c>
      <c r="E429" s="7">
        <v>37</v>
      </c>
      <c r="F429" s="7">
        <v>60</v>
      </c>
      <c r="G429" s="7">
        <v>61</v>
      </c>
      <c r="H429" s="7">
        <v>44</v>
      </c>
      <c r="I429" s="7">
        <v>58</v>
      </c>
      <c r="J429" s="7">
        <v>59</v>
      </c>
      <c r="K429" s="16">
        <f>SUM(D429:J429)</f>
        <v>406</v>
      </c>
      <c r="L429" s="28">
        <v>132</v>
      </c>
      <c r="M429" s="28">
        <v>330</v>
      </c>
      <c r="N429" s="7">
        <v>643</v>
      </c>
      <c r="O429" s="16">
        <f t="shared" si="12"/>
        <v>1105</v>
      </c>
      <c r="P429" s="7">
        <v>1511</v>
      </c>
      <c r="Q429" s="7">
        <v>484483.03699999989</v>
      </c>
      <c r="R429" s="7">
        <v>979830.39500000002</v>
      </c>
      <c r="S429" s="7">
        <v>1067079.6940000006</v>
      </c>
      <c r="T429" s="7">
        <v>1040960.1819999996</v>
      </c>
      <c r="U429" s="7">
        <v>1065642.9179999998</v>
      </c>
      <c r="V429" s="7">
        <v>1147663.7379999999</v>
      </c>
      <c r="W429" s="7">
        <v>909371.35099999991</v>
      </c>
      <c r="X429" s="16">
        <f>SUM(Q429:W429)</f>
        <v>6695031.3149999995</v>
      </c>
      <c r="Y429" s="28">
        <v>526110.321</v>
      </c>
      <c r="Z429" s="28">
        <v>289142.07600000006</v>
      </c>
      <c r="AA429" s="7">
        <v>114265.446</v>
      </c>
      <c r="AB429" s="16">
        <f t="shared" si="13"/>
        <v>929517.84300000011</v>
      </c>
      <c r="AC429" s="7">
        <v>7624549.1579999998</v>
      </c>
      <c r="AD429" s="8">
        <v>1.7957285055575644E-4</v>
      </c>
      <c r="AE429" s="8">
        <v>3.7761637308669122E-5</v>
      </c>
      <c r="AF429" s="8">
        <v>5.6228227692242045E-5</v>
      </c>
      <c r="AG429" s="8">
        <v>5.8599743827665469E-5</v>
      </c>
      <c r="AH429" s="8">
        <v>4.1289628314313078E-5</v>
      </c>
      <c r="AI429" s="8">
        <v>5.0537451066524858E-5</v>
      </c>
      <c r="AJ429" s="8">
        <v>6.4879985426327777E-5</v>
      </c>
      <c r="AK429" s="8">
        <v>2.5089794807503881E-4</v>
      </c>
      <c r="AL429" s="8">
        <v>1.1413074311605895E-3</v>
      </c>
      <c r="AM429" s="8">
        <v>5.6272479783608421E-3</v>
      </c>
      <c r="AN429" s="8">
        <v>1.9817565192226412E-4</v>
      </c>
    </row>
    <row r="430" spans="1:40" x14ac:dyDescent="0.2">
      <c r="A430" t="s">
        <v>488</v>
      </c>
      <c r="B430">
        <v>2013</v>
      </c>
      <c r="C430" t="s">
        <v>493</v>
      </c>
      <c r="D430" s="7">
        <v>78</v>
      </c>
      <c r="E430" s="7">
        <v>53</v>
      </c>
      <c r="F430" s="7">
        <v>45</v>
      </c>
      <c r="G430" s="7">
        <v>48</v>
      </c>
      <c r="H430" s="7">
        <v>62</v>
      </c>
      <c r="I430" s="7">
        <v>54</v>
      </c>
      <c r="J430" s="7">
        <v>80</v>
      </c>
      <c r="K430" s="16">
        <f>SUM(D430:J430)</f>
        <v>420</v>
      </c>
      <c r="L430" s="28">
        <v>198</v>
      </c>
      <c r="M430" s="28">
        <v>382</v>
      </c>
      <c r="N430" s="7">
        <v>649</v>
      </c>
      <c r="O430" s="16">
        <f t="shared" si="12"/>
        <v>1229</v>
      </c>
      <c r="P430" s="7">
        <v>1649</v>
      </c>
      <c r="Q430" s="7">
        <v>514047.91599999997</v>
      </c>
      <c r="R430" s="7">
        <v>1039829.0399999998</v>
      </c>
      <c r="S430" s="7">
        <v>1111505.6909999996</v>
      </c>
      <c r="T430" s="7">
        <v>1111687.7919999997</v>
      </c>
      <c r="U430" s="7">
        <v>1102910.8250000002</v>
      </c>
      <c r="V430" s="7">
        <v>1202101.9550000001</v>
      </c>
      <c r="W430" s="7">
        <v>978937.39600000018</v>
      </c>
      <c r="X430" s="16">
        <f>SUM(Q430:W430)</f>
        <v>7061020.6150000002</v>
      </c>
      <c r="Y430" s="28">
        <v>582322.78</v>
      </c>
      <c r="Z430" s="28">
        <v>309379.87400000013</v>
      </c>
      <c r="AA430" s="7">
        <v>125104.54800000004</v>
      </c>
      <c r="AB430" s="16">
        <f t="shared" si="13"/>
        <v>1016807.2020000002</v>
      </c>
      <c r="AC430" s="7">
        <v>8077827.8170000007</v>
      </c>
      <c r="AD430" s="8">
        <v>1.5173682758398734E-4</v>
      </c>
      <c r="AE430" s="8">
        <v>5.0969917131762359E-5</v>
      </c>
      <c r="AF430" s="8">
        <v>4.0485622668755203E-5</v>
      </c>
      <c r="AG430" s="8">
        <v>4.3177590277972589E-5</v>
      </c>
      <c r="AH430" s="8">
        <v>5.621488029188578E-5</v>
      </c>
      <c r="AI430" s="8">
        <v>4.4921314515290011E-5</v>
      </c>
      <c r="AJ430" s="8">
        <v>8.1721262592362933E-5</v>
      </c>
      <c r="AK430" s="8">
        <v>3.4001761016458945E-4</v>
      </c>
      <c r="AL430" s="8">
        <v>1.2347280224181611E-3</v>
      </c>
      <c r="AM430" s="8">
        <v>5.1876611232390991E-3</v>
      </c>
      <c r="AN430" s="8">
        <v>2.0413903803812657E-4</v>
      </c>
    </row>
    <row r="431" spans="1:40" x14ac:dyDescent="0.2">
      <c r="A431" t="s">
        <v>488</v>
      </c>
      <c r="B431">
        <v>2014</v>
      </c>
      <c r="C431" t="s">
        <v>494</v>
      </c>
      <c r="D431" s="7">
        <v>92</v>
      </c>
      <c r="E431" s="7">
        <v>52</v>
      </c>
      <c r="F431" s="7">
        <v>55</v>
      </c>
      <c r="G431" s="7">
        <v>42</v>
      </c>
      <c r="H431" s="7">
        <v>80</v>
      </c>
      <c r="I431" s="7">
        <v>55</v>
      </c>
      <c r="J431" s="7">
        <v>133</v>
      </c>
      <c r="K431" s="16">
        <f>SUM(D431:J431)</f>
        <v>509</v>
      </c>
      <c r="L431" s="28">
        <v>237</v>
      </c>
      <c r="M431" s="28">
        <v>372</v>
      </c>
      <c r="N431" s="7">
        <v>620</v>
      </c>
      <c r="O431" s="16">
        <f t="shared" si="12"/>
        <v>1229</v>
      </c>
      <c r="P431" s="7">
        <v>1738</v>
      </c>
      <c r="Q431" s="7">
        <v>504885.02699999994</v>
      </c>
      <c r="R431" s="7">
        <v>1031533.0980000003</v>
      </c>
      <c r="S431" s="7">
        <v>1120390.7050000003</v>
      </c>
      <c r="T431" s="7">
        <v>1121477.3060000001</v>
      </c>
      <c r="U431" s="7">
        <v>1089345.2340000004</v>
      </c>
      <c r="V431" s="7">
        <v>1190254.5730000001</v>
      </c>
      <c r="W431" s="7">
        <v>1002775.7540000001</v>
      </c>
      <c r="X431" s="16">
        <f>SUM(Q431:W431)</f>
        <v>7060661.6970000006</v>
      </c>
      <c r="Y431" s="28">
        <v>612465.08700000052</v>
      </c>
      <c r="Z431" s="28">
        <v>310641.24000000017</v>
      </c>
      <c r="AA431" s="7">
        <v>129442.75900000002</v>
      </c>
      <c r="AB431" s="16">
        <f t="shared" si="13"/>
        <v>1052549.0860000008</v>
      </c>
      <c r="AC431" s="7">
        <v>8113210.7830000008</v>
      </c>
      <c r="AD431" s="8">
        <v>1.8221970365542254E-4</v>
      </c>
      <c r="AE431" s="8">
        <v>5.041040379685421E-5</v>
      </c>
      <c r="AF431" s="8">
        <v>4.9090018111137386E-5</v>
      </c>
      <c r="AG431" s="8">
        <v>3.7450601786854163E-5</v>
      </c>
      <c r="AH431" s="8">
        <v>7.3438610188108615E-5</v>
      </c>
      <c r="AI431" s="8">
        <v>4.6208602132377604E-5</v>
      </c>
      <c r="AJ431" s="8">
        <v>1.3263184662121378E-4</v>
      </c>
      <c r="AK431" s="8">
        <v>3.8696083259354797E-4</v>
      </c>
      <c r="AL431" s="8">
        <v>1.1975229045570375E-3</v>
      </c>
      <c r="AM431" s="8">
        <v>4.7897619363938305E-3</v>
      </c>
      <c r="AN431" s="8">
        <v>2.1421851921334456E-4</v>
      </c>
    </row>
    <row r="432" spans="1:40" x14ac:dyDescent="0.2">
      <c r="A432" t="s">
        <v>488</v>
      </c>
      <c r="B432">
        <v>2015</v>
      </c>
      <c r="C432" t="s">
        <v>495</v>
      </c>
      <c r="D432" s="7">
        <v>97</v>
      </c>
      <c r="E432" s="7">
        <v>59</v>
      </c>
      <c r="F432" s="7">
        <v>52</v>
      </c>
      <c r="G432" s="7">
        <v>62</v>
      </c>
      <c r="H432" s="7">
        <v>41</v>
      </c>
      <c r="I432" s="7">
        <v>56</v>
      </c>
      <c r="J432" s="7">
        <v>111</v>
      </c>
      <c r="K432" s="16">
        <f>SUM(D432:J432)</f>
        <v>478</v>
      </c>
      <c r="L432" s="28">
        <v>224</v>
      </c>
      <c r="M432" s="28">
        <v>350</v>
      </c>
      <c r="N432" s="7">
        <v>632</v>
      </c>
      <c r="O432" s="16">
        <f t="shared" si="12"/>
        <v>1206</v>
      </c>
      <c r="P432" s="7">
        <v>1684</v>
      </c>
      <c r="Q432" s="7">
        <v>519156.76800000004</v>
      </c>
      <c r="R432" s="7">
        <v>1053620.382</v>
      </c>
      <c r="S432" s="7">
        <v>1150864.8640000001</v>
      </c>
      <c r="T432" s="7">
        <v>1162712.5460000003</v>
      </c>
      <c r="U432" s="7">
        <v>1102699.5280000002</v>
      </c>
      <c r="V432" s="7">
        <v>1195958.9739999999</v>
      </c>
      <c r="W432" s="7">
        <v>1033636.951</v>
      </c>
      <c r="X432" s="16">
        <f>SUM(Q432:W432)</f>
        <v>7218650.0130000012</v>
      </c>
      <c r="Y432" s="28">
        <v>645862.08500000008</v>
      </c>
      <c r="Z432" s="28">
        <v>323496.64199999999</v>
      </c>
      <c r="AA432" s="7">
        <v>138347.98799999995</v>
      </c>
      <c r="AB432" s="16">
        <f t="shared" si="13"/>
        <v>1107706.7150000001</v>
      </c>
      <c r="AC432" s="7">
        <v>8326356.7280000011</v>
      </c>
      <c r="AD432" s="8">
        <v>1.8684144362344129E-4</v>
      </c>
      <c r="AE432" s="8">
        <v>5.5997398121707936E-5</v>
      </c>
      <c r="AF432" s="8">
        <v>4.5183410864822441E-5</v>
      </c>
      <c r="AG432" s="8">
        <v>5.3323583901536386E-5</v>
      </c>
      <c r="AH432" s="8">
        <v>3.7181479595228408E-5</v>
      </c>
      <c r="AI432" s="8">
        <v>4.6824348675358494E-5</v>
      </c>
      <c r="AJ432" s="8">
        <v>1.0738780177373903E-4</v>
      </c>
      <c r="AK432" s="8">
        <v>3.4682326955297273E-4</v>
      </c>
      <c r="AL432" s="8">
        <v>1.0819277685114271E-3</v>
      </c>
      <c r="AM432" s="8">
        <v>4.5681907567748673E-3</v>
      </c>
      <c r="AN432" s="8">
        <v>2.0224932164352493E-4</v>
      </c>
    </row>
    <row r="433" spans="1:40" x14ac:dyDescent="0.2">
      <c r="A433" t="s">
        <v>488</v>
      </c>
      <c r="B433">
        <v>2016</v>
      </c>
      <c r="C433" t="s">
        <v>496</v>
      </c>
      <c r="D433" s="7">
        <v>87</v>
      </c>
      <c r="E433" s="7">
        <v>51</v>
      </c>
      <c r="F433" s="7">
        <v>65</v>
      </c>
      <c r="G433" s="7">
        <v>73</v>
      </c>
      <c r="H433" s="7">
        <v>52</v>
      </c>
      <c r="I433" s="7">
        <v>55</v>
      </c>
      <c r="J433" s="7">
        <v>106</v>
      </c>
      <c r="K433" s="16">
        <f>SUM(D433:J433)</f>
        <v>489</v>
      </c>
      <c r="L433" s="28">
        <v>193</v>
      </c>
      <c r="M433" s="28">
        <v>295</v>
      </c>
      <c r="N433" s="7">
        <v>494</v>
      </c>
      <c r="O433" s="16">
        <f t="shared" si="12"/>
        <v>982</v>
      </c>
      <c r="P433" s="7">
        <v>1471</v>
      </c>
      <c r="Q433" s="7">
        <v>504927.08199999988</v>
      </c>
      <c r="R433" s="7">
        <v>1028817.1699999998</v>
      </c>
      <c r="S433" s="7">
        <v>1129045.1639999999</v>
      </c>
      <c r="T433" s="7">
        <v>1143409.2350000003</v>
      </c>
      <c r="U433" s="7">
        <v>1080543.0089999998</v>
      </c>
      <c r="V433" s="7">
        <v>1159132.4720000005</v>
      </c>
      <c r="W433" s="7">
        <v>1022770.4740000006</v>
      </c>
      <c r="X433" s="16">
        <f>SUM(Q433:W433)</f>
        <v>7068644.6059999997</v>
      </c>
      <c r="Y433" s="28">
        <v>658056.87000000023</v>
      </c>
      <c r="Z433" s="28">
        <v>319672.10800000001</v>
      </c>
      <c r="AA433" s="7">
        <v>132259.74100000004</v>
      </c>
      <c r="AB433" s="16">
        <f t="shared" si="13"/>
        <v>1109988.7190000003</v>
      </c>
      <c r="AC433" s="7">
        <v>8178633.3250000002</v>
      </c>
      <c r="AD433" s="8">
        <v>1.7230210678222251E-4</v>
      </c>
      <c r="AE433" s="8">
        <v>4.9571489947042786E-5</v>
      </c>
      <c r="AF433" s="8">
        <v>5.7570770481596085E-5</v>
      </c>
      <c r="AG433" s="8">
        <v>6.384415812419075E-5</v>
      </c>
      <c r="AH433" s="8">
        <v>4.8123952093423808E-5</v>
      </c>
      <c r="AI433" s="8">
        <v>4.7449278946608595E-5</v>
      </c>
      <c r="AJ433" s="8">
        <v>1.0364006655905862E-4</v>
      </c>
      <c r="AK433" s="8">
        <v>2.932877214700303E-4</v>
      </c>
      <c r="AL433" s="8">
        <v>9.2282057964218763E-4</v>
      </c>
      <c r="AM433" s="8">
        <v>3.7350746059604022E-3</v>
      </c>
      <c r="AN433" s="8">
        <v>1.7985890081458078E-4</v>
      </c>
    </row>
    <row r="434" spans="1:40" x14ac:dyDescent="0.2">
      <c r="A434" t="s">
        <v>488</v>
      </c>
      <c r="B434">
        <v>2017</v>
      </c>
      <c r="C434" t="s">
        <v>497</v>
      </c>
      <c r="D434" s="7">
        <v>125</v>
      </c>
      <c r="E434" s="7">
        <v>53</v>
      </c>
      <c r="F434" s="7">
        <v>53</v>
      </c>
      <c r="G434" s="7">
        <v>59</v>
      </c>
      <c r="H434" s="7">
        <v>54</v>
      </c>
      <c r="I434" s="7">
        <v>59</v>
      </c>
      <c r="J434" s="7">
        <v>114</v>
      </c>
      <c r="K434" s="16">
        <f>SUM(D434:J434)</f>
        <v>517</v>
      </c>
      <c r="L434" s="28">
        <v>213</v>
      </c>
      <c r="M434" s="28">
        <v>315</v>
      </c>
      <c r="N434" s="7">
        <v>511</v>
      </c>
      <c r="O434" s="16">
        <f t="shared" si="12"/>
        <v>1039</v>
      </c>
      <c r="P434" s="7">
        <v>1556</v>
      </c>
      <c r="Q434" s="7">
        <v>504724</v>
      </c>
      <c r="R434" s="7">
        <v>1028939</v>
      </c>
      <c r="S434" s="7">
        <v>1121874</v>
      </c>
      <c r="T434" s="7">
        <v>1149295</v>
      </c>
      <c r="U434" s="7">
        <v>1080076</v>
      </c>
      <c r="V434" s="7">
        <v>1149272</v>
      </c>
      <c r="W434" s="7">
        <v>1038827</v>
      </c>
      <c r="X434" s="16">
        <f>SUM(Q434:W434)</f>
        <v>7073007</v>
      </c>
      <c r="Y434" s="28">
        <v>684948</v>
      </c>
      <c r="Z434" s="28">
        <v>330496</v>
      </c>
      <c r="AA434" s="7">
        <v>137011</v>
      </c>
      <c r="AB434" s="16">
        <f t="shared" si="13"/>
        <v>1152455</v>
      </c>
      <c r="AC434" s="7">
        <v>8225462</v>
      </c>
      <c r="AD434" s="8">
        <v>2.476601073061713E-4</v>
      </c>
      <c r="AE434" s="8">
        <v>5.1509370331963315E-5</v>
      </c>
      <c r="AF434" s="8">
        <v>4.7242381943070256E-5</v>
      </c>
      <c r="AG434" s="8">
        <v>5.1335818915074026E-5</v>
      </c>
      <c r="AH434" s="8">
        <v>4.9996481729063507E-5</v>
      </c>
      <c r="AI434" s="8">
        <v>5.1336846281820146E-5</v>
      </c>
      <c r="AJ434" s="8">
        <v>1.0973915772308575E-4</v>
      </c>
      <c r="AK434" s="8">
        <v>3.1097251178191629E-4</v>
      </c>
      <c r="AL434" s="8">
        <v>9.5311289697908594E-4</v>
      </c>
      <c r="AM434" s="8">
        <v>3.7296275481530682E-3</v>
      </c>
      <c r="AN434" s="8">
        <v>1.8916870566054527E-4</v>
      </c>
    </row>
    <row r="435" spans="1:40" x14ac:dyDescent="0.2">
      <c r="A435" t="s">
        <v>498</v>
      </c>
      <c r="B435">
        <v>2009</v>
      </c>
      <c r="C435" t="s">
        <v>499</v>
      </c>
      <c r="D435" s="7">
        <v>134</v>
      </c>
      <c r="E435" s="7">
        <v>47</v>
      </c>
      <c r="F435" s="7">
        <v>59</v>
      </c>
      <c r="G435" s="7">
        <v>48</v>
      </c>
      <c r="H435" s="7">
        <v>60</v>
      </c>
      <c r="I435" s="7">
        <v>77</v>
      </c>
      <c r="J435" s="7">
        <v>82</v>
      </c>
      <c r="K435" s="16">
        <f>SUM(D435:J435)</f>
        <v>507</v>
      </c>
      <c r="L435" s="28">
        <v>86</v>
      </c>
      <c r="M435" s="28">
        <v>148</v>
      </c>
      <c r="N435" s="7">
        <v>320</v>
      </c>
      <c r="O435" s="16">
        <f t="shared" si="12"/>
        <v>554</v>
      </c>
      <c r="P435" s="7">
        <v>1061</v>
      </c>
      <c r="Q435" s="7">
        <v>431513.32899999997</v>
      </c>
      <c r="R435" s="7">
        <v>844117.80799999984</v>
      </c>
      <c r="S435" s="7">
        <v>900477.19400000013</v>
      </c>
      <c r="T435" s="7">
        <v>895432.0340000001</v>
      </c>
      <c r="U435" s="7">
        <v>922174.39899999998</v>
      </c>
      <c r="V435" s="7">
        <v>972846.60000000021</v>
      </c>
      <c r="W435" s="7">
        <v>738332.50100000016</v>
      </c>
      <c r="X435" s="16">
        <f>SUM(Q435:W435)</f>
        <v>5704893.8650000012</v>
      </c>
      <c r="Y435" s="28">
        <v>400285.478</v>
      </c>
      <c r="Z435" s="28">
        <v>255177.58699999994</v>
      </c>
      <c r="AA435" s="7">
        <v>103078.38500000001</v>
      </c>
      <c r="AB435" s="16">
        <f t="shared" si="13"/>
        <v>758541.45</v>
      </c>
      <c r="AC435" s="7">
        <v>6463435.3150000013</v>
      </c>
      <c r="AD435" s="8">
        <v>3.1053501941767365E-4</v>
      </c>
      <c r="AE435" s="8">
        <v>5.5679431892757804E-5</v>
      </c>
      <c r="AF435" s="8">
        <v>6.5520815400017766E-5</v>
      </c>
      <c r="AG435" s="8">
        <v>5.3605408537349687E-5</v>
      </c>
      <c r="AH435" s="8">
        <v>6.506361493559528E-5</v>
      </c>
      <c r="AI435" s="8">
        <v>7.9149169046795236E-5</v>
      </c>
      <c r="AJ435" s="8">
        <v>1.1106107328194128E-4</v>
      </c>
      <c r="AK435" s="8">
        <v>2.1484666500941611E-4</v>
      </c>
      <c r="AL435" s="8">
        <v>5.7998824167892159E-4</v>
      </c>
      <c r="AM435" s="8">
        <v>3.1044335822684841E-3</v>
      </c>
      <c r="AN435" s="8">
        <v>1.641541917403717E-4</v>
      </c>
    </row>
    <row r="436" spans="1:40" x14ac:dyDescent="0.2">
      <c r="A436" t="s">
        <v>498</v>
      </c>
      <c r="B436">
        <v>2010</v>
      </c>
      <c r="C436" t="s">
        <v>500</v>
      </c>
      <c r="D436" s="7">
        <v>104</v>
      </c>
      <c r="E436" s="7">
        <v>42</v>
      </c>
      <c r="F436" s="7">
        <v>64</v>
      </c>
      <c r="G436" s="7">
        <v>67</v>
      </c>
      <c r="H436" s="7">
        <v>51</v>
      </c>
      <c r="I436" s="7">
        <v>55</v>
      </c>
      <c r="J436" s="7">
        <v>55</v>
      </c>
      <c r="K436" s="16">
        <f>SUM(D436:J436)</f>
        <v>438</v>
      </c>
      <c r="L436" s="28">
        <v>45</v>
      </c>
      <c r="M436" s="28">
        <v>124</v>
      </c>
      <c r="N436" s="7">
        <v>298</v>
      </c>
      <c r="O436" s="16">
        <f t="shared" si="12"/>
        <v>467</v>
      </c>
      <c r="P436" s="7">
        <v>905</v>
      </c>
      <c r="Q436" s="7">
        <v>425379.18200000009</v>
      </c>
      <c r="R436" s="7">
        <v>853474.2100000002</v>
      </c>
      <c r="S436" s="7">
        <v>915993.04799999995</v>
      </c>
      <c r="T436" s="7">
        <v>895183.06699999992</v>
      </c>
      <c r="U436" s="7">
        <v>921788.9049999998</v>
      </c>
      <c r="V436" s="7">
        <v>977533.29300000018</v>
      </c>
      <c r="W436" s="7">
        <v>774018.30899999978</v>
      </c>
      <c r="X436" s="16">
        <f>SUM(Q436:W436)</f>
        <v>5763370.0139999995</v>
      </c>
      <c r="Y436" s="28">
        <v>415531.68199999997</v>
      </c>
      <c r="Z436" s="28">
        <v>253453.77699999997</v>
      </c>
      <c r="AA436" s="7">
        <v>106946.40900000001</v>
      </c>
      <c r="AB436" s="16">
        <f t="shared" si="13"/>
        <v>775931.8679999999</v>
      </c>
      <c r="AC436" s="7">
        <v>6539301.8819999993</v>
      </c>
      <c r="AD436" s="8">
        <v>2.4448775210630778E-4</v>
      </c>
      <c r="AE436" s="8">
        <v>4.9210625825471623E-5</v>
      </c>
      <c r="AF436" s="8">
        <v>6.9869525909327647E-5</v>
      </c>
      <c r="AG436" s="8">
        <v>7.4845026084480217E-5</v>
      </c>
      <c r="AH436" s="8">
        <v>5.5327200971246244E-5</v>
      </c>
      <c r="AI436" s="8">
        <v>5.6264068337977301E-5</v>
      </c>
      <c r="AJ436" s="8">
        <v>7.1057750650702005E-5</v>
      </c>
      <c r="AK436" s="8">
        <v>1.0829499157178587E-4</v>
      </c>
      <c r="AL436" s="8">
        <v>4.8924108161939133E-4</v>
      </c>
      <c r="AM436" s="8">
        <v>2.7864423199099649E-3</v>
      </c>
      <c r="AN436" s="8">
        <v>1.3839397787875364E-4</v>
      </c>
    </row>
    <row r="437" spans="1:40" x14ac:dyDescent="0.2">
      <c r="A437" t="s">
        <v>498</v>
      </c>
      <c r="B437">
        <v>2011</v>
      </c>
      <c r="C437" t="s">
        <v>501</v>
      </c>
      <c r="D437" s="7">
        <v>114</v>
      </c>
      <c r="E437" s="7">
        <v>49</v>
      </c>
      <c r="F437" s="7">
        <v>66</v>
      </c>
      <c r="G437" s="7">
        <v>49</v>
      </c>
      <c r="H437" s="7">
        <v>55</v>
      </c>
      <c r="I437" s="7">
        <v>49</v>
      </c>
      <c r="J437" s="7">
        <v>63</v>
      </c>
      <c r="K437" s="16">
        <f>SUM(D437:J437)</f>
        <v>445</v>
      </c>
      <c r="L437" s="28">
        <v>91</v>
      </c>
      <c r="M437" s="28">
        <v>170</v>
      </c>
      <c r="N437" s="7">
        <v>365</v>
      </c>
      <c r="O437" s="16">
        <f t="shared" si="12"/>
        <v>626</v>
      </c>
      <c r="P437" s="7">
        <v>1071</v>
      </c>
      <c r="Q437" s="7">
        <v>431446.04999999993</v>
      </c>
      <c r="R437" s="7">
        <v>858672.20100000012</v>
      </c>
      <c r="S437" s="7">
        <v>921586.12300000002</v>
      </c>
      <c r="T437" s="7">
        <v>915263.39800000028</v>
      </c>
      <c r="U437" s="7">
        <v>912897.66399999999</v>
      </c>
      <c r="V437" s="7">
        <v>978297.68700000003</v>
      </c>
      <c r="W437" s="7">
        <v>805824.68099999987</v>
      </c>
      <c r="X437" s="16">
        <f>SUM(Q437:W437)</f>
        <v>5823987.8040000005</v>
      </c>
      <c r="Y437" s="28">
        <v>437026.83799999999</v>
      </c>
      <c r="Z437" s="28">
        <v>256535.08400000003</v>
      </c>
      <c r="AA437" s="7">
        <v>111299.74999999999</v>
      </c>
      <c r="AB437" s="16">
        <f t="shared" si="13"/>
        <v>804861.67200000002</v>
      </c>
      <c r="AC437" s="7">
        <v>6628849.4760000007</v>
      </c>
      <c r="AD437" s="8">
        <v>2.6422770587423392E-4</v>
      </c>
      <c r="AE437" s="8">
        <v>5.7064849593285007E-5</v>
      </c>
      <c r="AF437" s="8">
        <v>7.1615661686780845E-5</v>
      </c>
      <c r="AG437" s="8">
        <v>5.3536501194162233E-5</v>
      </c>
      <c r="AH437" s="8">
        <v>6.0247716878811075E-5</v>
      </c>
      <c r="AI437" s="8">
        <v>5.0087003834447378E-5</v>
      </c>
      <c r="AJ437" s="8">
        <v>7.8180777389219743E-5</v>
      </c>
      <c r="AK437" s="8">
        <v>2.0822519828862318E-4</v>
      </c>
      <c r="AL437" s="8">
        <v>6.6267739035647845E-4</v>
      </c>
      <c r="AM437" s="8">
        <v>3.2794323437384185E-3</v>
      </c>
      <c r="AN437" s="8">
        <v>1.6156649866279146E-4</v>
      </c>
    </row>
    <row r="438" spans="1:40" x14ac:dyDescent="0.2">
      <c r="A438" t="s">
        <v>498</v>
      </c>
      <c r="B438">
        <v>2012</v>
      </c>
      <c r="C438" t="s">
        <v>502</v>
      </c>
      <c r="D438" s="7">
        <v>135</v>
      </c>
      <c r="E438" s="7">
        <v>58</v>
      </c>
      <c r="F438" s="7">
        <v>47</v>
      </c>
      <c r="G438" s="7">
        <v>48</v>
      </c>
      <c r="H438" s="7">
        <v>49</v>
      </c>
      <c r="I438" s="7">
        <v>71</v>
      </c>
      <c r="J438" s="7">
        <v>40</v>
      </c>
      <c r="K438" s="16">
        <f>SUM(D438:J438)</f>
        <v>448</v>
      </c>
      <c r="L438" s="28">
        <v>51</v>
      </c>
      <c r="M438" s="28">
        <v>157</v>
      </c>
      <c r="N438" s="7">
        <v>356</v>
      </c>
      <c r="O438" s="16">
        <f t="shared" si="12"/>
        <v>564</v>
      </c>
      <c r="P438" s="7">
        <v>1012</v>
      </c>
      <c r="Q438" s="7">
        <v>439010.62700000004</v>
      </c>
      <c r="R438" s="7">
        <v>868375.25599999994</v>
      </c>
      <c r="S438" s="7">
        <v>931726.18500000006</v>
      </c>
      <c r="T438" s="7">
        <v>943523.18099999975</v>
      </c>
      <c r="U438" s="7">
        <v>916011.49700000009</v>
      </c>
      <c r="V438" s="7">
        <v>985833.85600000003</v>
      </c>
      <c r="W438" s="7">
        <v>840025.50900000008</v>
      </c>
      <c r="X438" s="16">
        <f>SUM(Q438:W438)</f>
        <v>5924506.1109999996</v>
      </c>
      <c r="Y438" s="28">
        <v>466808.01599999995</v>
      </c>
      <c r="Z438" s="28">
        <v>260373.06199999998</v>
      </c>
      <c r="AA438" s="7">
        <v>114731.89100000002</v>
      </c>
      <c r="AB438" s="16">
        <f t="shared" si="13"/>
        <v>841912.96900000004</v>
      </c>
      <c r="AC438" s="7">
        <v>6766419.0799999991</v>
      </c>
      <c r="AD438" s="8">
        <v>3.0750964030763653E-4</v>
      </c>
      <c r="AE438" s="8">
        <v>6.679140106682174E-5</v>
      </c>
      <c r="AF438" s="8">
        <v>5.0444004640698165E-5</v>
      </c>
      <c r="AG438" s="8">
        <v>5.0873153905054946E-5</v>
      </c>
      <c r="AH438" s="8">
        <v>5.3492778377212872E-5</v>
      </c>
      <c r="AI438" s="8">
        <v>7.2020249221386046E-5</v>
      </c>
      <c r="AJ438" s="8">
        <v>4.7617601574525513E-5</v>
      </c>
      <c r="AK438" s="8">
        <v>1.0925262260277897E-4</v>
      </c>
      <c r="AL438" s="8">
        <v>6.0298096429038433E-4</v>
      </c>
      <c r="AM438" s="8">
        <v>3.1028861888103975E-3</v>
      </c>
      <c r="AN438" s="8">
        <v>1.4956212259912226E-4</v>
      </c>
    </row>
    <row r="439" spans="1:40" x14ac:dyDescent="0.2">
      <c r="A439" t="s">
        <v>498</v>
      </c>
      <c r="B439">
        <v>2013</v>
      </c>
      <c r="C439" t="s">
        <v>503</v>
      </c>
      <c r="D439" s="7">
        <v>88</v>
      </c>
      <c r="E439" s="7">
        <v>42</v>
      </c>
      <c r="F439" s="7">
        <v>57</v>
      </c>
      <c r="G439" s="7">
        <v>47</v>
      </c>
      <c r="H439" s="7">
        <v>51</v>
      </c>
      <c r="I439" s="7">
        <v>45</v>
      </c>
      <c r="J439" s="7">
        <v>69</v>
      </c>
      <c r="K439" s="16">
        <f>SUM(D439:J439)</f>
        <v>399</v>
      </c>
      <c r="L439" s="28">
        <v>101</v>
      </c>
      <c r="M439" s="28">
        <v>170</v>
      </c>
      <c r="N439" s="7">
        <v>416</v>
      </c>
      <c r="O439" s="16">
        <f t="shared" si="12"/>
        <v>687</v>
      </c>
      <c r="P439" s="7">
        <v>1086</v>
      </c>
      <c r="Q439" s="7">
        <v>439044.24399999995</v>
      </c>
      <c r="R439" s="7">
        <v>867937.19799999997</v>
      </c>
      <c r="S439" s="7">
        <v>926967.89999999979</v>
      </c>
      <c r="T439" s="7">
        <v>953260.40600000019</v>
      </c>
      <c r="U439" s="7">
        <v>907758.80099999986</v>
      </c>
      <c r="V439" s="7">
        <v>966288.59899999993</v>
      </c>
      <c r="W439" s="7">
        <v>854229.29600000009</v>
      </c>
      <c r="X439" s="16">
        <f>SUM(Q439:W439)</f>
        <v>5915486.4440000001</v>
      </c>
      <c r="Y439" s="28">
        <v>486829.64400000003</v>
      </c>
      <c r="Z439" s="28">
        <v>257823.16100000002</v>
      </c>
      <c r="AA439" s="7">
        <v>117463.72899999996</v>
      </c>
      <c r="AB439" s="16">
        <f t="shared" si="13"/>
        <v>862116.53399999999</v>
      </c>
      <c r="AC439" s="7">
        <v>6777602.9780000011</v>
      </c>
      <c r="AD439" s="8">
        <v>2.0043538026659567E-4</v>
      </c>
      <c r="AE439" s="8">
        <v>4.8390597956604691E-5</v>
      </c>
      <c r="AF439" s="8">
        <v>6.1490802432317244E-5</v>
      </c>
      <c r="AG439" s="8">
        <v>4.9304470954812733E-5</v>
      </c>
      <c r="AH439" s="8">
        <v>5.6182325022701717E-5</v>
      </c>
      <c r="AI439" s="8">
        <v>4.6569937849385724E-5</v>
      </c>
      <c r="AJ439" s="8">
        <v>8.0774565240384822E-5</v>
      </c>
      <c r="AK439" s="8">
        <v>2.074647697501346E-4</v>
      </c>
      <c r="AL439" s="8">
        <v>6.5936667342310644E-4</v>
      </c>
      <c r="AM439" s="8">
        <v>3.5415187610807089E-3</v>
      </c>
      <c r="AN439" s="8">
        <v>1.6023364064332772E-4</v>
      </c>
    </row>
    <row r="440" spans="1:40" x14ac:dyDescent="0.2">
      <c r="A440" t="s">
        <v>498</v>
      </c>
      <c r="B440">
        <v>2014</v>
      </c>
      <c r="C440" t="s">
        <v>504</v>
      </c>
      <c r="D440" s="7">
        <v>100</v>
      </c>
      <c r="E440" s="7">
        <v>37</v>
      </c>
      <c r="F440" s="7">
        <v>39</v>
      </c>
      <c r="G440" s="7">
        <v>78</v>
      </c>
      <c r="H440" s="7">
        <v>58</v>
      </c>
      <c r="I440" s="7">
        <v>75</v>
      </c>
      <c r="J440" s="7">
        <v>77</v>
      </c>
      <c r="K440" s="16">
        <f>SUM(D440:J440)</f>
        <v>464</v>
      </c>
      <c r="L440" s="28">
        <v>95</v>
      </c>
      <c r="M440" s="28">
        <v>148</v>
      </c>
      <c r="N440" s="7">
        <v>329</v>
      </c>
      <c r="O440" s="16">
        <f t="shared" si="12"/>
        <v>572</v>
      </c>
      <c r="P440" s="7">
        <v>1036</v>
      </c>
      <c r="Q440" s="7">
        <v>446753.47199999995</v>
      </c>
      <c r="R440" s="7">
        <v>884069.02299999993</v>
      </c>
      <c r="S440" s="7">
        <v>935517.06399999966</v>
      </c>
      <c r="T440" s="7">
        <v>983400.26099999982</v>
      </c>
      <c r="U440" s="7">
        <v>916947.79300000006</v>
      </c>
      <c r="V440" s="7">
        <v>968526.49199999985</v>
      </c>
      <c r="W440" s="7">
        <v>884994.39799999993</v>
      </c>
      <c r="X440" s="16">
        <f>SUM(Q440:W440)</f>
        <v>6020208.5029999996</v>
      </c>
      <c r="Y440" s="28">
        <v>525244.91900000011</v>
      </c>
      <c r="Z440" s="28">
        <v>264004.97399999999</v>
      </c>
      <c r="AA440" s="7">
        <v>124059.68500000001</v>
      </c>
      <c r="AB440" s="16">
        <f t="shared" si="13"/>
        <v>913309.57800000021</v>
      </c>
      <c r="AC440" s="7">
        <v>6933518.0809999993</v>
      </c>
      <c r="AD440" s="8">
        <v>2.2383709644678489E-4</v>
      </c>
      <c r="AE440" s="8">
        <v>4.185193580750539E-5</v>
      </c>
      <c r="AF440" s="8">
        <v>4.168817598392841E-5</v>
      </c>
      <c r="AG440" s="8">
        <v>7.9316635446774624E-5</v>
      </c>
      <c r="AH440" s="8">
        <v>6.3253328534921286E-5</v>
      </c>
      <c r="AI440" s="8">
        <v>7.7437220994467135E-5</v>
      </c>
      <c r="AJ440" s="8">
        <v>8.7006200461847453E-5</v>
      </c>
      <c r="AK440" s="8">
        <v>1.8086800378929507E-4</v>
      </c>
      <c r="AL440" s="8">
        <v>5.6059549847723702E-4</v>
      </c>
      <c r="AM440" s="8">
        <v>2.6519493419639101E-3</v>
      </c>
      <c r="AN440" s="8">
        <v>1.49419095457321E-4</v>
      </c>
    </row>
    <row r="441" spans="1:40" x14ac:dyDescent="0.2">
      <c r="A441" t="s">
        <v>498</v>
      </c>
      <c r="B441">
        <v>2015</v>
      </c>
      <c r="C441" t="s">
        <v>505</v>
      </c>
      <c r="D441" s="7">
        <v>102</v>
      </c>
      <c r="E441" s="7">
        <v>72</v>
      </c>
      <c r="F441" s="7">
        <v>69</v>
      </c>
      <c r="G441" s="7">
        <v>64</v>
      </c>
      <c r="H441" s="7">
        <v>64</v>
      </c>
      <c r="I441" s="7">
        <v>67</v>
      </c>
      <c r="J441" s="7">
        <v>38</v>
      </c>
      <c r="K441" s="16">
        <f>SUM(D441:J441)</f>
        <v>476</v>
      </c>
      <c r="L441" s="28">
        <v>109</v>
      </c>
      <c r="M441" s="28">
        <v>166</v>
      </c>
      <c r="N441" s="7">
        <v>436</v>
      </c>
      <c r="O441" s="16">
        <f t="shared" si="12"/>
        <v>711</v>
      </c>
      <c r="P441" s="7">
        <v>1187</v>
      </c>
      <c r="Q441" s="7">
        <v>442528.08699999994</v>
      </c>
      <c r="R441" s="7">
        <v>878668.0700000003</v>
      </c>
      <c r="S441" s="7">
        <v>925867.83100000012</v>
      </c>
      <c r="T441" s="7">
        <v>1001145.6440000001</v>
      </c>
      <c r="U441" s="7">
        <v>917728.92599999986</v>
      </c>
      <c r="V441" s="7">
        <v>952543.77899999986</v>
      </c>
      <c r="W441" s="7">
        <v>889665.69200000004</v>
      </c>
      <c r="X441" s="16">
        <f>SUM(Q441:W441)</f>
        <v>6008148.0290000001</v>
      </c>
      <c r="Y441" s="28">
        <v>546893.04999999981</v>
      </c>
      <c r="Z441" s="28">
        <v>265424.64100000006</v>
      </c>
      <c r="AA441" s="7">
        <v>124771.148</v>
      </c>
      <c r="AB441" s="16">
        <f t="shared" si="13"/>
        <v>937088.83899999992</v>
      </c>
      <c r="AC441" s="7">
        <v>6945236.8679999998</v>
      </c>
      <c r="AD441" s="8">
        <v>2.3049384433761379E-4</v>
      </c>
      <c r="AE441" s="8">
        <v>8.1942206002774147E-5</v>
      </c>
      <c r="AF441" s="8">
        <v>7.452467586596601E-5</v>
      </c>
      <c r="AG441" s="8">
        <v>6.3926762687887195E-5</v>
      </c>
      <c r="AH441" s="8">
        <v>6.9737368177931895E-5</v>
      </c>
      <c r="AI441" s="8">
        <v>7.0337974460699308E-5</v>
      </c>
      <c r="AJ441" s="8">
        <v>4.2712673245356525E-5</v>
      </c>
      <c r="AK441" s="8">
        <v>1.9930770742103971E-4</v>
      </c>
      <c r="AL441" s="8">
        <v>6.2541292087496861E-4</v>
      </c>
      <c r="AM441" s="8">
        <v>3.4943975990346741E-3</v>
      </c>
      <c r="AN441" s="8">
        <v>1.709084978035914E-4</v>
      </c>
    </row>
    <row r="442" spans="1:40" x14ac:dyDescent="0.2">
      <c r="A442" t="s">
        <v>498</v>
      </c>
      <c r="B442">
        <v>2016</v>
      </c>
      <c r="C442" t="s">
        <v>506</v>
      </c>
      <c r="D442" s="7">
        <v>71</v>
      </c>
      <c r="E442" s="7">
        <v>65</v>
      </c>
      <c r="F442" s="7">
        <v>75</v>
      </c>
      <c r="G442" s="7">
        <v>45</v>
      </c>
      <c r="H442" s="7">
        <v>41</v>
      </c>
      <c r="I442" s="7">
        <v>47</v>
      </c>
      <c r="J442" s="7">
        <v>82</v>
      </c>
      <c r="K442" s="16">
        <f>SUM(D442:J442)</f>
        <v>426</v>
      </c>
      <c r="L442" s="28">
        <v>102</v>
      </c>
      <c r="M442" s="28">
        <v>177</v>
      </c>
      <c r="N442" s="7">
        <v>365</v>
      </c>
      <c r="O442" s="16">
        <f t="shared" si="12"/>
        <v>644</v>
      </c>
      <c r="P442" s="7">
        <v>1070</v>
      </c>
      <c r="Q442" s="7">
        <v>443365.13500000001</v>
      </c>
      <c r="R442" s="7">
        <v>882630.18600000022</v>
      </c>
      <c r="S442" s="7">
        <v>924086.68499999982</v>
      </c>
      <c r="T442" s="7">
        <v>1015086.5590000001</v>
      </c>
      <c r="U442" s="7">
        <v>915660.19500000007</v>
      </c>
      <c r="V442" s="7">
        <v>945953.46200000017</v>
      </c>
      <c r="W442" s="7">
        <v>902154.277</v>
      </c>
      <c r="X442" s="16">
        <f>SUM(Q442:W442)</f>
        <v>6028936.4990000008</v>
      </c>
      <c r="Y442" s="28">
        <v>577679.47100000014</v>
      </c>
      <c r="Z442" s="28">
        <v>271587.99799999996</v>
      </c>
      <c r="AA442" s="7">
        <v>124636.997</v>
      </c>
      <c r="AB442" s="16">
        <f t="shared" si="13"/>
        <v>973904.46600000001</v>
      </c>
      <c r="AC442" s="7">
        <v>7002840.9650000008</v>
      </c>
      <c r="AD442" s="8">
        <v>1.6013888868370311E-4</v>
      </c>
      <c r="AE442" s="8">
        <v>7.364352707510955E-5</v>
      </c>
      <c r="AF442" s="8">
        <v>8.1161217034525298E-5</v>
      </c>
      <c r="AG442" s="8">
        <v>4.4331194813899604E-5</v>
      </c>
      <c r="AH442" s="8">
        <v>4.4776435869858902E-5</v>
      </c>
      <c r="AI442" s="8">
        <v>4.9685319508878749E-5</v>
      </c>
      <c r="AJ442" s="8">
        <v>9.0893544586055313E-5</v>
      </c>
      <c r="AK442" s="8">
        <v>1.7656850402426709E-4</v>
      </c>
      <c r="AL442" s="8">
        <v>6.5172246676379274E-4</v>
      </c>
      <c r="AM442" s="8">
        <v>2.9285044471987717E-3</v>
      </c>
      <c r="AN442" s="8">
        <v>1.5279513062596017E-4</v>
      </c>
    </row>
    <row r="443" spans="1:40" x14ac:dyDescent="0.2">
      <c r="A443" t="s">
        <v>498</v>
      </c>
      <c r="B443">
        <v>2017</v>
      </c>
      <c r="C443" t="s">
        <v>507</v>
      </c>
      <c r="D443" s="7">
        <v>122</v>
      </c>
      <c r="E443" s="7">
        <v>45</v>
      </c>
      <c r="F443" s="7">
        <v>44</v>
      </c>
      <c r="G443" s="7">
        <v>68</v>
      </c>
      <c r="H443" s="7">
        <v>59</v>
      </c>
      <c r="I443" s="7">
        <v>60</v>
      </c>
      <c r="J443" s="7">
        <v>97</v>
      </c>
      <c r="K443" s="16">
        <f>SUM(D443:J443)</f>
        <v>495</v>
      </c>
      <c r="L443" s="28">
        <v>150</v>
      </c>
      <c r="M443" s="28">
        <v>236</v>
      </c>
      <c r="N443" s="7">
        <v>488</v>
      </c>
      <c r="O443" s="16">
        <f t="shared" si="12"/>
        <v>874</v>
      </c>
      <c r="P443" s="7">
        <v>1369</v>
      </c>
      <c r="Q443" s="7">
        <v>442652</v>
      </c>
      <c r="R443" s="7">
        <v>887651</v>
      </c>
      <c r="S443" s="7">
        <v>917135</v>
      </c>
      <c r="T443" s="7">
        <v>1042519</v>
      </c>
      <c r="U443" s="7">
        <v>930595</v>
      </c>
      <c r="V443" s="7">
        <v>942242</v>
      </c>
      <c r="W443" s="7">
        <v>919015</v>
      </c>
      <c r="X443" s="16">
        <f>SUM(Q443:W443)</f>
        <v>6081809</v>
      </c>
      <c r="Y443" s="28">
        <v>612201</v>
      </c>
      <c r="Z443" s="28">
        <v>280157</v>
      </c>
      <c r="AA443" s="7">
        <v>125907</v>
      </c>
      <c r="AB443" s="16">
        <f t="shared" si="13"/>
        <v>1018265</v>
      </c>
      <c r="AC443" s="7">
        <v>7100074</v>
      </c>
      <c r="AD443" s="8">
        <v>2.7561154134624944E-4</v>
      </c>
      <c r="AE443" s="8">
        <v>5.0695599959894145E-5</v>
      </c>
      <c r="AF443" s="8">
        <v>4.7975488886587037E-5</v>
      </c>
      <c r="AG443" s="8">
        <v>6.5226628963117213E-5</v>
      </c>
      <c r="AH443" s="8">
        <v>6.3400297659024608E-5</v>
      </c>
      <c r="AI443" s="8">
        <v>6.3677908647672248E-5</v>
      </c>
      <c r="AJ443" s="8">
        <v>1.0554778757691659E-4</v>
      </c>
      <c r="AK443" s="8">
        <v>2.4501756775960836E-4</v>
      </c>
      <c r="AL443" s="8">
        <v>8.4238480566253924E-4</v>
      </c>
      <c r="AM443" s="8">
        <v>3.8758766391066421E-3</v>
      </c>
      <c r="AN443" s="8">
        <v>1.9281489178845179E-4</v>
      </c>
    </row>
    <row r="444" spans="1:40" x14ac:dyDescent="0.2">
      <c r="A444" t="s">
        <v>508</v>
      </c>
      <c r="B444">
        <v>2009</v>
      </c>
      <c r="C444" t="s">
        <v>509</v>
      </c>
      <c r="D444" s="7">
        <v>111</v>
      </c>
      <c r="E444" s="7">
        <v>48</v>
      </c>
      <c r="F444" s="7">
        <v>47</v>
      </c>
      <c r="G444" s="7">
        <v>54</v>
      </c>
      <c r="H444" s="7">
        <v>46</v>
      </c>
      <c r="I444" s="7">
        <v>44</v>
      </c>
      <c r="J444" s="7">
        <v>65</v>
      </c>
      <c r="K444" s="16">
        <f>SUM(D444:J444)</f>
        <v>415</v>
      </c>
      <c r="L444" s="28">
        <v>69</v>
      </c>
      <c r="M444" s="28">
        <v>123</v>
      </c>
      <c r="N444" s="7">
        <v>174</v>
      </c>
      <c r="O444" s="16">
        <f t="shared" si="12"/>
        <v>366</v>
      </c>
      <c r="P444" s="7">
        <v>781</v>
      </c>
      <c r="Q444" s="7">
        <v>103052.72900000001</v>
      </c>
      <c r="R444" s="7">
        <v>207112.391</v>
      </c>
      <c r="S444" s="7">
        <v>235779.26299999995</v>
      </c>
      <c r="T444" s="7">
        <v>217248.19099999993</v>
      </c>
      <c r="U444" s="7">
        <v>236580.52999999997</v>
      </c>
      <c r="V444" s="7">
        <v>268575.61499999993</v>
      </c>
      <c r="W444" s="7">
        <v>228272.58100000012</v>
      </c>
      <c r="X444" s="16">
        <f>SUM(Q444:W444)</f>
        <v>1496621.2999999998</v>
      </c>
      <c r="Y444" s="28">
        <v>143809.76699999999</v>
      </c>
      <c r="Z444" s="28">
        <v>96775.189999999988</v>
      </c>
      <c r="AA444" s="7">
        <v>35053.653000000013</v>
      </c>
      <c r="AB444" s="16">
        <f t="shared" si="13"/>
        <v>275638.61</v>
      </c>
      <c r="AC444" s="7">
        <v>1772259.9099999997</v>
      </c>
      <c r="AD444" s="8">
        <v>1.0771184914472279E-3</v>
      </c>
      <c r="AE444" s="8">
        <v>2.3175822445118698E-4</v>
      </c>
      <c r="AF444" s="8">
        <v>1.9933898936650766E-4</v>
      </c>
      <c r="AG444" s="8">
        <v>2.4856363476002437E-4</v>
      </c>
      <c r="AH444" s="8">
        <v>1.9443696402235639E-4</v>
      </c>
      <c r="AI444" s="8">
        <v>1.6382723353346881E-4</v>
      </c>
      <c r="AJ444" s="8">
        <v>2.8474729516463461E-4</v>
      </c>
      <c r="AK444" s="8">
        <v>4.7980051313204619E-4</v>
      </c>
      <c r="AL444" s="8">
        <v>1.2709869130714186E-3</v>
      </c>
      <c r="AM444" s="8">
        <v>4.9638193200577394E-3</v>
      </c>
      <c r="AN444" s="8">
        <v>4.4068028374009776E-4</v>
      </c>
    </row>
    <row r="445" spans="1:40" x14ac:dyDescent="0.2">
      <c r="A445" t="s">
        <v>508</v>
      </c>
      <c r="B445">
        <v>2010</v>
      </c>
      <c r="C445" t="s">
        <v>510</v>
      </c>
      <c r="D445" s="7">
        <v>123</v>
      </c>
      <c r="E445" s="7">
        <v>61</v>
      </c>
      <c r="F445" s="7">
        <v>44</v>
      </c>
      <c r="G445" s="7">
        <v>74</v>
      </c>
      <c r="H445" s="7">
        <v>47</v>
      </c>
      <c r="I445" s="7">
        <v>64</v>
      </c>
      <c r="J445" s="7">
        <v>60</v>
      </c>
      <c r="K445" s="16">
        <f>SUM(D445:J445)</f>
        <v>473</v>
      </c>
      <c r="L445" s="28">
        <v>61</v>
      </c>
      <c r="M445" s="28">
        <v>122</v>
      </c>
      <c r="N445" s="7">
        <v>186</v>
      </c>
      <c r="O445" s="16">
        <f t="shared" si="12"/>
        <v>369</v>
      </c>
      <c r="P445" s="7">
        <v>842</v>
      </c>
      <c r="Q445" s="7">
        <v>106657.22100000001</v>
      </c>
      <c r="R445" s="7">
        <v>220851.78999999995</v>
      </c>
      <c r="S445" s="7">
        <v>246092.24899999995</v>
      </c>
      <c r="T445" s="7">
        <v>225325.06099999999</v>
      </c>
      <c r="U445" s="7">
        <v>247463.10300000003</v>
      </c>
      <c r="V445" s="7">
        <v>284961.42700000003</v>
      </c>
      <c r="W445" s="7">
        <v>253306.49899999995</v>
      </c>
      <c r="X445" s="16">
        <f>SUM(Q445:W445)</f>
        <v>1584657.3499999996</v>
      </c>
      <c r="Y445" s="28">
        <v>159360.05500000002</v>
      </c>
      <c r="Z445" s="28">
        <v>101273.91899999999</v>
      </c>
      <c r="AA445" s="7">
        <v>35991.769000000015</v>
      </c>
      <c r="AB445" s="16">
        <f t="shared" si="13"/>
        <v>296625.74300000002</v>
      </c>
      <c r="AC445" s="7">
        <v>1881283.0929999996</v>
      </c>
      <c r="AD445" s="8">
        <v>1.153227121865476E-3</v>
      </c>
      <c r="AE445" s="8">
        <v>2.7620333074954932E-4</v>
      </c>
      <c r="AF445" s="8">
        <v>1.7879474131670035E-4</v>
      </c>
      <c r="AG445" s="8">
        <v>3.284144234626436E-4</v>
      </c>
      <c r="AH445" s="8">
        <v>1.8992730403125994E-4</v>
      </c>
      <c r="AI445" s="8">
        <v>2.2459180062991472E-4</v>
      </c>
      <c r="AJ445" s="8">
        <v>2.368671954208329E-4</v>
      </c>
      <c r="AK445" s="8">
        <v>3.8278099238858818E-4</v>
      </c>
      <c r="AL445" s="8">
        <v>1.2046536877870799E-3</v>
      </c>
      <c r="AM445" s="8">
        <v>5.1678482377456895E-3</v>
      </c>
      <c r="AN445" s="8">
        <v>4.4756687769797554E-4</v>
      </c>
    </row>
    <row r="446" spans="1:40" x14ac:dyDescent="0.2">
      <c r="A446" t="s">
        <v>508</v>
      </c>
      <c r="B446">
        <v>2011</v>
      </c>
      <c r="C446" t="s">
        <v>511</v>
      </c>
      <c r="D446" s="7">
        <v>97</v>
      </c>
      <c r="E446" s="7">
        <v>74</v>
      </c>
      <c r="F446" s="7">
        <v>49</v>
      </c>
      <c r="G446" s="7">
        <v>56</v>
      </c>
      <c r="H446" s="7">
        <v>60</v>
      </c>
      <c r="I446" s="7">
        <v>51</v>
      </c>
      <c r="J446" s="7">
        <v>66</v>
      </c>
      <c r="K446" s="16">
        <f>SUM(D446:J446)</f>
        <v>453</v>
      </c>
      <c r="L446" s="28">
        <v>61</v>
      </c>
      <c r="M446" s="28">
        <v>122</v>
      </c>
      <c r="N446" s="7">
        <v>158</v>
      </c>
      <c r="O446" s="16">
        <f t="shared" si="12"/>
        <v>341</v>
      </c>
      <c r="P446" s="7">
        <v>794</v>
      </c>
      <c r="Q446" s="7">
        <v>103008.74000000002</v>
      </c>
      <c r="R446" s="7">
        <v>211896.30299999993</v>
      </c>
      <c r="S446" s="7">
        <v>237660.94400000002</v>
      </c>
      <c r="T446" s="7">
        <v>214922.45499999993</v>
      </c>
      <c r="U446" s="7">
        <v>234576.71600000001</v>
      </c>
      <c r="V446" s="7">
        <v>270662.76400000002</v>
      </c>
      <c r="W446" s="7">
        <v>250878.84699999995</v>
      </c>
      <c r="X446" s="16">
        <f>SUM(Q446:W446)</f>
        <v>1523606.7689999999</v>
      </c>
      <c r="Y446" s="28">
        <v>156961.01799999995</v>
      </c>
      <c r="Z446" s="28">
        <v>96926.139999999985</v>
      </c>
      <c r="AA446" s="7">
        <v>35867.094000000012</v>
      </c>
      <c r="AB446" s="16">
        <f t="shared" si="13"/>
        <v>289754.25199999998</v>
      </c>
      <c r="AC446" s="7">
        <v>1813361.0209999997</v>
      </c>
      <c r="AD446" s="8">
        <v>9.4166766819980504E-4</v>
      </c>
      <c r="AE446" s="8">
        <v>3.4922742375547735E-4</v>
      </c>
      <c r="AF446" s="8">
        <v>2.0617607241347992E-4</v>
      </c>
      <c r="AG446" s="8">
        <v>2.6055909327855025E-4</v>
      </c>
      <c r="AH446" s="8">
        <v>2.5577986180009443E-4</v>
      </c>
      <c r="AI446" s="8">
        <v>1.8842636218700551E-4</v>
      </c>
      <c r="AJ446" s="8">
        <v>2.630751886387616E-4</v>
      </c>
      <c r="AK446" s="8">
        <v>3.8863152633222613E-4</v>
      </c>
      <c r="AL446" s="8">
        <v>1.2586903801183047E-3</v>
      </c>
      <c r="AM446" s="8">
        <v>4.4051519757915139E-3</v>
      </c>
      <c r="AN446" s="8">
        <v>4.3786096138878026E-4</v>
      </c>
    </row>
    <row r="447" spans="1:40" x14ac:dyDescent="0.2">
      <c r="A447" t="s">
        <v>508</v>
      </c>
      <c r="B447">
        <v>2012</v>
      </c>
      <c r="C447" t="s">
        <v>512</v>
      </c>
      <c r="D447" s="7">
        <v>97</v>
      </c>
      <c r="E447" s="7">
        <v>50</v>
      </c>
      <c r="F447" s="7">
        <v>60</v>
      </c>
      <c r="G447" s="7">
        <v>53</v>
      </c>
      <c r="H447" s="7">
        <v>67</v>
      </c>
      <c r="I447" s="7">
        <v>67</v>
      </c>
      <c r="J447" s="7">
        <v>58</v>
      </c>
      <c r="K447" s="16">
        <f>SUM(D447:J447)</f>
        <v>452</v>
      </c>
      <c r="L447" s="28">
        <v>43</v>
      </c>
      <c r="M447" s="28">
        <v>119</v>
      </c>
      <c r="N447" s="7">
        <v>179</v>
      </c>
      <c r="O447" s="16">
        <f t="shared" si="12"/>
        <v>341</v>
      </c>
      <c r="P447" s="7">
        <v>793</v>
      </c>
      <c r="Q447" s="7">
        <v>102740.90699999998</v>
      </c>
      <c r="R447" s="7">
        <v>211864.43600000007</v>
      </c>
      <c r="S447" s="7">
        <v>234155.59899999993</v>
      </c>
      <c r="T447" s="7">
        <v>213814.60800000004</v>
      </c>
      <c r="U447" s="7">
        <v>228370.03199999998</v>
      </c>
      <c r="V447" s="7">
        <v>261112.84199999998</v>
      </c>
      <c r="W447" s="7">
        <v>248115.10600000006</v>
      </c>
      <c r="X447" s="16">
        <f>SUM(Q447:W447)</f>
        <v>1500173.5300000003</v>
      </c>
      <c r="Y447" s="28">
        <v>156890.64599999995</v>
      </c>
      <c r="Z447" s="28">
        <v>92547.417999999991</v>
      </c>
      <c r="AA447" s="7">
        <v>35308.166000000012</v>
      </c>
      <c r="AB447" s="16">
        <f t="shared" si="13"/>
        <v>284746.23</v>
      </c>
      <c r="AC447" s="7">
        <v>1784919.7600000002</v>
      </c>
      <c r="AD447" s="8">
        <v>9.4412248083424084E-4</v>
      </c>
      <c r="AE447" s="8">
        <v>2.3599996745088441E-4</v>
      </c>
      <c r="AF447" s="8">
        <v>2.562398689428734E-4</v>
      </c>
      <c r="AG447" s="8">
        <v>2.4787829276847162E-4</v>
      </c>
      <c r="AH447" s="8">
        <v>2.9338350313845037E-4</v>
      </c>
      <c r="AI447" s="8">
        <v>2.5659404373531351E-4</v>
      </c>
      <c r="AJ447" s="8">
        <v>2.3376246990781764E-4</v>
      </c>
      <c r="AK447" s="8">
        <v>2.740762505369505E-4</v>
      </c>
      <c r="AL447" s="8">
        <v>1.2858273366416339E-3</v>
      </c>
      <c r="AM447" s="8">
        <v>5.069648760572836E-3</v>
      </c>
      <c r="AN447" s="8">
        <v>4.4427767442050162E-4</v>
      </c>
    </row>
    <row r="448" spans="1:40" x14ac:dyDescent="0.2">
      <c r="A448" t="s">
        <v>508</v>
      </c>
      <c r="B448">
        <v>2013</v>
      </c>
      <c r="C448" t="s">
        <v>513</v>
      </c>
      <c r="D448" s="7">
        <v>101</v>
      </c>
      <c r="E448" s="7">
        <v>47</v>
      </c>
      <c r="F448" s="7">
        <v>37</v>
      </c>
      <c r="G448" s="7">
        <v>47</v>
      </c>
      <c r="H448" s="7">
        <v>49</v>
      </c>
      <c r="I448" s="7">
        <v>55</v>
      </c>
      <c r="J448" s="7">
        <v>66</v>
      </c>
      <c r="K448" s="16">
        <f>SUM(D448:J448)</f>
        <v>402</v>
      </c>
      <c r="L448" s="28">
        <v>89</v>
      </c>
      <c r="M448" s="28">
        <v>125</v>
      </c>
      <c r="N448" s="7">
        <v>194</v>
      </c>
      <c r="O448" s="16">
        <f t="shared" si="12"/>
        <v>408</v>
      </c>
      <c r="P448" s="7">
        <v>810</v>
      </c>
      <c r="Q448" s="7">
        <v>104006.58899999999</v>
      </c>
      <c r="R448" s="7">
        <v>216715.171</v>
      </c>
      <c r="S448" s="7">
        <v>239772.72500000001</v>
      </c>
      <c r="T448" s="7">
        <v>221179.50999999998</v>
      </c>
      <c r="U448" s="7">
        <v>237084.77499999991</v>
      </c>
      <c r="V448" s="7">
        <v>273507.37899999996</v>
      </c>
      <c r="W448" s="7">
        <v>269729.33100000001</v>
      </c>
      <c r="X448" s="16">
        <f>SUM(Q448:W448)</f>
        <v>1561995.4799999997</v>
      </c>
      <c r="Y448" s="28">
        <v>169285.61000000002</v>
      </c>
      <c r="Z448" s="28">
        <v>98034.27900000001</v>
      </c>
      <c r="AA448" s="7">
        <v>37013.311999999998</v>
      </c>
      <c r="AB448" s="16">
        <f t="shared" si="13"/>
        <v>304333.201</v>
      </c>
      <c r="AC448" s="7">
        <v>1866328.6809999999</v>
      </c>
      <c r="AD448" s="8">
        <v>9.7109232185280114E-4</v>
      </c>
      <c r="AE448" s="8">
        <v>2.1687452605706131E-4</v>
      </c>
      <c r="AF448" s="8">
        <v>1.5431279767121135E-4</v>
      </c>
      <c r="AG448" s="8">
        <v>2.1249707986060735E-4</v>
      </c>
      <c r="AH448" s="8">
        <v>2.0667712635701732E-4</v>
      </c>
      <c r="AI448" s="8">
        <v>2.0109146671322533E-4</v>
      </c>
      <c r="AJ448" s="8">
        <v>2.4468974047171755E-4</v>
      </c>
      <c r="AK448" s="8">
        <v>5.2573872049727077E-4</v>
      </c>
      <c r="AL448" s="8">
        <v>1.2750642048379832E-3</v>
      </c>
      <c r="AM448" s="8">
        <v>5.2413574878141141E-3</v>
      </c>
      <c r="AN448" s="8">
        <v>4.3400715439147241E-4</v>
      </c>
    </row>
    <row r="449" spans="1:40" x14ac:dyDescent="0.2">
      <c r="A449" t="s">
        <v>508</v>
      </c>
      <c r="B449">
        <v>2014</v>
      </c>
      <c r="C449" t="s">
        <v>514</v>
      </c>
      <c r="D449" s="7">
        <v>140</v>
      </c>
      <c r="E449" s="7">
        <v>64</v>
      </c>
      <c r="F449" s="7">
        <v>32</v>
      </c>
      <c r="G449" s="7">
        <v>55</v>
      </c>
      <c r="H449" s="7">
        <v>48</v>
      </c>
      <c r="I449" s="7">
        <v>58</v>
      </c>
      <c r="J449" s="7">
        <v>83</v>
      </c>
      <c r="K449" s="16">
        <f>SUM(D449:J449)</f>
        <v>480</v>
      </c>
      <c r="L449" s="28">
        <v>68</v>
      </c>
      <c r="M449" s="28">
        <v>86</v>
      </c>
      <c r="N449" s="7">
        <v>181</v>
      </c>
      <c r="O449" s="16">
        <f t="shared" si="12"/>
        <v>335</v>
      </c>
      <c r="P449" s="7">
        <v>815</v>
      </c>
      <c r="Q449" s="7">
        <v>108577.28500000003</v>
      </c>
      <c r="R449" s="7">
        <v>223260.63299999991</v>
      </c>
      <c r="S449" s="7">
        <v>245379.07400000005</v>
      </c>
      <c r="T449" s="7">
        <v>228330.62499999994</v>
      </c>
      <c r="U449" s="7">
        <v>239359.98599999998</v>
      </c>
      <c r="V449" s="7">
        <v>271149.19</v>
      </c>
      <c r="W449" s="7">
        <v>280810.08399999997</v>
      </c>
      <c r="X449" s="16">
        <f>SUM(Q449:W449)</f>
        <v>1596866.8769999999</v>
      </c>
      <c r="Y449" s="28">
        <v>182525.70899999994</v>
      </c>
      <c r="Z449" s="28">
        <v>101930.43300000002</v>
      </c>
      <c r="AA449" s="7">
        <v>40147.676999999989</v>
      </c>
      <c r="AB449" s="16">
        <f t="shared" si="13"/>
        <v>324603.81899999996</v>
      </c>
      <c r="AC449" s="7">
        <v>1921470.6959999998</v>
      </c>
      <c r="AD449" s="8">
        <v>1.2894041327336557E-3</v>
      </c>
      <c r="AE449" s="8">
        <v>2.8666047901064592E-4</v>
      </c>
      <c r="AF449" s="8">
        <v>1.3041046849822244E-4</v>
      </c>
      <c r="AG449" s="8">
        <v>2.4087876954744907E-4</v>
      </c>
      <c r="AH449" s="8">
        <v>2.0053477108742814E-4</v>
      </c>
      <c r="AI449" s="8">
        <v>2.1390438230702442E-4</v>
      </c>
      <c r="AJ449" s="8">
        <v>2.9557343104530393E-4</v>
      </c>
      <c r="AK449" s="8">
        <v>3.7255025811185874E-4</v>
      </c>
      <c r="AL449" s="8">
        <v>8.4371269177282884E-4</v>
      </c>
      <c r="AM449" s="8">
        <v>4.5083554896588425E-3</v>
      </c>
      <c r="AN449" s="8">
        <v>4.2415426979792987E-4</v>
      </c>
    </row>
    <row r="450" spans="1:40" x14ac:dyDescent="0.2">
      <c r="A450" t="s">
        <v>508</v>
      </c>
      <c r="B450">
        <v>2015</v>
      </c>
      <c r="C450" t="s">
        <v>515</v>
      </c>
      <c r="D450" s="7">
        <v>127</v>
      </c>
      <c r="E450" s="7">
        <v>42</v>
      </c>
      <c r="F450" s="7">
        <v>51</v>
      </c>
      <c r="G450" s="7">
        <v>61</v>
      </c>
      <c r="H450" s="7">
        <v>52</v>
      </c>
      <c r="I450" s="7">
        <v>58</v>
      </c>
      <c r="J450" s="7">
        <v>50</v>
      </c>
      <c r="K450" s="16">
        <f>SUM(D450:J450)</f>
        <v>441</v>
      </c>
      <c r="L450" s="28">
        <v>101</v>
      </c>
      <c r="M450" s="28">
        <v>114</v>
      </c>
      <c r="N450" s="7">
        <v>215</v>
      </c>
      <c r="O450" s="16">
        <f t="shared" si="12"/>
        <v>430</v>
      </c>
      <c r="P450" s="7">
        <v>871</v>
      </c>
      <c r="Q450" s="7">
        <v>94981.095999999976</v>
      </c>
      <c r="R450" s="7">
        <v>195820.99499999997</v>
      </c>
      <c r="S450" s="7">
        <v>220865.08000000002</v>
      </c>
      <c r="T450" s="7">
        <v>200473.13200000001</v>
      </c>
      <c r="U450" s="7">
        <v>207663.67199999996</v>
      </c>
      <c r="V450" s="7">
        <v>231586.53500000003</v>
      </c>
      <c r="W450" s="7">
        <v>240584.99899999995</v>
      </c>
      <c r="X450" s="16">
        <f>SUM(Q450:W450)</f>
        <v>1391975.5089999996</v>
      </c>
      <c r="Y450" s="28">
        <v>161310.69999999998</v>
      </c>
      <c r="Z450" s="28">
        <v>87311.702000000005</v>
      </c>
      <c r="AA450" s="7">
        <v>36338.036000000007</v>
      </c>
      <c r="AB450" s="16">
        <f t="shared" si="13"/>
        <v>284960.43800000002</v>
      </c>
      <c r="AC450" s="7">
        <v>1676935.9469999997</v>
      </c>
      <c r="AD450" s="8">
        <v>1.3371081757153026E-3</v>
      </c>
      <c r="AE450" s="8">
        <v>2.1448159835976734E-4</v>
      </c>
      <c r="AF450" s="8">
        <v>2.3091020092447389E-4</v>
      </c>
      <c r="AG450" s="8">
        <v>3.0428017655752493E-4</v>
      </c>
      <c r="AH450" s="8">
        <v>2.50404895084394E-4</v>
      </c>
      <c r="AI450" s="8">
        <v>2.5044633963714684E-4</v>
      </c>
      <c r="AJ450" s="8">
        <v>2.0782675648035732E-4</v>
      </c>
      <c r="AK450" s="8">
        <v>6.2612089588601379E-4</v>
      </c>
      <c r="AL450" s="8">
        <v>1.3056669081997737E-3</v>
      </c>
      <c r="AM450" s="8">
        <v>5.9166653916023406E-3</v>
      </c>
      <c r="AN450" s="8">
        <v>5.193996834275031E-4</v>
      </c>
    </row>
    <row r="451" spans="1:40" x14ac:dyDescent="0.2">
      <c r="A451" t="s">
        <v>508</v>
      </c>
      <c r="B451">
        <v>2016</v>
      </c>
      <c r="C451" t="s">
        <v>516</v>
      </c>
      <c r="D451" s="7">
        <v>99</v>
      </c>
      <c r="E451" s="7">
        <v>56</v>
      </c>
      <c r="F451" s="7">
        <v>41</v>
      </c>
      <c r="G451" s="7">
        <v>41</v>
      </c>
      <c r="H451" s="7">
        <v>69</v>
      </c>
      <c r="I451" s="7">
        <v>53</v>
      </c>
      <c r="J451" s="7">
        <v>61</v>
      </c>
      <c r="K451" s="16">
        <f>SUM(D451:J451)</f>
        <v>420</v>
      </c>
      <c r="L451" s="28">
        <v>82</v>
      </c>
      <c r="M451" s="28">
        <v>88</v>
      </c>
      <c r="N451" s="7">
        <v>154</v>
      </c>
      <c r="O451" s="16">
        <f t="shared" si="12"/>
        <v>324</v>
      </c>
      <c r="P451" s="7">
        <v>744</v>
      </c>
      <c r="Q451" s="7">
        <v>102524.13400000003</v>
      </c>
      <c r="R451" s="7">
        <v>212908.90199999997</v>
      </c>
      <c r="S451" s="7">
        <v>233946.13500000004</v>
      </c>
      <c r="T451" s="7">
        <v>218566.27200000006</v>
      </c>
      <c r="U451" s="7">
        <v>225459.24699999997</v>
      </c>
      <c r="V451" s="7">
        <v>248462.54999999993</v>
      </c>
      <c r="W451" s="7">
        <v>262769.85000000003</v>
      </c>
      <c r="X451" s="16">
        <f>SUM(Q451:W451)</f>
        <v>1504637.0900000003</v>
      </c>
      <c r="Y451" s="28">
        <v>184996.07299999997</v>
      </c>
      <c r="Z451" s="28">
        <v>96566.765000000014</v>
      </c>
      <c r="AA451" s="7">
        <v>37528.494999999988</v>
      </c>
      <c r="AB451" s="16">
        <f t="shared" si="13"/>
        <v>319091.33299999998</v>
      </c>
      <c r="AC451" s="7">
        <v>1823728.4230000002</v>
      </c>
      <c r="AD451" s="8">
        <v>9.6562629829187311E-4</v>
      </c>
      <c r="AE451" s="8">
        <v>2.6302329059026385E-4</v>
      </c>
      <c r="AF451" s="8">
        <v>1.7525401734035912E-4</v>
      </c>
      <c r="AG451" s="8">
        <v>1.8758612490768928E-4</v>
      </c>
      <c r="AH451" s="8">
        <v>3.0604200501033348E-4</v>
      </c>
      <c r="AI451" s="8">
        <v>2.1331182506176491E-4</v>
      </c>
      <c r="AJ451" s="8">
        <v>2.3214231008618374E-4</v>
      </c>
      <c r="AK451" s="8">
        <v>4.4325265217927092E-4</v>
      </c>
      <c r="AL451" s="8">
        <v>9.1128661087486965E-4</v>
      </c>
      <c r="AM451" s="8">
        <v>4.1035485169336004E-3</v>
      </c>
      <c r="AN451" s="8">
        <v>4.0795547769998205E-4</v>
      </c>
    </row>
    <row r="452" spans="1:40" x14ac:dyDescent="0.2">
      <c r="A452" t="s">
        <v>508</v>
      </c>
      <c r="B452">
        <v>2017</v>
      </c>
      <c r="C452" t="s">
        <v>517</v>
      </c>
      <c r="D452" s="7">
        <v>100</v>
      </c>
      <c r="E452" s="7">
        <v>51</v>
      </c>
      <c r="F452" s="7">
        <v>30</v>
      </c>
      <c r="G452" s="7">
        <v>65</v>
      </c>
      <c r="H452" s="7">
        <v>58</v>
      </c>
      <c r="I452" s="7">
        <v>64</v>
      </c>
      <c r="J452" s="7">
        <v>58</v>
      </c>
      <c r="K452" s="16">
        <f>SUM(D452:J452)</f>
        <v>426</v>
      </c>
      <c r="L452" s="28">
        <v>78</v>
      </c>
      <c r="M452" s="28">
        <v>118</v>
      </c>
      <c r="N452" s="7">
        <v>162</v>
      </c>
      <c r="O452" s="16">
        <f t="shared" ref="O452:O470" si="14">SUM(L452:N452)</f>
        <v>358</v>
      </c>
      <c r="P452" s="7">
        <v>784</v>
      </c>
      <c r="Q452" s="7">
        <v>97919</v>
      </c>
      <c r="R452" s="7">
        <v>207767</v>
      </c>
      <c r="S452" s="7">
        <v>224618</v>
      </c>
      <c r="T452" s="7">
        <v>213472</v>
      </c>
      <c r="U452" s="7">
        <v>214790</v>
      </c>
      <c r="V452" s="7">
        <v>237863</v>
      </c>
      <c r="W452" s="7">
        <v>257692</v>
      </c>
      <c r="X452" s="16">
        <f>SUM(Q452:W452)</f>
        <v>1454121</v>
      </c>
      <c r="Y452" s="28">
        <v>187986</v>
      </c>
      <c r="Z452" s="28">
        <v>97923</v>
      </c>
      <c r="AA452" s="7">
        <v>37589</v>
      </c>
      <c r="AB452" s="16">
        <f t="shared" ref="AB452:AB470" si="15">SUM(Y452:AA452)</f>
        <v>323498</v>
      </c>
      <c r="AC452" s="7">
        <v>1777619</v>
      </c>
      <c r="AD452" s="8">
        <v>1.0212522595206242E-3</v>
      </c>
      <c r="AE452" s="8">
        <v>2.4546727824919259E-4</v>
      </c>
      <c r="AF452" s="8">
        <v>1.3356008868389889E-4</v>
      </c>
      <c r="AG452" s="8">
        <v>3.0448958177184832E-4</v>
      </c>
      <c r="AH452" s="8">
        <v>2.7003119325853158E-4</v>
      </c>
      <c r="AI452" s="8">
        <v>2.6906244350739713E-4</v>
      </c>
      <c r="AJ452" s="8">
        <v>2.2507489561181566E-4</v>
      </c>
      <c r="AK452" s="8">
        <v>4.1492451565542114E-4</v>
      </c>
      <c r="AL452" s="8">
        <v>1.205028440713622E-3</v>
      </c>
      <c r="AM452" s="8">
        <v>4.3097714756976779E-3</v>
      </c>
      <c r="AN452" s="8">
        <v>4.4103939033054892E-4</v>
      </c>
    </row>
    <row r="453" spans="1:40" x14ac:dyDescent="0.2">
      <c r="A453" t="s">
        <v>518</v>
      </c>
      <c r="B453">
        <v>2009</v>
      </c>
      <c r="C453" t="s">
        <v>519</v>
      </c>
      <c r="D453" s="7">
        <v>115</v>
      </c>
      <c r="E453" s="7">
        <v>63</v>
      </c>
      <c r="F453" s="7">
        <v>59</v>
      </c>
      <c r="G453" s="7">
        <v>52</v>
      </c>
      <c r="H453" s="7">
        <v>47</v>
      </c>
      <c r="I453" s="7">
        <v>71</v>
      </c>
      <c r="J453" s="7">
        <v>59</v>
      </c>
      <c r="K453" s="16">
        <f>SUM(D453:J453)</f>
        <v>466</v>
      </c>
      <c r="L453" s="28">
        <v>87</v>
      </c>
      <c r="M453" s="28">
        <v>234</v>
      </c>
      <c r="N453" s="7">
        <v>514</v>
      </c>
      <c r="O453" s="16">
        <f t="shared" si="14"/>
        <v>835</v>
      </c>
      <c r="P453" s="7">
        <v>1301</v>
      </c>
      <c r="Q453" s="7">
        <v>356612.68</v>
      </c>
      <c r="R453" s="7">
        <v>723103.33299999975</v>
      </c>
      <c r="S453" s="7">
        <v>826691.03999999992</v>
      </c>
      <c r="T453" s="7">
        <v>687415.73300000036</v>
      </c>
      <c r="U453" s="7">
        <v>786252.96199999994</v>
      </c>
      <c r="V453" s="7">
        <v>860910.71599999978</v>
      </c>
      <c r="W453" s="7">
        <v>620627.3670000002</v>
      </c>
      <c r="X453" s="16">
        <f>SUM(Q453:W453)</f>
        <v>4861613.8310000002</v>
      </c>
      <c r="Y453" s="28">
        <v>369176.98999999993</v>
      </c>
      <c r="Z453" s="28">
        <v>261492.45700000011</v>
      </c>
      <c r="AA453" s="7">
        <v>108896.36799999999</v>
      </c>
      <c r="AB453" s="16">
        <f t="shared" si="15"/>
        <v>739565.81500000006</v>
      </c>
      <c r="AC453" s="7">
        <v>5601179.6460000006</v>
      </c>
      <c r="AD453" s="8">
        <v>3.2247871836750167E-4</v>
      </c>
      <c r="AE453" s="8">
        <v>8.712447740854213E-5</v>
      </c>
      <c r="AF453" s="8">
        <v>7.1368863511572602E-5</v>
      </c>
      <c r="AG453" s="8">
        <v>7.5645635535664959E-5</v>
      </c>
      <c r="AH453" s="8">
        <v>5.9777199287676585E-5</v>
      </c>
      <c r="AI453" s="8">
        <v>8.2470805253630989E-5</v>
      </c>
      <c r="AJ453" s="8">
        <v>9.5065095638942362E-5</v>
      </c>
      <c r="AK453" s="8">
        <v>2.3565932427153713E-4</v>
      </c>
      <c r="AL453" s="8">
        <v>8.9486328854220031E-4</v>
      </c>
      <c r="AM453" s="8">
        <v>4.7200839609269621E-3</v>
      </c>
      <c r="AN453" s="8">
        <v>2.3227250012041478E-4</v>
      </c>
    </row>
    <row r="454" spans="1:40" x14ac:dyDescent="0.2">
      <c r="A454" t="s">
        <v>518</v>
      </c>
      <c r="B454">
        <v>2010</v>
      </c>
      <c r="C454" t="s">
        <v>520</v>
      </c>
      <c r="D454" s="7">
        <v>111</v>
      </c>
      <c r="E454" s="7">
        <v>60</v>
      </c>
      <c r="F454" s="7">
        <v>54</v>
      </c>
      <c r="G454" s="7">
        <v>71</v>
      </c>
      <c r="H454" s="7">
        <v>36</v>
      </c>
      <c r="I454" s="7">
        <v>32</v>
      </c>
      <c r="J454" s="7">
        <v>66</v>
      </c>
      <c r="K454" s="16">
        <f>SUM(D454:J454)</f>
        <v>430</v>
      </c>
      <c r="L454" s="28">
        <v>61</v>
      </c>
      <c r="M454" s="28">
        <v>225</v>
      </c>
      <c r="N454" s="7">
        <v>501</v>
      </c>
      <c r="O454" s="16">
        <f t="shared" si="14"/>
        <v>787</v>
      </c>
      <c r="P454" s="7">
        <v>1217</v>
      </c>
      <c r="Q454" s="7">
        <v>352802.071</v>
      </c>
      <c r="R454" s="7">
        <v>741260.86800000002</v>
      </c>
      <c r="S454" s="7">
        <v>795699.28099999996</v>
      </c>
      <c r="T454" s="7">
        <v>697098.72800000012</v>
      </c>
      <c r="U454" s="7">
        <v>758612.44600000011</v>
      </c>
      <c r="V454" s="7">
        <v>861930.98699999996</v>
      </c>
      <c r="W454" s="7">
        <v>647185.86399999994</v>
      </c>
      <c r="X454" s="16">
        <f>SUM(Q454:W454)</f>
        <v>4854590.2450000001</v>
      </c>
      <c r="Y454" s="28">
        <v>374887.33299999993</v>
      </c>
      <c r="Z454" s="28">
        <v>259910.94900000002</v>
      </c>
      <c r="AA454" s="7">
        <v>110653.67700000001</v>
      </c>
      <c r="AB454" s="16">
        <f t="shared" si="15"/>
        <v>745451.95899999992</v>
      </c>
      <c r="AC454" s="7">
        <v>5600042.2039999999</v>
      </c>
      <c r="AD454" s="8">
        <v>3.1462400344016119E-4</v>
      </c>
      <c r="AE454" s="8">
        <v>8.0943163992841456E-5</v>
      </c>
      <c r="AF454" s="8">
        <v>6.7864834478843772E-5</v>
      </c>
      <c r="AG454" s="8">
        <v>1.0185070944498981E-4</v>
      </c>
      <c r="AH454" s="8">
        <v>4.7455061131438377E-5</v>
      </c>
      <c r="AI454" s="8">
        <v>3.7125942195648203E-5</v>
      </c>
      <c r="AJ454" s="8">
        <v>1.0197997773325903E-4</v>
      </c>
      <c r="AK454" s="8">
        <v>1.6271555379546529E-4</v>
      </c>
      <c r="AL454" s="8">
        <v>8.6568111449587294E-4</v>
      </c>
      <c r="AM454" s="8">
        <v>4.5276398722836836E-3</v>
      </c>
      <c r="AN454" s="8">
        <v>2.1731979075634839E-4</v>
      </c>
    </row>
    <row r="455" spans="1:40" x14ac:dyDescent="0.2">
      <c r="A455" t="s">
        <v>518</v>
      </c>
      <c r="B455">
        <v>2011</v>
      </c>
      <c r="C455" t="s">
        <v>521</v>
      </c>
      <c r="D455" s="7">
        <v>124</v>
      </c>
      <c r="E455" s="7">
        <v>52</v>
      </c>
      <c r="F455" s="7">
        <v>52</v>
      </c>
      <c r="G455" s="7">
        <v>55</v>
      </c>
      <c r="H455" s="7">
        <v>48</v>
      </c>
      <c r="I455" s="7">
        <v>55</v>
      </c>
      <c r="J455" s="7">
        <v>40</v>
      </c>
      <c r="K455" s="16">
        <f>SUM(D455:J455)</f>
        <v>426</v>
      </c>
      <c r="L455" s="28">
        <v>78</v>
      </c>
      <c r="M455" s="28">
        <v>241</v>
      </c>
      <c r="N455" s="7">
        <v>532</v>
      </c>
      <c r="O455" s="16">
        <f t="shared" si="14"/>
        <v>851</v>
      </c>
      <c r="P455" s="7">
        <v>1277</v>
      </c>
      <c r="Q455" s="7">
        <v>342937.75700000004</v>
      </c>
      <c r="R455" s="7">
        <v>716424.82899999991</v>
      </c>
      <c r="S455" s="7">
        <v>769875.56700000027</v>
      </c>
      <c r="T455" s="7">
        <v>686946.38899999997</v>
      </c>
      <c r="U455" s="7">
        <v>717252.41899999988</v>
      </c>
      <c r="V455" s="7">
        <v>832210.02500000014</v>
      </c>
      <c r="W455" s="7">
        <v>650993.71100000001</v>
      </c>
      <c r="X455" s="16">
        <f>SUM(Q455:W455)</f>
        <v>4716640.6970000006</v>
      </c>
      <c r="Y455" s="28">
        <v>372765.93699999992</v>
      </c>
      <c r="Z455" s="28">
        <v>251435.00600000005</v>
      </c>
      <c r="AA455" s="7">
        <v>109637.28299999998</v>
      </c>
      <c r="AB455" s="16">
        <f t="shared" si="15"/>
        <v>733838.22599999991</v>
      </c>
      <c r="AC455" s="7">
        <v>5450478.9230000004</v>
      </c>
      <c r="AD455" s="8">
        <v>3.6158164993188542E-4</v>
      </c>
      <c r="AE455" s="8">
        <v>7.2582632392267368E-5</v>
      </c>
      <c r="AF455" s="8">
        <v>6.7543382630819322E-5</v>
      </c>
      <c r="AG455" s="8">
        <v>8.0064472105406185E-5</v>
      </c>
      <c r="AH455" s="8">
        <v>6.6922046867296808E-5</v>
      </c>
      <c r="AI455" s="8">
        <v>6.6089086105397481E-5</v>
      </c>
      <c r="AJ455" s="8">
        <v>6.1444525997886323E-5</v>
      </c>
      <c r="AK455" s="8">
        <v>2.0924658681997549E-4</v>
      </c>
      <c r="AL455" s="8">
        <v>9.5849819734329254E-4</v>
      </c>
      <c r="AM455" s="8">
        <v>4.852363953601441E-3</v>
      </c>
      <c r="AN455" s="8">
        <v>2.3429133807146727E-4</v>
      </c>
    </row>
    <row r="456" spans="1:40" x14ac:dyDescent="0.2">
      <c r="A456" t="s">
        <v>518</v>
      </c>
      <c r="B456">
        <v>2012</v>
      </c>
      <c r="C456" t="s">
        <v>522</v>
      </c>
      <c r="D456" s="7">
        <v>87</v>
      </c>
      <c r="E456" s="7">
        <v>46</v>
      </c>
      <c r="F456" s="7">
        <v>63</v>
      </c>
      <c r="G456" s="7">
        <v>43</v>
      </c>
      <c r="H456" s="7">
        <v>47</v>
      </c>
      <c r="I456" s="7">
        <v>33</v>
      </c>
      <c r="J456" s="7">
        <v>46</v>
      </c>
      <c r="K456" s="16">
        <f>SUM(D456:J456)</f>
        <v>365</v>
      </c>
      <c r="L456" s="28">
        <v>70</v>
      </c>
      <c r="M456" s="28">
        <v>257</v>
      </c>
      <c r="N456" s="7">
        <v>546</v>
      </c>
      <c r="O456" s="16">
        <f t="shared" si="14"/>
        <v>873</v>
      </c>
      <c r="P456" s="7">
        <v>1238</v>
      </c>
      <c r="Q456" s="7">
        <v>372734.53100000002</v>
      </c>
      <c r="R456" s="7">
        <v>779805.79099999974</v>
      </c>
      <c r="S456" s="7">
        <v>826314.68299999973</v>
      </c>
      <c r="T456" s="7">
        <v>753507.29700000025</v>
      </c>
      <c r="U456" s="7">
        <v>763540.5149999999</v>
      </c>
      <c r="V456" s="7">
        <v>909270.14900000009</v>
      </c>
      <c r="W456" s="7">
        <v>743279.62800000026</v>
      </c>
      <c r="X456" s="16">
        <f>SUM(Q456:W456)</f>
        <v>5148452.5940000005</v>
      </c>
      <c r="Y456" s="28">
        <v>427679.75600000005</v>
      </c>
      <c r="Z456" s="28">
        <v>273361.77899999998</v>
      </c>
      <c r="AA456" s="7">
        <v>121166.33599999995</v>
      </c>
      <c r="AB456" s="16">
        <f t="shared" si="15"/>
        <v>822207.87100000004</v>
      </c>
      <c r="AC456" s="7">
        <v>5970660.4650000008</v>
      </c>
      <c r="AD456" s="8">
        <v>2.3341008885490139E-4</v>
      </c>
      <c r="AE456" s="8">
        <v>5.8989046415019527E-5</v>
      </c>
      <c r="AF456" s="8">
        <v>7.6242140308185744E-5</v>
      </c>
      <c r="AG456" s="8">
        <v>5.7066467930966814E-5</v>
      </c>
      <c r="AH456" s="8">
        <v>6.1555345232728096E-5</v>
      </c>
      <c r="AI456" s="8">
        <v>3.6292844361263638E-5</v>
      </c>
      <c r="AJ456" s="8">
        <v>6.1887879429409014E-5</v>
      </c>
      <c r="AK456" s="8">
        <v>1.636738681641036E-4</v>
      </c>
      <c r="AL456" s="8">
        <v>9.4014606189697072E-4</v>
      </c>
      <c r="AM456" s="8">
        <v>4.5062021187138998E-3</v>
      </c>
      <c r="AN456" s="8">
        <v>2.0734724529340655E-4</v>
      </c>
    </row>
    <row r="457" spans="1:40" x14ac:dyDescent="0.2">
      <c r="A457" t="s">
        <v>518</v>
      </c>
      <c r="B457">
        <v>2013</v>
      </c>
      <c r="C457" t="s">
        <v>523</v>
      </c>
      <c r="D457" s="7">
        <v>117</v>
      </c>
      <c r="E457" s="7">
        <v>55</v>
      </c>
      <c r="F457" s="7">
        <v>49</v>
      </c>
      <c r="G457" s="7">
        <v>57</v>
      </c>
      <c r="H457" s="7">
        <v>59</v>
      </c>
      <c r="I457" s="7">
        <v>58</v>
      </c>
      <c r="J457" s="7">
        <v>61</v>
      </c>
      <c r="K457" s="16">
        <f>SUM(D457:J457)</f>
        <v>456</v>
      </c>
      <c r="L457" s="28">
        <v>100</v>
      </c>
      <c r="M457" s="28">
        <v>233</v>
      </c>
      <c r="N457" s="7">
        <v>642</v>
      </c>
      <c r="O457" s="16">
        <f t="shared" si="14"/>
        <v>975</v>
      </c>
      <c r="P457" s="7">
        <v>1431</v>
      </c>
      <c r="Q457" s="7">
        <v>345495.31899999996</v>
      </c>
      <c r="R457" s="7">
        <v>728173.12999999977</v>
      </c>
      <c r="S457" s="7">
        <v>777201.20999999985</v>
      </c>
      <c r="T457" s="7">
        <v>715220.52500000002</v>
      </c>
      <c r="U457" s="7">
        <v>702748.81600000022</v>
      </c>
      <c r="V457" s="7">
        <v>842062.28800000018</v>
      </c>
      <c r="W457" s="7">
        <v>709697.55999999994</v>
      </c>
      <c r="X457" s="16">
        <f>SUM(Q457:W457)</f>
        <v>4820598.8479999993</v>
      </c>
      <c r="Y457" s="28">
        <v>408751.78399999987</v>
      </c>
      <c r="Z457" s="28">
        <v>252233.97000000003</v>
      </c>
      <c r="AA457" s="7">
        <v>117273.65499999998</v>
      </c>
      <c r="AB457" s="16">
        <f t="shared" si="15"/>
        <v>778259.40899999999</v>
      </c>
      <c r="AC457" s="7">
        <v>5598858.2569999993</v>
      </c>
      <c r="AD457" s="8">
        <v>3.3864424079215968E-4</v>
      </c>
      <c r="AE457" s="8">
        <v>7.553148795809043E-5</v>
      </c>
      <c r="AF457" s="8">
        <v>6.3046736635934995E-5</v>
      </c>
      <c r="AG457" s="8">
        <v>7.9695699448781895E-5</v>
      </c>
      <c r="AH457" s="8">
        <v>8.3956029034419583E-5</v>
      </c>
      <c r="AI457" s="8">
        <v>6.8878515077259924E-5</v>
      </c>
      <c r="AJ457" s="8">
        <v>8.595210613377338E-5</v>
      </c>
      <c r="AK457" s="8">
        <v>2.4464725027353038E-4</v>
      </c>
      <c r="AL457" s="8">
        <v>9.2374552087492404E-4</v>
      </c>
      <c r="AM457" s="8">
        <v>5.4743752976744867E-3</v>
      </c>
      <c r="AN457" s="8">
        <v>2.555878242159257E-4</v>
      </c>
    </row>
    <row r="458" spans="1:40" x14ac:dyDescent="0.2">
      <c r="A458" t="s">
        <v>518</v>
      </c>
      <c r="B458">
        <v>2014</v>
      </c>
      <c r="C458" t="s">
        <v>524</v>
      </c>
      <c r="D458" s="7">
        <v>101</v>
      </c>
      <c r="E458" s="7">
        <v>63</v>
      </c>
      <c r="F458" s="7">
        <v>68</v>
      </c>
      <c r="G458" s="7">
        <v>42</v>
      </c>
      <c r="H458" s="7">
        <v>46</v>
      </c>
      <c r="I458" s="7">
        <v>73</v>
      </c>
      <c r="J458" s="7">
        <v>58</v>
      </c>
      <c r="K458" s="16">
        <f>SUM(D458:J458)</f>
        <v>451</v>
      </c>
      <c r="L458" s="28">
        <v>83</v>
      </c>
      <c r="M458" s="28">
        <v>193</v>
      </c>
      <c r="N458" s="7">
        <v>560</v>
      </c>
      <c r="O458" s="16">
        <f t="shared" si="14"/>
        <v>836</v>
      </c>
      <c r="P458" s="7">
        <v>1287</v>
      </c>
      <c r="Q458" s="7">
        <v>344165.7080000001</v>
      </c>
      <c r="R458" s="7">
        <v>734668.0560000001</v>
      </c>
      <c r="S458" s="7">
        <v>783003.67099999974</v>
      </c>
      <c r="T458" s="7">
        <v>724271.63100000017</v>
      </c>
      <c r="U458" s="7">
        <v>698781.62099999981</v>
      </c>
      <c r="V458" s="7">
        <v>840070.8520000003</v>
      </c>
      <c r="W458" s="7">
        <v>741174.67699999979</v>
      </c>
      <c r="X458" s="16">
        <f>SUM(Q458:W458)</f>
        <v>4866136.216</v>
      </c>
      <c r="Y458" s="28">
        <v>435391.01</v>
      </c>
      <c r="Z458" s="28">
        <v>258240.84299999999</v>
      </c>
      <c r="AA458" s="7">
        <v>120649.95100000002</v>
      </c>
      <c r="AB458" s="16">
        <f t="shared" si="15"/>
        <v>814281.804</v>
      </c>
      <c r="AC458" s="7">
        <v>5680418.0200000005</v>
      </c>
      <c r="AD458" s="8">
        <v>2.93463287167471E-4</v>
      </c>
      <c r="AE458" s="8">
        <v>8.575301387542566E-5</v>
      </c>
      <c r="AF458" s="8">
        <v>8.6845058993344131E-5</v>
      </c>
      <c r="AG458" s="8">
        <v>5.798929324625168E-5</v>
      </c>
      <c r="AH458" s="8">
        <v>6.5828863578539957E-5</v>
      </c>
      <c r="AI458" s="8">
        <v>8.68974323132449E-5</v>
      </c>
      <c r="AJ458" s="8">
        <v>7.825415762281908E-5</v>
      </c>
      <c r="AK458" s="8">
        <v>1.9063324251917833E-4</v>
      </c>
      <c r="AL458" s="8">
        <v>7.4736435088232735E-4</v>
      </c>
      <c r="AM458" s="8">
        <v>4.6415269576031565E-3</v>
      </c>
      <c r="AN458" s="8">
        <v>2.2656783276664555E-4</v>
      </c>
    </row>
    <row r="459" spans="1:40" x14ac:dyDescent="0.2">
      <c r="A459" t="s">
        <v>518</v>
      </c>
      <c r="B459">
        <v>2015</v>
      </c>
      <c r="C459" t="s">
        <v>525</v>
      </c>
      <c r="D459" s="7">
        <v>86</v>
      </c>
      <c r="E459" s="7">
        <v>51</v>
      </c>
      <c r="F459" s="7">
        <v>61</v>
      </c>
      <c r="G459" s="7">
        <v>52</v>
      </c>
      <c r="H459" s="7">
        <v>38</v>
      </c>
      <c r="I459" s="7">
        <v>45</v>
      </c>
      <c r="J459" s="7">
        <v>48</v>
      </c>
      <c r="K459" s="16">
        <f>SUM(D459:J459)</f>
        <v>381</v>
      </c>
      <c r="L459" s="28">
        <v>95</v>
      </c>
      <c r="M459" s="28">
        <v>244</v>
      </c>
      <c r="N459" s="7">
        <v>595</v>
      </c>
      <c r="O459" s="16">
        <f t="shared" si="14"/>
        <v>934</v>
      </c>
      <c r="P459" s="7">
        <v>1315</v>
      </c>
      <c r="Q459" s="7">
        <v>342008.89399999997</v>
      </c>
      <c r="R459" s="7">
        <v>731318.73699999996</v>
      </c>
      <c r="S459" s="7">
        <v>787011.92599999986</v>
      </c>
      <c r="T459" s="7">
        <v>729174.46100000001</v>
      </c>
      <c r="U459" s="7">
        <v>695763.66299999983</v>
      </c>
      <c r="V459" s="7">
        <v>822600.08900000015</v>
      </c>
      <c r="W459" s="7">
        <v>757189.6</v>
      </c>
      <c r="X459" s="16">
        <f>SUM(Q459:W459)</f>
        <v>4865067.37</v>
      </c>
      <c r="Y459" s="28">
        <v>457661.91899999994</v>
      </c>
      <c r="Z459" s="28">
        <v>259861.66600000011</v>
      </c>
      <c r="AA459" s="7">
        <v>121939.39099999999</v>
      </c>
      <c r="AB459" s="16">
        <f t="shared" si="15"/>
        <v>839462.97600000002</v>
      </c>
      <c r="AC459" s="7">
        <v>5704530.3459999999</v>
      </c>
      <c r="AD459" s="8">
        <v>2.5145544899192007E-4</v>
      </c>
      <c r="AE459" s="8">
        <v>6.9737034510029247E-5</v>
      </c>
      <c r="AF459" s="8">
        <v>7.7508355318112434E-5</v>
      </c>
      <c r="AG459" s="8">
        <v>7.1313523417546027E-5</v>
      </c>
      <c r="AH459" s="8">
        <v>5.461624689646951E-5</v>
      </c>
      <c r="AI459" s="8">
        <v>5.4704589267312845E-5</v>
      </c>
      <c r="AJ459" s="8">
        <v>6.3392312836837699E-5</v>
      </c>
      <c r="AK459" s="8">
        <v>2.0757680736814812E-4</v>
      </c>
      <c r="AL459" s="8">
        <v>9.3896111633487293E-4</v>
      </c>
      <c r="AM459" s="8">
        <v>4.8794732786552955E-3</v>
      </c>
      <c r="AN459" s="8">
        <v>2.3051853881749865E-4</v>
      </c>
    </row>
    <row r="460" spans="1:40" x14ac:dyDescent="0.2">
      <c r="A460" t="s">
        <v>518</v>
      </c>
      <c r="B460">
        <v>2016</v>
      </c>
      <c r="C460" t="s">
        <v>526</v>
      </c>
      <c r="D460" s="7">
        <v>116</v>
      </c>
      <c r="E460" s="7">
        <v>33</v>
      </c>
      <c r="F460" s="7">
        <v>60</v>
      </c>
      <c r="G460" s="7">
        <v>72</v>
      </c>
      <c r="H460" s="7">
        <v>55</v>
      </c>
      <c r="I460" s="7">
        <v>45</v>
      </c>
      <c r="J460" s="7">
        <v>68</v>
      </c>
      <c r="K460" s="16">
        <f>SUM(D460:J460)</f>
        <v>449</v>
      </c>
      <c r="L460" s="28">
        <v>81</v>
      </c>
      <c r="M460" s="28">
        <v>164</v>
      </c>
      <c r="N460" s="7">
        <v>471</v>
      </c>
      <c r="O460" s="16">
        <f t="shared" si="14"/>
        <v>716</v>
      </c>
      <c r="P460" s="7">
        <v>1165</v>
      </c>
      <c r="Q460" s="7">
        <v>339130.30900000001</v>
      </c>
      <c r="R460" s="7">
        <v>731300.22200000018</v>
      </c>
      <c r="S460" s="7">
        <v>785299.5190000002</v>
      </c>
      <c r="T460" s="7">
        <v>724944.37999999989</v>
      </c>
      <c r="U460" s="7">
        <v>687993.98299999989</v>
      </c>
      <c r="V460" s="7">
        <v>804035.45599999989</v>
      </c>
      <c r="W460" s="7">
        <v>765383.67100000009</v>
      </c>
      <c r="X460" s="16">
        <f>SUM(Q460:W460)</f>
        <v>4838087.54</v>
      </c>
      <c r="Y460" s="28">
        <v>474602.10699999996</v>
      </c>
      <c r="Z460" s="28">
        <v>257183.75200000004</v>
      </c>
      <c r="AA460" s="7">
        <v>122997.08700000007</v>
      </c>
      <c r="AB460" s="16">
        <f t="shared" si="15"/>
        <v>854782.946</v>
      </c>
      <c r="AC460" s="7">
        <v>5692870.4860000005</v>
      </c>
      <c r="AD460" s="8">
        <v>3.4205140891727256E-4</v>
      </c>
      <c r="AE460" s="8">
        <v>4.5125105951355768E-5</v>
      </c>
      <c r="AF460" s="8">
        <v>7.6403968865795243E-5</v>
      </c>
      <c r="AG460" s="8">
        <v>9.9317964227821188E-5</v>
      </c>
      <c r="AH460" s="8">
        <v>7.9942559613926177E-5</v>
      </c>
      <c r="AI460" s="8">
        <v>5.5967681106839157E-5</v>
      </c>
      <c r="AJ460" s="8">
        <v>8.8844330727823944E-5</v>
      </c>
      <c r="AK460" s="8">
        <v>1.7066928023562274E-4</v>
      </c>
      <c r="AL460" s="8">
        <v>6.3767636456287479E-4</v>
      </c>
      <c r="AM460" s="8">
        <v>3.8293589831115246E-3</v>
      </c>
      <c r="AN460" s="8">
        <v>2.046419293860605E-4</v>
      </c>
    </row>
    <row r="461" spans="1:40" x14ac:dyDescent="0.2">
      <c r="A461" t="s">
        <v>518</v>
      </c>
      <c r="B461">
        <v>2017</v>
      </c>
      <c r="C461" t="s">
        <v>527</v>
      </c>
      <c r="D461" s="7">
        <v>113</v>
      </c>
      <c r="E461" s="7">
        <v>59</v>
      </c>
      <c r="F461" s="7">
        <v>57</v>
      </c>
      <c r="G461" s="7">
        <v>52</v>
      </c>
      <c r="H461" s="7">
        <v>60</v>
      </c>
      <c r="I461" s="7">
        <v>50</v>
      </c>
      <c r="J461" s="7">
        <v>70</v>
      </c>
      <c r="K461" s="16">
        <f>SUM(D461:J461)</f>
        <v>461</v>
      </c>
      <c r="L461" s="28">
        <v>117</v>
      </c>
      <c r="M461" s="28">
        <v>187</v>
      </c>
      <c r="N461" s="7">
        <v>521</v>
      </c>
      <c r="O461" s="16">
        <f t="shared" si="14"/>
        <v>825</v>
      </c>
      <c r="P461" s="7">
        <v>1286</v>
      </c>
      <c r="Q461" s="7">
        <v>341261</v>
      </c>
      <c r="R461" s="7">
        <v>740143</v>
      </c>
      <c r="S461" s="7">
        <v>792281</v>
      </c>
      <c r="T461" s="7">
        <v>738604</v>
      </c>
      <c r="U461" s="7">
        <v>702893</v>
      </c>
      <c r="V461" s="7">
        <v>806048</v>
      </c>
      <c r="W461" s="7">
        <v>802186</v>
      </c>
      <c r="X461" s="16">
        <f>SUM(Q461:W461)</f>
        <v>4923416</v>
      </c>
      <c r="Y461" s="28">
        <v>513232</v>
      </c>
      <c r="Z461" s="28">
        <v>269252</v>
      </c>
      <c r="AA461" s="7">
        <v>126275</v>
      </c>
      <c r="AB461" s="16">
        <f t="shared" si="15"/>
        <v>908759</v>
      </c>
      <c r="AC461" s="7">
        <v>5832175</v>
      </c>
      <c r="AD461" s="8">
        <v>3.3112485751375046E-4</v>
      </c>
      <c r="AE461" s="8">
        <v>7.9714325474942004E-5</v>
      </c>
      <c r="AF461" s="8">
        <v>7.1944171323053306E-5</v>
      </c>
      <c r="AG461" s="8">
        <v>7.0403084738235915E-5</v>
      </c>
      <c r="AH461" s="8">
        <v>8.5361498834104189E-5</v>
      </c>
      <c r="AI461" s="8">
        <v>6.2031045297550517E-5</v>
      </c>
      <c r="AJ461" s="8">
        <v>8.7261557793329731E-5</v>
      </c>
      <c r="AK461" s="8">
        <v>2.2796707921563737E-4</v>
      </c>
      <c r="AL461" s="8">
        <v>6.9451666097187766E-4</v>
      </c>
      <c r="AM461" s="8">
        <v>4.1259156602652938E-3</v>
      </c>
      <c r="AN461" s="8">
        <v>2.2050092804142536E-4</v>
      </c>
    </row>
    <row r="462" spans="1:40" x14ac:dyDescent="0.2">
      <c r="A462" t="s">
        <v>528</v>
      </c>
      <c r="B462">
        <v>2009</v>
      </c>
      <c r="C462" t="s">
        <v>529</v>
      </c>
      <c r="D462" s="7">
        <v>100</v>
      </c>
      <c r="E462" s="7">
        <v>50</v>
      </c>
      <c r="F462" s="7">
        <v>65</v>
      </c>
      <c r="G462" s="7">
        <v>55</v>
      </c>
      <c r="H462" s="7">
        <v>46</v>
      </c>
      <c r="I462" s="7">
        <v>53</v>
      </c>
      <c r="J462" s="7">
        <v>62</v>
      </c>
      <c r="K462" s="16">
        <f>SUM(D462:J462)</f>
        <v>431</v>
      </c>
      <c r="L462" s="28">
        <v>49</v>
      </c>
      <c r="M462" s="28">
        <v>49</v>
      </c>
      <c r="N462" s="7">
        <v>54</v>
      </c>
      <c r="O462" s="16">
        <f t="shared" si="14"/>
        <v>152</v>
      </c>
      <c r="P462" s="7">
        <v>583</v>
      </c>
      <c r="Q462" s="7">
        <v>35722.439000000006</v>
      </c>
      <c r="R462" s="7">
        <v>67029.884000000005</v>
      </c>
      <c r="S462" s="7">
        <v>80415.207000000009</v>
      </c>
      <c r="T462" s="7">
        <v>67060.034</v>
      </c>
      <c r="U462" s="7">
        <v>64126.428</v>
      </c>
      <c r="V462" s="7">
        <v>81240.143999999986</v>
      </c>
      <c r="W462" s="7">
        <v>61507.877999999997</v>
      </c>
      <c r="X462" s="16">
        <f>SUM(Q462:W462)</f>
        <v>457102.01399999997</v>
      </c>
      <c r="Y462" s="28">
        <v>33323.114999999998</v>
      </c>
      <c r="Z462" s="28">
        <v>21280.575999999997</v>
      </c>
      <c r="AA462" s="7">
        <v>7882.1490000000003</v>
      </c>
      <c r="AB462" s="16">
        <f t="shared" si="15"/>
        <v>62485.839999999989</v>
      </c>
      <c r="AC462" s="7">
        <v>519587.85399999993</v>
      </c>
      <c r="AD462" s="8">
        <v>2.7993609282949573E-3</v>
      </c>
      <c r="AE462" s="8">
        <v>7.4593594701730342E-4</v>
      </c>
      <c r="AF462" s="8">
        <v>8.083048272200554E-4</v>
      </c>
      <c r="AG462" s="8">
        <v>8.2016063397760881E-4</v>
      </c>
      <c r="AH462" s="8">
        <v>7.1733295358350534E-4</v>
      </c>
      <c r="AI462" s="8">
        <v>6.5238682984116825E-4</v>
      </c>
      <c r="AJ462" s="8">
        <v>1.0080009588365249E-3</v>
      </c>
      <c r="AK462" s="8">
        <v>1.4704507666825266E-3</v>
      </c>
      <c r="AL462" s="8">
        <v>2.3025692537645601E-3</v>
      </c>
      <c r="AM462" s="8">
        <v>6.8509235235213132E-3</v>
      </c>
      <c r="AN462" s="8">
        <v>1.1220431646194718E-3</v>
      </c>
    </row>
    <row r="463" spans="1:40" x14ac:dyDescent="0.2">
      <c r="A463" t="s">
        <v>528</v>
      </c>
      <c r="B463">
        <v>2010</v>
      </c>
      <c r="C463" t="s">
        <v>530</v>
      </c>
      <c r="D463" s="7">
        <v>102</v>
      </c>
      <c r="E463" s="7">
        <v>51</v>
      </c>
      <c r="F463" s="7">
        <v>38</v>
      </c>
      <c r="G463" s="7">
        <v>43</v>
      </c>
      <c r="H463" s="7">
        <v>67</v>
      </c>
      <c r="I463" s="7">
        <v>45</v>
      </c>
      <c r="J463" s="7">
        <v>48</v>
      </c>
      <c r="K463" s="16">
        <f>SUM(D463:J463)</f>
        <v>394</v>
      </c>
      <c r="L463" s="28">
        <v>53</v>
      </c>
      <c r="M463" s="28">
        <v>73</v>
      </c>
      <c r="N463" s="7">
        <v>49</v>
      </c>
      <c r="O463" s="16">
        <f t="shared" si="14"/>
        <v>175</v>
      </c>
      <c r="P463" s="7">
        <v>569</v>
      </c>
      <c r="Q463" s="7">
        <v>40494.825000000004</v>
      </c>
      <c r="R463" s="7">
        <v>77715.874999999985</v>
      </c>
      <c r="S463" s="7">
        <v>88851.178</v>
      </c>
      <c r="T463" s="7">
        <v>77156.800999999992</v>
      </c>
      <c r="U463" s="7">
        <v>73259.838999999993</v>
      </c>
      <c r="V463" s="7">
        <v>93035.099999999991</v>
      </c>
      <c r="W463" s="7">
        <v>74793.721999999994</v>
      </c>
      <c r="X463" s="16">
        <f>SUM(Q463:W463)</f>
        <v>525307.33999999985</v>
      </c>
      <c r="Y463" s="28">
        <v>41131.65</v>
      </c>
      <c r="Z463" s="28">
        <v>24625.828999999994</v>
      </c>
      <c r="AA463" s="7">
        <v>9434.969000000001</v>
      </c>
      <c r="AB463" s="16">
        <f t="shared" si="15"/>
        <v>75192.447999999989</v>
      </c>
      <c r="AC463" s="7">
        <v>600499.78799999994</v>
      </c>
      <c r="AD463" s="8">
        <v>2.5188403703436178E-3</v>
      </c>
      <c r="AE463" s="8">
        <v>6.5623657972068144E-4</v>
      </c>
      <c r="AF463" s="8">
        <v>4.2768144278289706E-4</v>
      </c>
      <c r="AG463" s="8">
        <v>5.5730667216231532E-4</v>
      </c>
      <c r="AH463" s="8">
        <v>9.1455292442015881E-4</v>
      </c>
      <c r="AI463" s="8">
        <v>4.8368841437264006E-4</v>
      </c>
      <c r="AJ463" s="8">
        <v>6.4176509359970089E-4</v>
      </c>
      <c r="AK463" s="8">
        <v>1.2885454388530486E-3</v>
      </c>
      <c r="AL463" s="8">
        <v>2.9643672097292651E-3</v>
      </c>
      <c r="AM463" s="8">
        <v>5.1934457866263254E-3</v>
      </c>
      <c r="AN463" s="8">
        <v>9.4754404809215367E-4</v>
      </c>
    </row>
    <row r="464" spans="1:40" x14ac:dyDescent="0.2">
      <c r="A464" t="s">
        <v>528</v>
      </c>
      <c r="B464">
        <v>2011</v>
      </c>
      <c r="C464" t="s">
        <v>531</v>
      </c>
      <c r="D464" s="7">
        <v>102</v>
      </c>
      <c r="E464" s="7">
        <v>33</v>
      </c>
      <c r="F464" s="7">
        <v>56</v>
      </c>
      <c r="G464" s="7">
        <v>55</v>
      </c>
      <c r="H464" s="7">
        <v>49</v>
      </c>
      <c r="I464" s="7">
        <v>71</v>
      </c>
      <c r="J464" s="7">
        <v>39</v>
      </c>
      <c r="K464" s="16">
        <f>SUM(D464:J464)</f>
        <v>405</v>
      </c>
      <c r="L464" s="28">
        <v>46</v>
      </c>
      <c r="M464" s="28">
        <v>59</v>
      </c>
      <c r="N464" s="7">
        <v>53</v>
      </c>
      <c r="O464" s="16">
        <f t="shared" si="14"/>
        <v>158</v>
      </c>
      <c r="P464" s="7">
        <v>563</v>
      </c>
      <c r="Q464" s="7">
        <v>45915.47</v>
      </c>
      <c r="R464" s="7">
        <v>84792.402999999991</v>
      </c>
      <c r="S464" s="7">
        <v>91280.776000000027</v>
      </c>
      <c r="T464" s="7">
        <v>86544.811999999991</v>
      </c>
      <c r="U464" s="7">
        <v>76519.243999999992</v>
      </c>
      <c r="V464" s="7">
        <v>93801.688999999998</v>
      </c>
      <c r="W464" s="7">
        <v>78728.544999999984</v>
      </c>
      <c r="X464" s="16">
        <f>SUM(Q464:W464)</f>
        <v>557582.93900000001</v>
      </c>
      <c r="Y464" s="28">
        <v>42336.460999999996</v>
      </c>
      <c r="Z464" s="28">
        <v>24834.790000000005</v>
      </c>
      <c r="AA464" s="7">
        <v>9252.020999999997</v>
      </c>
      <c r="AB464" s="16">
        <f t="shared" si="15"/>
        <v>76423.271999999997</v>
      </c>
      <c r="AC464" s="7">
        <v>634006.21100000001</v>
      </c>
      <c r="AD464" s="8">
        <v>2.2214735033747883E-3</v>
      </c>
      <c r="AE464" s="8">
        <v>3.8918580948814487E-4</v>
      </c>
      <c r="AF464" s="8">
        <v>6.1349171702922405E-4</v>
      </c>
      <c r="AG464" s="8">
        <v>6.3550891993387204E-4</v>
      </c>
      <c r="AH464" s="8">
        <v>6.403617892513419E-4</v>
      </c>
      <c r="AI464" s="8">
        <v>7.5691600819682468E-4</v>
      </c>
      <c r="AJ464" s="8">
        <v>4.9537305687536847E-4</v>
      </c>
      <c r="AK464" s="8">
        <v>1.0865338980506662E-3</v>
      </c>
      <c r="AL464" s="8">
        <v>2.3756995730585999E-3</v>
      </c>
      <c r="AM464" s="8">
        <v>5.7284781346691729E-3</v>
      </c>
      <c r="AN464" s="8">
        <v>8.8800391893952598E-4</v>
      </c>
    </row>
    <row r="465" spans="1:40" x14ac:dyDescent="0.2">
      <c r="A465" t="s">
        <v>528</v>
      </c>
      <c r="B465">
        <v>2012</v>
      </c>
      <c r="C465" t="s">
        <v>532</v>
      </c>
      <c r="D465" s="7">
        <v>126</v>
      </c>
      <c r="E465" s="7">
        <v>53</v>
      </c>
      <c r="F465" s="7">
        <v>56</v>
      </c>
      <c r="G465" s="7">
        <v>50</v>
      </c>
      <c r="H465" s="7">
        <v>60</v>
      </c>
      <c r="I465" s="7">
        <v>48</v>
      </c>
      <c r="J465" s="7">
        <v>72</v>
      </c>
      <c r="K465" s="16">
        <f>SUM(D465:J465)</f>
        <v>465</v>
      </c>
      <c r="L465" s="28">
        <v>52</v>
      </c>
      <c r="M465" s="28">
        <v>65</v>
      </c>
      <c r="N465" s="7">
        <v>51</v>
      </c>
      <c r="O465" s="16">
        <f t="shared" si="14"/>
        <v>168</v>
      </c>
      <c r="P465" s="7">
        <v>633</v>
      </c>
      <c r="Q465" s="7">
        <v>49010.877000000015</v>
      </c>
      <c r="R465" s="7">
        <v>94064.870999999985</v>
      </c>
      <c r="S465" s="7">
        <v>100166.54399999999</v>
      </c>
      <c r="T465" s="7">
        <v>95369.759000000005</v>
      </c>
      <c r="U465" s="7">
        <v>86695.840000000011</v>
      </c>
      <c r="V465" s="7">
        <v>105041.95300000001</v>
      </c>
      <c r="W465" s="7">
        <v>93464.829000000027</v>
      </c>
      <c r="X465" s="16">
        <f>SUM(Q465:W465)</f>
        <v>623814.67300000007</v>
      </c>
      <c r="Y465" s="28">
        <v>52432.534</v>
      </c>
      <c r="Z465" s="28">
        <v>29317.275999999994</v>
      </c>
      <c r="AA465" s="7">
        <v>11632.696</v>
      </c>
      <c r="AB465" s="16">
        <f t="shared" si="15"/>
        <v>93382.505999999994</v>
      </c>
      <c r="AC465" s="7">
        <v>717197.179</v>
      </c>
      <c r="AD465" s="8">
        <v>2.5708578934427141E-3</v>
      </c>
      <c r="AE465" s="8">
        <v>5.6344094704600196E-4</v>
      </c>
      <c r="AF465" s="8">
        <v>5.5906890428404925E-4</v>
      </c>
      <c r="AG465" s="8">
        <v>5.2427520551876405E-4</v>
      </c>
      <c r="AH465" s="8">
        <v>6.9207472930650417E-4</v>
      </c>
      <c r="AI465" s="8">
        <v>4.5696027757595096E-4</v>
      </c>
      <c r="AJ465" s="8">
        <v>7.7034324858177381E-4</v>
      </c>
      <c r="AK465" s="8">
        <v>9.9175065618610004E-4</v>
      </c>
      <c r="AL465" s="8">
        <v>2.2171227640658026E-3</v>
      </c>
      <c r="AM465" s="8">
        <v>4.3841943432545646E-3</v>
      </c>
      <c r="AN465" s="8">
        <v>8.8260246768204318E-4</v>
      </c>
    </row>
    <row r="466" spans="1:40" x14ac:dyDescent="0.2">
      <c r="A466" t="s">
        <v>528</v>
      </c>
      <c r="B466">
        <v>2013</v>
      </c>
      <c r="C466" t="s">
        <v>533</v>
      </c>
      <c r="D466" s="7">
        <v>99</v>
      </c>
      <c r="E466" s="7">
        <v>65</v>
      </c>
      <c r="F466" s="7">
        <v>64</v>
      </c>
      <c r="G466" s="7">
        <v>43</v>
      </c>
      <c r="H466" s="7">
        <v>44</v>
      </c>
      <c r="I466" s="7">
        <v>56</v>
      </c>
      <c r="J466" s="7">
        <v>49</v>
      </c>
      <c r="K466" s="16">
        <f>SUM(D466:J466)</f>
        <v>420</v>
      </c>
      <c r="L466" s="28">
        <v>46</v>
      </c>
      <c r="M466" s="28">
        <v>67</v>
      </c>
      <c r="N466" s="7">
        <v>51</v>
      </c>
      <c r="O466" s="16">
        <f t="shared" si="14"/>
        <v>164</v>
      </c>
      <c r="P466" s="7">
        <v>584</v>
      </c>
      <c r="Q466" s="7">
        <v>38707.881000000001</v>
      </c>
      <c r="R466" s="7">
        <v>75759.210999999996</v>
      </c>
      <c r="S466" s="7">
        <v>78987.667000000001</v>
      </c>
      <c r="T466" s="7">
        <v>76794.134999999995</v>
      </c>
      <c r="U466" s="7">
        <v>67701.121999999988</v>
      </c>
      <c r="V466" s="7">
        <v>79644.967000000004</v>
      </c>
      <c r="W466" s="7">
        <v>76243.84599999999</v>
      </c>
      <c r="X466" s="16">
        <f>SUM(Q466:W466)</f>
        <v>493838.82900000003</v>
      </c>
      <c r="Y466" s="28">
        <v>41835.700000000004</v>
      </c>
      <c r="Z466" s="28">
        <v>22436.706000000002</v>
      </c>
      <c r="AA466" s="7">
        <v>8757.4509999999991</v>
      </c>
      <c r="AB466" s="16">
        <f t="shared" si="15"/>
        <v>73029.857000000004</v>
      </c>
      <c r="AC466" s="7">
        <v>566868.68599999999</v>
      </c>
      <c r="AD466" s="8">
        <v>2.5576186926894811E-3</v>
      </c>
      <c r="AE466" s="8">
        <v>8.5798148029815147E-4</v>
      </c>
      <c r="AF466" s="8">
        <v>8.1025307406534742E-4</v>
      </c>
      <c r="AG466" s="8">
        <v>5.5993859426895041E-4</v>
      </c>
      <c r="AH466" s="8">
        <v>6.4991537363295112E-4</v>
      </c>
      <c r="AI466" s="8">
        <v>7.0312038675337759E-4</v>
      </c>
      <c r="AJ466" s="8">
        <v>6.4267481994546816E-4</v>
      </c>
      <c r="AK466" s="8">
        <v>1.0995393886082938E-3</v>
      </c>
      <c r="AL466" s="8">
        <v>2.9861780958399149E-3</v>
      </c>
      <c r="AM466" s="8">
        <v>5.8236123730523873E-3</v>
      </c>
      <c r="AN466" s="8">
        <v>1.0302209566749644E-3</v>
      </c>
    </row>
    <row r="467" spans="1:40" x14ac:dyDescent="0.2">
      <c r="A467" t="s">
        <v>528</v>
      </c>
      <c r="B467">
        <v>2014</v>
      </c>
      <c r="C467" t="s">
        <v>534</v>
      </c>
      <c r="D467" s="7">
        <v>102</v>
      </c>
      <c r="E467" s="7">
        <v>73</v>
      </c>
      <c r="F467" s="7">
        <v>44</v>
      </c>
      <c r="G467" s="7">
        <v>38</v>
      </c>
      <c r="H467" s="7">
        <v>48</v>
      </c>
      <c r="I467" s="7">
        <v>59</v>
      </c>
      <c r="J467" s="7">
        <v>38</v>
      </c>
      <c r="K467" s="16">
        <f>SUM(D467:J467)</f>
        <v>402</v>
      </c>
      <c r="L467" s="28">
        <v>60</v>
      </c>
      <c r="M467" s="28">
        <v>34</v>
      </c>
      <c r="N467" s="7">
        <v>26</v>
      </c>
      <c r="O467" s="16">
        <f t="shared" si="14"/>
        <v>120</v>
      </c>
      <c r="P467" s="7">
        <v>522</v>
      </c>
      <c r="Q467" s="7">
        <v>42941.430999999997</v>
      </c>
      <c r="R467" s="7">
        <v>85763.886999999988</v>
      </c>
      <c r="S467" s="7">
        <v>90180.114999999991</v>
      </c>
      <c r="T467" s="7">
        <v>90796.286000000007</v>
      </c>
      <c r="U467" s="7">
        <v>78030.465000000011</v>
      </c>
      <c r="V467" s="7">
        <v>88806.283999999971</v>
      </c>
      <c r="W467" s="7">
        <v>88308.285000000003</v>
      </c>
      <c r="X467" s="16">
        <f>SUM(Q467:W467)</f>
        <v>564826.75300000003</v>
      </c>
      <c r="Y467" s="28">
        <v>51068.714000000007</v>
      </c>
      <c r="Z467" s="28">
        <v>27424.261999999999</v>
      </c>
      <c r="AA467" s="7">
        <v>10953.800000000001</v>
      </c>
      <c r="AB467" s="16">
        <f t="shared" si="15"/>
        <v>89446.776000000013</v>
      </c>
      <c r="AC467" s="7">
        <v>654273.5290000001</v>
      </c>
      <c r="AD467" s="8">
        <v>2.3753283862384561E-3</v>
      </c>
      <c r="AE467" s="8">
        <v>8.5117410781533273E-4</v>
      </c>
      <c r="AF467" s="8">
        <v>4.8791244056408669E-4</v>
      </c>
      <c r="AG467" s="8">
        <v>4.1851932137400419E-4</v>
      </c>
      <c r="AH467" s="8">
        <v>6.1514435419550548E-4</v>
      </c>
      <c r="AI467" s="8">
        <v>6.6436739994660764E-4</v>
      </c>
      <c r="AJ467" s="8">
        <v>4.3031070074568879E-4</v>
      </c>
      <c r="AK467" s="8">
        <v>1.174887622977935E-3</v>
      </c>
      <c r="AL467" s="8">
        <v>1.2397781205561703E-3</v>
      </c>
      <c r="AM467" s="8">
        <v>2.3736055067647755E-3</v>
      </c>
      <c r="AN467" s="8">
        <v>7.9783145253917176E-4</v>
      </c>
    </row>
    <row r="468" spans="1:40" x14ac:dyDescent="0.2">
      <c r="A468" t="s">
        <v>528</v>
      </c>
      <c r="B468">
        <v>2015</v>
      </c>
      <c r="C468" t="s">
        <v>535</v>
      </c>
      <c r="D468" s="7">
        <v>94</v>
      </c>
      <c r="E468" s="7">
        <v>58</v>
      </c>
      <c r="F468" s="7">
        <v>66</v>
      </c>
      <c r="G468" s="7">
        <v>55</v>
      </c>
      <c r="H468" s="7">
        <v>53</v>
      </c>
      <c r="I468" s="7">
        <v>52</v>
      </c>
      <c r="J468" s="7">
        <v>44</v>
      </c>
      <c r="K468" s="16">
        <f>SUM(D468:J468)</f>
        <v>422</v>
      </c>
      <c r="L468" s="28">
        <v>53</v>
      </c>
      <c r="M468" s="28">
        <v>53</v>
      </c>
      <c r="N468" s="7">
        <v>43</v>
      </c>
      <c r="O468" s="16">
        <f t="shared" si="14"/>
        <v>149</v>
      </c>
      <c r="P468" s="7">
        <v>571</v>
      </c>
      <c r="Q468" s="7">
        <v>39527.417000000001</v>
      </c>
      <c r="R468" s="7">
        <v>79470.554000000018</v>
      </c>
      <c r="S468" s="7">
        <v>83521.739999999976</v>
      </c>
      <c r="T468" s="7">
        <v>84054.645999999979</v>
      </c>
      <c r="U468" s="7">
        <v>73225.517999999996</v>
      </c>
      <c r="V468" s="7">
        <v>80365.710000000036</v>
      </c>
      <c r="W468" s="7">
        <v>83839.366999999998</v>
      </c>
      <c r="X468" s="16">
        <f>SUM(Q468:W468)</f>
        <v>524004.95199999993</v>
      </c>
      <c r="Y468" s="28">
        <v>48198.788999999982</v>
      </c>
      <c r="Z468" s="28">
        <v>24389.503000000008</v>
      </c>
      <c r="AA468" s="7">
        <v>9883.5869999999995</v>
      </c>
      <c r="AB468" s="16">
        <f t="shared" si="15"/>
        <v>82471.878999999986</v>
      </c>
      <c r="AC468" s="7">
        <v>606476.83100000001</v>
      </c>
      <c r="AD468" s="8">
        <v>2.3780961958632407E-3</v>
      </c>
      <c r="AE468" s="8">
        <v>7.2983007014145124E-4</v>
      </c>
      <c r="AF468" s="8">
        <v>7.9021342227784074E-4</v>
      </c>
      <c r="AG468" s="8">
        <v>6.5433622788679661E-4</v>
      </c>
      <c r="AH468" s="8">
        <v>7.2379139741968093E-4</v>
      </c>
      <c r="AI468" s="8">
        <v>6.4704212779305968E-4</v>
      </c>
      <c r="AJ468" s="8">
        <v>5.2481312269449742E-4</v>
      </c>
      <c r="AK468" s="8">
        <v>1.0996126894391479E-3</v>
      </c>
      <c r="AL468" s="8">
        <v>2.1730660112262222E-3</v>
      </c>
      <c r="AM468" s="8">
        <v>4.3506471891227349E-3</v>
      </c>
      <c r="AN468" s="8">
        <v>9.4150340262545002E-4</v>
      </c>
    </row>
    <row r="469" spans="1:40" x14ac:dyDescent="0.2">
      <c r="A469" t="s">
        <v>528</v>
      </c>
      <c r="B469">
        <v>2016</v>
      </c>
      <c r="C469" t="s">
        <v>536</v>
      </c>
      <c r="D469" s="7">
        <v>72</v>
      </c>
      <c r="E469" s="7">
        <v>36</v>
      </c>
      <c r="F469" s="7">
        <v>49</v>
      </c>
      <c r="G469" s="7">
        <v>43</v>
      </c>
      <c r="H469" s="7">
        <v>52</v>
      </c>
      <c r="I469" s="7">
        <v>44</v>
      </c>
      <c r="J469" s="7">
        <v>46</v>
      </c>
      <c r="K469" s="16">
        <f>SUM(D469:J469)</f>
        <v>342</v>
      </c>
      <c r="L469" s="28">
        <v>62</v>
      </c>
      <c r="M469" s="28">
        <v>52</v>
      </c>
      <c r="N469" s="7">
        <v>42</v>
      </c>
      <c r="O469" s="16">
        <f t="shared" si="14"/>
        <v>156</v>
      </c>
      <c r="P469" s="7">
        <v>498</v>
      </c>
      <c r="Q469" s="7">
        <v>35176.455000000002</v>
      </c>
      <c r="R469" s="7">
        <v>73714.14899999999</v>
      </c>
      <c r="S469" s="7">
        <v>70389.62</v>
      </c>
      <c r="T469" s="7">
        <v>71218.364000000016</v>
      </c>
      <c r="U469" s="7">
        <v>64976.394</v>
      </c>
      <c r="V469" s="7">
        <v>68859.576000000001</v>
      </c>
      <c r="W469" s="7">
        <v>75210.060999999987</v>
      </c>
      <c r="X469" s="16">
        <f>SUM(Q469:W469)</f>
        <v>459544.61899999995</v>
      </c>
      <c r="Y469" s="28">
        <v>47088.686999999998</v>
      </c>
      <c r="Z469" s="28">
        <v>23758.260999999999</v>
      </c>
      <c r="AA469" s="7">
        <v>9213.5969999999998</v>
      </c>
      <c r="AB469" s="16">
        <f t="shared" si="15"/>
        <v>80060.544999999998</v>
      </c>
      <c r="AC469" s="7">
        <v>539605.16399999987</v>
      </c>
      <c r="AD469" s="8">
        <v>2.0468236495121521E-3</v>
      </c>
      <c r="AE469" s="8">
        <v>4.8837299878480599E-4</v>
      </c>
      <c r="AF469" s="8">
        <v>6.9612536621166594E-4</v>
      </c>
      <c r="AG469" s="8">
        <v>6.0377685732853942E-4</v>
      </c>
      <c r="AH469" s="8">
        <v>8.0029064093646075E-4</v>
      </c>
      <c r="AI469" s="8">
        <v>6.3898157026119357E-4</v>
      </c>
      <c r="AJ469" s="8">
        <v>6.1162029904483133E-4</v>
      </c>
      <c r="AK469" s="8">
        <v>1.3166644463881527E-3</v>
      </c>
      <c r="AL469" s="8">
        <v>2.1887123809272071E-3</v>
      </c>
      <c r="AM469" s="8">
        <v>4.5584802547799733E-3</v>
      </c>
      <c r="AN469" s="8">
        <v>9.2289702401736123E-4</v>
      </c>
    </row>
    <row r="470" spans="1:40" x14ac:dyDescent="0.2">
      <c r="A470" t="s">
        <v>528</v>
      </c>
      <c r="B470">
        <v>2017</v>
      </c>
      <c r="C470" t="s">
        <v>537</v>
      </c>
      <c r="D470" s="7">
        <v>101</v>
      </c>
      <c r="E470" s="7">
        <v>46</v>
      </c>
      <c r="F470" s="7">
        <v>57</v>
      </c>
      <c r="G470" s="7">
        <v>52</v>
      </c>
      <c r="H470" s="7">
        <v>56</v>
      </c>
      <c r="I470" s="7">
        <v>60</v>
      </c>
      <c r="J470" s="7">
        <v>73</v>
      </c>
      <c r="K470" s="16">
        <f>SUM(D470:J470)</f>
        <v>445</v>
      </c>
      <c r="L470" s="28">
        <v>65</v>
      </c>
      <c r="M470" s="28">
        <v>54</v>
      </c>
      <c r="N470" s="7">
        <v>67</v>
      </c>
      <c r="O470" s="16">
        <f t="shared" si="14"/>
        <v>186</v>
      </c>
      <c r="P470" s="7">
        <v>631</v>
      </c>
      <c r="Q470" s="7">
        <v>39641</v>
      </c>
      <c r="R470" s="7">
        <v>83314</v>
      </c>
      <c r="S470" s="7">
        <v>85784</v>
      </c>
      <c r="T470" s="7">
        <v>86765</v>
      </c>
      <c r="U470" s="7">
        <v>74910</v>
      </c>
      <c r="V470" s="7">
        <v>76858</v>
      </c>
      <c r="W470" s="7">
        <v>88143</v>
      </c>
      <c r="X470" s="16">
        <f>SUM(Q470:W470)</f>
        <v>535415</v>
      </c>
      <c r="Y470" s="28">
        <v>55233</v>
      </c>
      <c r="Z470" s="28">
        <v>26931</v>
      </c>
      <c r="AA470" s="7">
        <v>10586</v>
      </c>
      <c r="AB470" s="16">
        <f t="shared" si="15"/>
        <v>92750</v>
      </c>
      <c r="AC470" s="7">
        <v>628165</v>
      </c>
      <c r="AD470" s="8">
        <v>2.5478671072879091E-3</v>
      </c>
      <c r="AE470" s="8">
        <v>5.5212809371774248E-4</v>
      </c>
      <c r="AF470" s="8">
        <v>6.6445957288072371E-4</v>
      </c>
      <c r="AG470" s="8">
        <v>5.9932000230507689E-4</v>
      </c>
      <c r="AH470" s="8">
        <v>7.4756374315845678E-4</v>
      </c>
      <c r="AI470" s="8">
        <v>7.806604387311666E-4</v>
      </c>
      <c r="AJ470" s="8">
        <v>8.2819963014646653E-4</v>
      </c>
      <c r="AK470" s="8">
        <v>1.176832690601633E-3</v>
      </c>
      <c r="AL470" s="8">
        <v>2.0051242063050018E-3</v>
      </c>
      <c r="AM470" s="8">
        <v>6.3291139240506328E-3</v>
      </c>
      <c r="AN470" s="8">
        <v>1.0045131454315347E-3</v>
      </c>
    </row>
  </sheetData>
  <mergeCells count="2">
    <mergeCell ref="Q1:AC1"/>
    <mergeCell ref="AD1:A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1E36-7D0D-6C42-9AF7-6BA9EE9263C8}">
  <dimension ref="A2:F23"/>
  <sheetViews>
    <sheetView tabSelected="1" topLeftCell="A2" workbookViewId="0">
      <selection activeCell="H20" sqref="H20"/>
    </sheetView>
  </sheetViews>
  <sheetFormatPr baseColWidth="10" defaultRowHeight="16" x14ac:dyDescent="0.2"/>
  <cols>
    <col min="1" max="1" width="25" customWidth="1"/>
    <col min="2" max="2" width="27" customWidth="1"/>
    <col min="3" max="3" width="23.1640625" customWidth="1"/>
    <col min="5" max="5" width="18.6640625" bestFit="1" customWidth="1"/>
    <col min="6" max="6" width="21.1640625" bestFit="1" customWidth="1"/>
  </cols>
  <sheetData>
    <row r="2" spans="1:6" x14ac:dyDescent="0.2">
      <c r="A2" t="s">
        <v>553</v>
      </c>
      <c r="B2" t="s">
        <v>574</v>
      </c>
    </row>
    <row r="4" spans="1:6" x14ac:dyDescent="0.2">
      <c r="A4" t="s">
        <v>538</v>
      </c>
      <c r="B4" s="26" t="s">
        <v>551</v>
      </c>
      <c r="C4" s="26"/>
      <c r="E4" s="26" t="s">
        <v>554</v>
      </c>
      <c r="F4" s="26"/>
    </row>
    <row r="5" spans="1:6" x14ac:dyDescent="0.2">
      <c r="B5" s="22" t="s">
        <v>572</v>
      </c>
      <c r="C5" s="22" t="s">
        <v>568</v>
      </c>
      <c r="E5" s="22" t="s">
        <v>572</v>
      </c>
      <c r="F5" s="22" t="s">
        <v>568</v>
      </c>
    </row>
    <row r="6" spans="1:6" x14ac:dyDescent="0.2">
      <c r="A6" t="s">
        <v>539</v>
      </c>
      <c r="B6" s="22" t="s">
        <v>552</v>
      </c>
      <c r="C6" s="22" t="s">
        <v>552</v>
      </c>
      <c r="E6" s="22" t="s">
        <v>552</v>
      </c>
      <c r="F6" s="22" t="s">
        <v>552</v>
      </c>
    </row>
    <row r="7" spans="1:6" x14ac:dyDescent="0.2">
      <c r="A7" t="s">
        <v>540</v>
      </c>
      <c r="B7" s="23">
        <f>SKEW('Integrated data'!O3:O470)</f>
        <v>2.6466466483353566</v>
      </c>
      <c r="C7" s="23">
        <f>SKEW('Integrated data'!K:K)</f>
        <v>2.9938462770818974</v>
      </c>
      <c r="E7" s="23">
        <f>SKEW('Integrated data'!AB3:AB470)</f>
        <v>2.3026182424952824</v>
      </c>
      <c r="F7" s="23">
        <f>SKEW('Integrated data'!X3:X470)</f>
        <v>2.7078213431758411</v>
      </c>
    </row>
    <row r="8" spans="1:6" x14ac:dyDescent="0.2">
      <c r="B8" s="23"/>
      <c r="C8" s="22"/>
      <c r="E8" s="22"/>
      <c r="F8" s="22"/>
    </row>
    <row r="9" spans="1:6" x14ac:dyDescent="0.2">
      <c r="A9" t="s">
        <v>541</v>
      </c>
      <c r="B9" s="24">
        <f>_xlfn.VAR.S('Integrated data'!O:O)</f>
        <v>933082.53894277324</v>
      </c>
      <c r="C9" s="24">
        <f>_xlfn.VAR.S('Integrated data'!K:K)</f>
        <v>15501.676906784833</v>
      </c>
      <c r="E9" s="24">
        <f>_xlfn.VAR.S('Integrated data'!AB3:AB470)</f>
        <v>782861195554.66833</v>
      </c>
      <c r="F9" s="24">
        <f>_xlfn.VAR.S('Integrated data'!X3:X470)</f>
        <v>35093709819338.918</v>
      </c>
    </row>
    <row r="10" spans="1:6" x14ac:dyDescent="0.2">
      <c r="A10" t="s">
        <v>542</v>
      </c>
      <c r="B10" s="23">
        <f>_xlfn.STDEV.S('Integrated data'!O:O)</f>
        <v>965.96197593009492</v>
      </c>
      <c r="C10" s="23">
        <f>_xlfn.STDEV.S('Integrated data'!K:K)</f>
        <v>124.50573041745842</v>
      </c>
      <c r="E10" s="24">
        <f>_xlfn.STDEV.S('Integrated data'!AB3:AB470)</f>
        <v>884794.4368917949</v>
      </c>
      <c r="F10" s="24">
        <f>_xlfn.STDEV.S('Integrated data'!X3:X470)</f>
        <v>5923994.4141886998</v>
      </c>
    </row>
    <row r="11" spans="1:6" x14ac:dyDescent="0.2">
      <c r="A11" t="s">
        <v>543</v>
      </c>
      <c r="B11" s="23">
        <f>AVERAGE('Integrated data'!O:O)</f>
        <v>890.69281045751586</v>
      </c>
      <c r="C11" s="23">
        <f>AVERAGE('Integrated data'!K:K)</f>
        <v>490.76252723311529</v>
      </c>
      <c r="E11" s="24">
        <f>AVERAGE('Integrated data'!AB3:AB470)</f>
        <v>824208.52957692323</v>
      </c>
      <c r="F11" s="24">
        <f>AVERAGE('Integrated data'!X3:X470)</f>
        <v>5235709.5698675178</v>
      </c>
    </row>
    <row r="12" spans="1:6" x14ac:dyDescent="0.2">
      <c r="A12" t="s">
        <v>565</v>
      </c>
      <c r="B12" s="24">
        <f>B11+(2*B10)</f>
        <v>2822.6167623177057</v>
      </c>
      <c r="C12" s="24">
        <f>C11+(2*C10)</f>
        <v>739.77398806803217</v>
      </c>
      <c r="D12" s="11"/>
      <c r="E12" s="24">
        <f>E11+(2*E10)</f>
        <v>2593797.403360513</v>
      </c>
      <c r="F12" s="24">
        <f t="shared" ref="D12:F12" si="0">F11+(2*F10)</f>
        <v>17083698.398244917</v>
      </c>
    </row>
    <row r="13" spans="1:6" x14ac:dyDescent="0.2">
      <c r="A13" t="s">
        <v>566</v>
      </c>
      <c r="B13" s="23">
        <f>B11-(2*B10)</f>
        <v>-1041.231141402674</v>
      </c>
      <c r="C13" s="23">
        <f>C11-(2*C10)</f>
        <v>241.75106639819845</v>
      </c>
      <c r="D13" s="10"/>
      <c r="E13" s="24">
        <f t="shared" ref="D13:F13" si="1">E11-(2*E10)</f>
        <v>-945380.34420666657</v>
      </c>
      <c r="F13" s="24">
        <f t="shared" si="1"/>
        <v>-6612279.2585098818</v>
      </c>
    </row>
    <row r="14" spans="1:6" x14ac:dyDescent="0.2">
      <c r="A14" t="s">
        <v>567</v>
      </c>
      <c r="B14" s="23">
        <f>COUNTIF('Integrated data'!O:O,"&gt;"&amp;B12)+COUNTIF('Integrated data'!O:O,"&lt;"&amp;B13)</f>
        <v>18</v>
      </c>
      <c r="C14" s="23">
        <f>COUNTIF('Integrated data'!K:K,"&gt;"&amp;C12)+COUNTIF('Integrated data'!K:K,"&lt;"&amp;C13)</f>
        <v>26</v>
      </c>
      <c r="D14" s="10"/>
      <c r="E14" s="23">
        <f>COUNTIF('Integrated data'!AB:AB,"&gt;"&amp;E12)+COUNTIF('Integrated data'!AB:AB,"&lt;"&amp;E13)</f>
        <v>31</v>
      </c>
      <c r="F14" s="23">
        <f>COUNTIF('Integrated data'!X:X,"&gt;"&amp;F12)+COUNTIF('Integrated data'!X:X,"&lt;"&amp;F13)</f>
        <v>18</v>
      </c>
    </row>
    <row r="15" spans="1:6" x14ac:dyDescent="0.2">
      <c r="A15" t="s">
        <v>544</v>
      </c>
      <c r="B15" s="25">
        <f>B14/COUNT('Integrated data'!O:O)</f>
        <v>3.8461538461538464E-2</v>
      </c>
      <c r="C15" s="25">
        <f>C14/COUNT('Integrated data'!K:K)</f>
        <v>5.5555555555555552E-2</v>
      </c>
      <c r="D15" s="18"/>
      <c r="E15" s="25">
        <f>E14/COUNT('Integrated data'!AB:AB)</f>
        <v>6.623931623931624E-2</v>
      </c>
      <c r="F15" s="25">
        <f>F14/COUNT('Integrated data'!X:X)</f>
        <v>3.8461538461538464E-2</v>
      </c>
    </row>
    <row r="18" spans="1:3" x14ac:dyDescent="0.2">
      <c r="A18" t="s">
        <v>545</v>
      </c>
    </row>
    <row r="19" spans="1:3" ht="34" x14ac:dyDescent="0.2">
      <c r="A19" t="s">
        <v>546</v>
      </c>
      <c r="B19" t="s">
        <v>575</v>
      </c>
      <c r="C19" s="21" t="s">
        <v>576</v>
      </c>
    </row>
    <row r="20" spans="1:3" ht="68" x14ac:dyDescent="0.2">
      <c r="A20" t="s">
        <v>547</v>
      </c>
      <c r="B20" s="21" t="s">
        <v>577</v>
      </c>
      <c r="C20" s="21" t="s">
        <v>578</v>
      </c>
    </row>
    <row r="21" spans="1:3" x14ac:dyDescent="0.2">
      <c r="A21" t="s">
        <v>548</v>
      </c>
      <c r="B21" s="10">
        <f>CORREL('Integrated data'!O3:O470,'Integrated data'!AB3:AB470)</f>
        <v>0.93916755078374203</v>
      </c>
      <c r="C21" s="10">
        <f>CORREL('Integrated data'!K3:K470,'Integrated data'!X3:X470)</f>
        <v>0.91780531026848466</v>
      </c>
    </row>
    <row r="22" spans="1:3" x14ac:dyDescent="0.2">
      <c r="A22" t="s">
        <v>549</v>
      </c>
      <c r="B22" t="s">
        <v>573</v>
      </c>
      <c r="C22" t="s">
        <v>573</v>
      </c>
    </row>
    <row r="23" spans="1:3" ht="85" x14ac:dyDescent="0.2">
      <c r="A23" t="s">
        <v>550</v>
      </c>
      <c r="B23" s="21" t="s">
        <v>579</v>
      </c>
      <c r="C23" s="21" t="s">
        <v>580</v>
      </c>
    </row>
  </sheetData>
  <mergeCells count="2">
    <mergeCell ref="B4:C4"/>
    <mergeCell ref="E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5F5C-F568-9747-B42F-182119C1248C}">
  <dimension ref="A3:J4"/>
  <sheetViews>
    <sheetView workbookViewId="0">
      <selection activeCell="F47" sqref="F47"/>
    </sheetView>
  </sheetViews>
  <sheetFormatPr baseColWidth="10" defaultRowHeight="16" x14ac:dyDescent="0.2"/>
  <cols>
    <col min="1" max="1" width="14.33203125" bestFit="1" customWidth="1"/>
    <col min="2" max="2" width="15.6640625" bestFit="1" customWidth="1"/>
    <col min="3" max="9" width="16.83203125" bestFit="1" customWidth="1"/>
    <col min="10" max="10" width="15" bestFit="1" customWidth="1"/>
  </cols>
  <sheetData>
    <row r="3" spans="1:10" x14ac:dyDescent="0.2">
      <c r="A3" t="s">
        <v>555</v>
      </c>
      <c r="B3" t="s">
        <v>556</v>
      </c>
      <c r="C3" t="s">
        <v>557</v>
      </c>
      <c r="D3" t="s">
        <v>558</v>
      </c>
      <c r="E3" t="s">
        <v>559</v>
      </c>
      <c r="F3" t="s">
        <v>560</v>
      </c>
      <c r="G3" t="s">
        <v>561</v>
      </c>
      <c r="H3" t="s">
        <v>562</v>
      </c>
      <c r="I3" t="s">
        <v>563</v>
      </c>
      <c r="J3" t="s">
        <v>564</v>
      </c>
    </row>
    <row r="4" spans="1:10" x14ac:dyDescent="0.2">
      <c r="A4">
        <v>50367.607843137273</v>
      </c>
      <c r="B4">
        <v>25414.745098039228</v>
      </c>
      <c r="C4">
        <v>25318.901960784326</v>
      </c>
      <c r="D4">
        <v>25575.843137254909</v>
      </c>
      <c r="E4">
        <v>26236.549019607839</v>
      </c>
      <c r="F4">
        <v>30561.72549019607</v>
      </c>
      <c r="G4">
        <v>46201.490196078441</v>
      </c>
      <c r="H4">
        <v>69451.60784313723</v>
      </c>
      <c r="I4">
        <v>124861.17647058822</v>
      </c>
      <c r="J4">
        <v>222531.45098039228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864B-BBC3-204B-A545-A2BA3A08C88B}">
  <dimension ref="A3:J4"/>
  <sheetViews>
    <sheetView workbookViewId="0">
      <selection activeCell="N30" sqref="N30"/>
    </sheetView>
  </sheetViews>
  <sheetFormatPr baseColWidth="10" defaultRowHeight="16" x14ac:dyDescent="0.2"/>
  <cols>
    <col min="1" max="1" width="14.33203125" bestFit="1" customWidth="1"/>
    <col min="2" max="2" width="15.6640625" bestFit="1" customWidth="1"/>
    <col min="3" max="9" width="16.83203125" bestFit="1" customWidth="1"/>
    <col min="10" max="10" width="15" bestFit="1" customWidth="1"/>
  </cols>
  <sheetData>
    <row r="3" spans="1:10" x14ac:dyDescent="0.2">
      <c r="A3" t="s">
        <v>555</v>
      </c>
      <c r="B3" t="s">
        <v>556</v>
      </c>
      <c r="C3" t="s">
        <v>557</v>
      </c>
      <c r="D3" t="s">
        <v>558</v>
      </c>
      <c r="E3" t="s">
        <v>559</v>
      </c>
      <c r="F3" t="s">
        <v>560</v>
      </c>
      <c r="G3" t="s">
        <v>561</v>
      </c>
      <c r="H3" t="s">
        <v>562</v>
      </c>
      <c r="I3" t="s">
        <v>563</v>
      </c>
      <c r="J3" t="s">
        <v>564</v>
      </c>
    </row>
    <row r="4" spans="1:10" x14ac:dyDescent="0.2">
      <c r="A4" s="20">
        <v>182873757.12500021</v>
      </c>
      <c r="B4" s="20">
        <v>373150810.86100006</v>
      </c>
      <c r="C4" s="20">
        <v>397461876.54300016</v>
      </c>
      <c r="D4" s="20">
        <v>381170735.97600007</v>
      </c>
      <c r="E4" s="20">
        <v>375607500.12699974</v>
      </c>
      <c r="F4" s="20">
        <v>400655936.71499974</v>
      </c>
      <c r="G4" s="20">
        <v>339391461.35099971</v>
      </c>
      <c r="H4" s="20">
        <v>212116930.67900002</v>
      </c>
      <c r="I4" s="20">
        <v>122184173.23399998</v>
      </c>
      <c r="J4" s="20">
        <v>51428487.929000013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FC686-21D4-0049-988C-D1A05A191BB2}">
  <dimension ref="A1:AJ470"/>
  <sheetViews>
    <sheetView workbookViewId="0">
      <selection activeCell="X2" sqref="X1:X1048576"/>
    </sheetView>
  </sheetViews>
  <sheetFormatPr baseColWidth="10" defaultRowHeight="16" x14ac:dyDescent="0.2"/>
  <cols>
    <col min="1" max="1" width="21" bestFit="1" customWidth="1"/>
    <col min="2" max="2" width="7.33203125" bestFit="1" customWidth="1"/>
    <col min="3" max="3" width="23.83203125" customWidth="1"/>
    <col min="4" max="14" width="11" bestFit="1" customWidth="1"/>
    <col min="15" max="23" width="13" bestFit="1" customWidth="1"/>
    <col min="24" max="24" width="11.5" bestFit="1" customWidth="1"/>
    <col min="25" max="25" width="17.83203125" customWidth="1"/>
    <col min="27" max="27" width="11.1640625" bestFit="1" customWidth="1"/>
    <col min="29" max="29" width="12.1640625" bestFit="1" customWidth="1"/>
    <col min="36" max="36" width="13.83203125" bestFit="1" customWidth="1"/>
  </cols>
  <sheetData>
    <row r="1" spans="1:36" ht="26" customHeight="1" x14ac:dyDescent="0.35">
      <c r="D1" s="1"/>
      <c r="E1" s="1"/>
      <c r="F1" s="1"/>
      <c r="G1" s="1"/>
      <c r="H1" s="1" t="s">
        <v>0</v>
      </c>
      <c r="I1" s="1"/>
      <c r="J1" s="1"/>
      <c r="K1" s="1"/>
      <c r="L1" s="1"/>
      <c r="M1" s="1"/>
      <c r="N1" s="1"/>
      <c r="O1" s="12" t="s">
        <v>1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3" t="s">
        <v>2</v>
      </c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36" x14ac:dyDescent="0.2">
      <c r="A2" t="s">
        <v>3</v>
      </c>
      <c r="B2" t="s">
        <v>4</v>
      </c>
      <c r="C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3" t="s">
        <v>6</v>
      </c>
      <c r="P2" s="4" t="s">
        <v>7</v>
      </c>
      <c r="Q2" s="4" t="s">
        <v>8</v>
      </c>
      <c r="R2" s="4" t="s">
        <v>9</v>
      </c>
      <c r="S2" s="4" t="s">
        <v>10</v>
      </c>
      <c r="T2" s="4" t="s">
        <v>11</v>
      </c>
      <c r="U2" s="4" t="s">
        <v>12</v>
      </c>
      <c r="V2" s="4" t="s">
        <v>13</v>
      </c>
      <c r="W2" s="4" t="s">
        <v>14</v>
      </c>
      <c r="X2" s="4" t="s">
        <v>15</v>
      </c>
      <c r="Y2" s="4" t="s">
        <v>17</v>
      </c>
      <c r="Z2" s="5" t="s">
        <v>6</v>
      </c>
      <c r="AA2" s="6" t="s">
        <v>7</v>
      </c>
      <c r="AB2" s="6" t="s">
        <v>8</v>
      </c>
      <c r="AC2" s="6" t="s">
        <v>9</v>
      </c>
      <c r="AD2" s="6" t="s">
        <v>10</v>
      </c>
      <c r="AE2" s="6" t="s">
        <v>11</v>
      </c>
      <c r="AF2" s="6" t="s">
        <v>12</v>
      </c>
      <c r="AG2" s="6" t="s">
        <v>13</v>
      </c>
      <c r="AH2" s="6" t="s">
        <v>14</v>
      </c>
      <c r="AI2" s="6" t="s">
        <v>15</v>
      </c>
      <c r="AJ2" s="6" t="s">
        <v>17</v>
      </c>
    </row>
    <row r="3" spans="1:36" x14ac:dyDescent="0.2">
      <c r="A3" t="s">
        <v>18</v>
      </c>
      <c r="B3">
        <v>2009</v>
      </c>
      <c r="C3" t="s">
        <v>19</v>
      </c>
      <c r="D3" s="7">
        <v>86</v>
      </c>
      <c r="E3" s="7">
        <v>55</v>
      </c>
      <c r="F3" s="7">
        <v>69</v>
      </c>
      <c r="G3" s="7">
        <v>53</v>
      </c>
      <c r="H3" s="7">
        <v>68</v>
      </c>
      <c r="I3" s="7">
        <v>60</v>
      </c>
      <c r="J3" s="7">
        <v>73</v>
      </c>
      <c r="K3" s="7">
        <v>110</v>
      </c>
      <c r="L3" s="7">
        <v>261</v>
      </c>
      <c r="M3" s="7">
        <v>356</v>
      </c>
      <c r="N3" s="7">
        <v>1191</v>
      </c>
      <c r="O3" s="7">
        <v>313461.973</v>
      </c>
      <c r="P3" s="7">
        <v>630249.62199999997</v>
      </c>
      <c r="Q3" s="7">
        <v>666388.58499999985</v>
      </c>
      <c r="R3" s="7">
        <v>612761.47900000005</v>
      </c>
      <c r="S3" s="7">
        <v>642363.69299999985</v>
      </c>
      <c r="T3" s="7">
        <v>677823.44000000029</v>
      </c>
      <c r="U3" s="7">
        <v>534879.98899999983</v>
      </c>
      <c r="V3" s="7">
        <v>341648.00099999999</v>
      </c>
      <c r="W3" s="7">
        <v>217111.679</v>
      </c>
      <c r="X3" s="7">
        <v>77806.246000000014</v>
      </c>
      <c r="Y3" s="7">
        <v>4714494.7070000013</v>
      </c>
      <c r="Z3" s="8">
        <v>2.743554478935153E-4</v>
      </c>
      <c r="AA3" s="8">
        <v>8.7267009895961508E-5</v>
      </c>
      <c r="AB3" s="8">
        <v>1.0354319019435187E-4</v>
      </c>
      <c r="AC3" s="8">
        <v>8.6493687701279264E-5</v>
      </c>
      <c r="AD3" s="8">
        <v>1.058590339725194E-4</v>
      </c>
      <c r="AE3" s="8">
        <v>8.8518626620525212E-5</v>
      </c>
      <c r="AF3" s="8">
        <v>1.3647921309690279E-4</v>
      </c>
      <c r="AG3" s="8">
        <v>3.2196880906087901E-4</v>
      </c>
      <c r="AH3" s="8">
        <v>1.2021462926460073E-3</v>
      </c>
      <c r="AI3" s="8">
        <v>4.575468144292682E-3</v>
      </c>
      <c r="AJ3" s="8">
        <v>2.5262516431116648E-4</v>
      </c>
    </row>
    <row r="4" spans="1:36" x14ac:dyDescent="0.2">
      <c r="A4" t="s">
        <v>18</v>
      </c>
      <c r="B4">
        <v>2010</v>
      </c>
      <c r="C4" t="s">
        <v>20</v>
      </c>
      <c r="D4" s="7">
        <v>131</v>
      </c>
      <c r="E4" s="7">
        <v>62</v>
      </c>
      <c r="F4" s="7">
        <v>63</v>
      </c>
      <c r="G4" s="7">
        <v>38</v>
      </c>
      <c r="H4" s="7">
        <v>55</v>
      </c>
      <c r="I4" s="7">
        <v>57</v>
      </c>
      <c r="J4" s="7">
        <v>73</v>
      </c>
      <c r="K4" s="7">
        <v>157</v>
      </c>
      <c r="L4" s="7">
        <v>263</v>
      </c>
      <c r="M4" s="7">
        <v>348</v>
      </c>
      <c r="N4" s="7">
        <v>1247</v>
      </c>
      <c r="O4" s="7">
        <v>312439.16499999992</v>
      </c>
      <c r="P4" s="7">
        <v>648489.67900000024</v>
      </c>
      <c r="Q4" s="7">
        <v>693474.40099999995</v>
      </c>
      <c r="R4" s="7">
        <v>617886.18599999987</v>
      </c>
      <c r="S4" s="7">
        <v>653877.49400000006</v>
      </c>
      <c r="T4" s="7">
        <v>706558.674</v>
      </c>
      <c r="U4" s="7">
        <v>574930.12699999998</v>
      </c>
      <c r="V4" s="7">
        <v>366249.07199999981</v>
      </c>
      <c r="W4" s="7">
        <v>214827.42199999999</v>
      </c>
      <c r="X4" s="7">
        <v>76841.016999999978</v>
      </c>
      <c r="Y4" s="7">
        <v>4865573.2369999997</v>
      </c>
      <c r="Z4" s="8">
        <v>4.1928162239199441E-4</v>
      </c>
      <c r="AA4" s="8">
        <v>9.5606764467873626E-5</v>
      </c>
      <c r="AB4" s="8">
        <v>9.0846900634187946E-5</v>
      </c>
      <c r="AC4" s="8">
        <v>6.1499999289513173E-5</v>
      </c>
      <c r="AD4" s="8">
        <v>8.411361532501376E-5</v>
      </c>
      <c r="AE4" s="8">
        <v>8.0672705746161425E-5</v>
      </c>
      <c r="AF4" s="8">
        <v>1.2697195114981337E-4</v>
      </c>
      <c r="AG4" s="8">
        <v>4.2867002813866536E-4</v>
      </c>
      <c r="AH4" s="8">
        <v>1.2242384959588633E-3</v>
      </c>
      <c r="AI4" s="8">
        <v>4.5288312620849367E-3</v>
      </c>
      <c r="AJ4" s="8">
        <v>2.5629045936812812E-4</v>
      </c>
    </row>
    <row r="5" spans="1:36" x14ac:dyDescent="0.2">
      <c r="A5" t="s">
        <v>18</v>
      </c>
      <c r="B5">
        <v>2011</v>
      </c>
      <c r="C5" t="s">
        <v>21</v>
      </c>
      <c r="D5" s="7">
        <v>95</v>
      </c>
      <c r="E5" s="7">
        <v>55</v>
      </c>
      <c r="F5" s="7">
        <v>63</v>
      </c>
      <c r="G5" s="7">
        <v>47</v>
      </c>
      <c r="H5" s="7">
        <v>42</v>
      </c>
      <c r="I5" s="7">
        <v>57</v>
      </c>
      <c r="J5" s="7">
        <v>80</v>
      </c>
      <c r="K5" s="7">
        <v>130</v>
      </c>
      <c r="L5" s="7">
        <v>292</v>
      </c>
      <c r="M5" s="7">
        <v>348</v>
      </c>
      <c r="N5" s="7">
        <v>1209</v>
      </c>
      <c r="O5" s="7">
        <v>322372.92200000014</v>
      </c>
      <c r="P5" s="7">
        <v>666087.80400000024</v>
      </c>
      <c r="Q5" s="7">
        <v>729370.75499999989</v>
      </c>
      <c r="R5" s="7">
        <v>642169.58400000026</v>
      </c>
      <c r="S5" s="7">
        <v>666641.69099999988</v>
      </c>
      <c r="T5" s="7">
        <v>738126.62400000007</v>
      </c>
      <c r="U5" s="7">
        <v>617657.35000000009</v>
      </c>
      <c r="V5" s="7">
        <v>390500.00599999994</v>
      </c>
      <c r="W5" s="7">
        <v>226963.753</v>
      </c>
      <c r="X5" s="7">
        <v>81442.062000000005</v>
      </c>
      <c r="Y5" s="7">
        <v>5081332.551</v>
      </c>
      <c r="Z5" s="8">
        <v>2.9468976305646404E-4</v>
      </c>
      <c r="AA5" s="8">
        <v>8.2571696508648248E-5</v>
      </c>
      <c r="AB5" s="8">
        <v>8.6375824048497813E-5</v>
      </c>
      <c r="AC5" s="8">
        <v>7.3189389798318413E-5</v>
      </c>
      <c r="AD5" s="8">
        <v>6.3002360288924703E-5</v>
      </c>
      <c r="AE5" s="8">
        <v>7.7222522730734065E-5</v>
      </c>
      <c r="AF5" s="8">
        <v>1.2952165144638849E-4</v>
      </c>
      <c r="AG5" s="8">
        <v>3.3290652497454767E-4</v>
      </c>
      <c r="AH5" s="8">
        <v>1.2865490464461962E-3</v>
      </c>
      <c r="AI5" s="8">
        <v>4.2729762908016739E-3</v>
      </c>
      <c r="AJ5" s="8">
        <v>2.3792971388225128E-4</v>
      </c>
    </row>
    <row r="6" spans="1:36" x14ac:dyDescent="0.2">
      <c r="A6" t="s">
        <v>18</v>
      </c>
      <c r="B6">
        <v>2012</v>
      </c>
      <c r="C6" t="s">
        <v>22</v>
      </c>
      <c r="D6" s="7">
        <v>101</v>
      </c>
      <c r="E6" s="7">
        <v>49</v>
      </c>
      <c r="F6" s="7">
        <v>35</v>
      </c>
      <c r="G6" s="7">
        <v>64</v>
      </c>
      <c r="H6" s="7">
        <v>44</v>
      </c>
      <c r="I6" s="7">
        <v>59</v>
      </c>
      <c r="J6" s="7">
        <v>62</v>
      </c>
      <c r="K6" s="7">
        <v>123</v>
      </c>
      <c r="L6" s="7">
        <v>270</v>
      </c>
      <c r="M6" s="7">
        <v>358</v>
      </c>
      <c r="N6" s="7">
        <v>1165</v>
      </c>
      <c r="O6" s="7">
        <v>309366.07</v>
      </c>
      <c r="P6" s="7">
        <v>637460.32200000004</v>
      </c>
      <c r="Q6" s="7">
        <v>687206.42799999996</v>
      </c>
      <c r="R6" s="7">
        <v>614914.95900000015</v>
      </c>
      <c r="S6" s="7">
        <v>629224.65299999993</v>
      </c>
      <c r="T6" s="7">
        <v>702691.35900000029</v>
      </c>
      <c r="U6" s="7">
        <v>604314.23499999987</v>
      </c>
      <c r="V6" s="7">
        <v>384670.60800000007</v>
      </c>
      <c r="W6" s="7">
        <v>216927.48000000007</v>
      </c>
      <c r="X6" s="7">
        <v>79572.686999999991</v>
      </c>
      <c r="Y6" s="7">
        <v>4866348.8010000009</v>
      </c>
      <c r="Z6" s="8">
        <v>3.2647407002325753E-4</v>
      </c>
      <c r="AA6" s="8">
        <v>7.6867529333064896E-5</v>
      </c>
      <c r="AB6" s="8">
        <v>5.0930839081150158E-5</v>
      </c>
      <c r="AC6" s="8">
        <v>1.0407943255125785E-4</v>
      </c>
      <c r="AD6" s="8">
        <v>6.9927330072364484E-5</v>
      </c>
      <c r="AE6" s="8">
        <v>8.3962893871304849E-5</v>
      </c>
      <c r="AF6" s="8">
        <v>1.0259563056627322E-4</v>
      </c>
      <c r="AG6" s="8">
        <v>3.1975408945203313E-4</v>
      </c>
      <c r="AH6" s="8">
        <v>1.2446555872036125E-3</v>
      </c>
      <c r="AI6" s="8">
        <v>4.4990311813901673E-3</v>
      </c>
      <c r="AJ6" s="8">
        <v>2.3939919796965654E-4</v>
      </c>
    </row>
    <row r="7" spans="1:36" x14ac:dyDescent="0.2">
      <c r="A7" t="s">
        <v>18</v>
      </c>
      <c r="B7">
        <v>2013</v>
      </c>
      <c r="C7" t="s">
        <v>23</v>
      </c>
      <c r="D7" s="7">
        <v>101</v>
      </c>
      <c r="E7" s="7">
        <v>60</v>
      </c>
      <c r="F7" s="7">
        <v>53</v>
      </c>
      <c r="G7" s="7">
        <v>47</v>
      </c>
      <c r="H7" s="7">
        <v>59</v>
      </c>
      <c r="I7" s="7">
        <v>51</v>
      </c>
      <c r="J7" s="7">
        <v>109</v>
      </c>
      <c r="K7" s="7">
        <v>135</v>
      </c>
      <c r="L7" s="7">
        <v>283</v>
      </c>
      <c r="M7" s="7">
        <v>381</v>
      </c>
      <c r="N7" s="7">
        <v>1279</v>
      </c>
      <c r="O7" s="7">
        <v>304011.80100000004</v>
      </c>
      <c r="P7" s="7">
        <v>633387.603</v>
      </c>
      <c r="Q7" s="7">
        <v>693259.45099999988</v>
      </c>
      <c r="R7" s="7">
        <v>619138.674</v>
      </c>
      <c r="S7" s="7">
        <v>620929.5199999999</v>
      </c>
      <c r="T7" s="7">
        <v>692805.71200000006</v>
      </c>
      <c r="U7" s="7">
        <v>615748.66899999976</v>
      </c>
      <c r="V7" s="7">
        <v>396294.59200000006</v>
      </c>
      <c r="W7" s="7">
        <v>220396.19699999999</v>
      </c>
      <c r="X7" s="7">
        <v>82020.393999999986</v>
      </c>
      <c r="Y7" s="7">
        <v>4877992.6129999999</v>
      </c>
      <c r="Z7" s="8">
        <v>3.3222394547769541E-4</v>
      </c>
      <c r="AA7" s="8">
        <v>9.4728724900540871E-5</v>
      </c>
      <c r="AB7" s="8">
        <v>7.6450454333582544E-5</v>
      </c>
      <c r="AC7" s="8">
        <v>7.5911911133498346E-5</v>
      </c>
      <c r="AD7" s="8">
        <v>9.5018835632102025E-5</v>
      </c>
      <c r="AE7" s="8">
        <v>7.3613711776094595E-5</v>
      </c>
      <c r="AF7" s="8">
        <v>1.770202770832137E-4</v>
      </c>
      <c r="AG7" s="8">
        <v>3.4065567061788212E-4</v>
      </c>
      <c r="AH7" s="8">
        <v>1.2840511944042302E-3</v>
      </c>
      <c r="AI7" s="8">
        <v>4.6451861716245851E-3</v>
      </c>
      <c r="AJ7" s="8">
        <v>2.6219801903582755E-4</v>
      </c>
    </row>
    <row r="8" spans="1:36" x14ac:dyDescent="0.2">
      <c r="A8" t="s">
        <v>18</v>
      </c>
      <c r="B8">
        <v>2014</v>
      </c>
      <c r="C8" t="s">
        <v>24</v>
      </c>
      <c r="D8" s="7">
        <v>106</v>
      </c>
      <c r="E8" s="7">
        <v>56</v>
      </c>
      <c r="F8" s="7">
        <v>46</v>
      </c>
      <c r="G8" s="7">
        <v>72</v>
      </c>
      <c r="H8" s="7">
        <v>85</v>
      </c>
      <c r="I8" s="7">
        <v>85</v>
      </c>
      <c r="J8" s="7">
        <v>78</v>
      </c>
      <c r="K8" s="7">
        <v>181</v>
      </c>
      <c r="L8" s="7">
        <v>261</v>
      </c>
      <c r="M8" s="7">
        <v>345</v>
      </c>
      <c r="N8" s="7">
        <v>1315</v>
      </c>
      <c r="O8" s="7">
        <v>287832.99799999996</v>
      </c>
      <c r="P8" s="7">
        <v>600198.505</v>
      </c>
      <c r="Q8" s="7">
        <v>649803.18599999999</v>
      </c>
      <c r="R8" s="7">
        <v>596994.65500000026</v>
      </c>
      <c r="S8" s="7">
        <v>587552.53699999989</v>
      </c>
      <c r="T8" s="7">
        <v>647491.15800000017</v>
      </c>
      <c r="U8" s="7">
        <v>587083.99699999997</v>
      </c>
      <c r="V8" s="7">
        <v>380790.53500000003</v>
      </c>
      <c r="W8" s="7">
        <v>206634.05299999999</v>
      </c>
      <c r="X8" s="7">
        <v>77027.340000000011</v>
      </c>
      <c r="Y8" s="7">
        <v>4621408.9640000006</v>
      </c>
      <c r="Z8" s="8">
        <v>3.6826910304425906E-4</v>
      </c>
      <c r="AA8" s="8">
        <v>9.3302464990311834E-5</v>
      </c>
      <c r="AB8" s="8">
        <v>7.0790665529300742E-5</v>
      </c>
      <c r="AC8" s="8">
        <v>1.2060409485575708E-4</v>
      </c>
      <c r="AD8" s="8">
        <v>1.4466791418177473E-4</v>
      </c>
      <c r="AE8" s="8">
        <v>1.3127592392543524E-4</v>
      </c>
      <c r="AF8" s="8">
        <v>1.3286003433679014E-4</v>
      </c>
      <c r="AG8" s="8">
        <v>4.7532694057114623E-4</v>
      </c>
      <c r="AH8" s="8">
        <v>1.2631025535757168E-3</v>
      </c>
      <c r="AI8" s="8">
        <v>4.4789291698246357E-3</v>
      </c>
      <c r="AJ8" s="8">
        <v>2.8454525670496358E-4</v>
      </c>
    </row>
    <row r="9" spans="1:36" x14ac:dyDescent="0.2">
      <c r="A9" t="s">
        <v>18</v>
      </c>
      <c r="B9">
        <v>2015</v>
      </c>
      <c r="C9" t="s">
        <v>25</v>
      </c>
      <c r="D9" s="7">
        <v>109</v>
      </c>
      <c r="E9" s="7">
        <v>46</v>
      </c>
      <c r="F9" s="7">
        <v>35</v>
      </c>
      <c r="G9" s="7">
        <v>48</v>
      </c>
      <c r="H9" s="7">
        <v>62</v>
      </c>
      <c r="I9" s="7">
        <v>43</v>
      </c>
      <c r="J9" s="7">
        <v>124</v>
      </c>
      <c r="K9" s="7">
        <v>203</v>
      </c>
      <c r="L9" s="7">
        <v>308</v>
      </c>
      <c r="M9" s="7">
        <v>381</v>
      </c>
      <c r="N9" s="7">
        <v>1359</v>
      </c>
      <c r="O9" s="7">
        <v>289513.79300000001</v>
      </c>
      <c r="P9" s="7">
        <v>610789.65299999993</v>
      </c>
      <c r="Q9" s="7">
        <v>652929.81400000001</v>
      </c>
      <c r="R9" s="7">
        <v>610978.2420000002</v>
      </c>
      <c r="S9" s="7">
        <v>595044.54899999977</v>
      </c>
      <c r="T9" s="7">
        <v>652442.83700000029</v>
      </c>
      <c r="U9" s="7">
        <v>610374.50699999987</v>
      </c>
      <c r="V9" s="7">
        <v>408052.16699999996</v>
      </c>
      <c r="W9" s="7">
        <v>216651.45399999997</v>
      </c>
      <c r="X9" s="7">
        <v>80089.160000000018</v>
      </c>
      <c r="Y9" s="7">
        <v>4726866.176</v>
      </c>
      <c r="Z9" s="8">
        <v>3.7649328852528969E-4</v>
      </c>
      <c r="AA9" s="8">
        <v>7.53123432495344E-5</v>
      </c>
      <c r="AB9" s="8">
        <v>5.3604536428780692E-5</v>
      </c>
      <c r="AC9" s="8">
        <v>7.856253578339371E-5</v>
      </c>
      <c r="AD9" s="8">
        <v>1.0419387944010899E-4</v>
      </c>
      <c r="AE9" s="8">
        <v>6.5906156925131488E-5</v>
      </c>
      <c r="AF9" s="8">
        <v>2.0315396298161586E-4</v>
      </c>
      <c r="AG9" s="8">
        <v>4.9748541097687643E-4</v>
      </c>
      <c r="AH9" s="8">
        <v>1.4216382780426668E-3</v>
      </c>
      <c r="AI9" s="8">
        <v>4.7571981027145233E-3</v>
      </c>
      <c r="AJ9" s="8">
        <v>2.8750549505719708E-4</v>
      </c>
    </row>
    <row r="10" spans="1:36" x14ac:dyDescent="0.2">
      <c r="A10" t="s">
        <v>18</v>
      </c>
      <c r="B10">
        <v>2016</v>
      </c>
      <c r="C10" t="s">
        <v>26</v>
      </c>
      <c r="D10" s="7">
        <v>92</v>
      </c>
      <c r="E10" s="7">
        <v>69</v>
      </c>
      <c r="F10" s="7">
        <v>68</v>
      </c>
      <c r="G10" s="7">
        <v>52</v>
      </c>
      <c r="H10" s="7">
        <v>58</v>
      </c>
      <c r="I10" s="7">
        <v>66</v>
      </c>
      <c r="J10" s="7">
        <v>119</v>
      </c>
      <c r="K10" s="7">
        <v>191</v>
      </c>
      <c r="L10" s="7">
        <v>277</v>
      </c>
      <c r="M10" s="7">
        <v>289</v>
      </c>
      <c r="N10" s="7">
        <v>1281</v>
      </c>
      <c r="O10" s="7">
        <v>297332.554</v>
      </c>
      <c r="P10" s="7">
        <v>631756.43700000015</v>
      </c>
      <c r="Q10" s="7">
        <v>673997.75900000019</v>
      </c>
      <c r="R10" s="7">
        <v>635795.73699999996</v>
      </c>
      <c r="S10" s="7">
        <v>619383.34</v>
      </c>
      <c r="T10" s="7">
        <v>670538.92000000027</v>
      </c>
      <c r="U10" s="7">
        <v>644270.06099999987</v>
      </c>
      <c r="V10" s="7">
        <v>447754.11099999998</v>
      </c>
      <c r="W10" s="7">
        <v>232425.34900000005</v>
      </c>
      <c r="X10" s="7">
        <v>85788.299999999974</v>
      </c>
      <c r="Y10" s="7">
        <v>4939042.5680000009</v>
      </c>
      <c r="Z10" s="8">
        <v>3.0941785136652072E-4</v>
      </c>
      <c r="AA10" s="8">
        <v>1.0921930661705309E-4</v>
      </c>
      <c r="AB10" s="8">
        <v>1.0089054316870507E-4</v>
      </c>
      <c r="AC10" s="8">
        <v>8.1787273763995056E-5</v>
      </c>
      <c r="AD10" s="8">
        <v>9.3641524164986419E-5</v>
      </c>
      <c r="AE10" s="8">
        <v>9.8428291082641362E-5</v>
      </c>
      <c r="AF10" s="8">
        <v>1.8470515270458925E-4</v>
      </c>
      <c r="AG10" s="8">
        <v>4.265734145319774E-4</v>
      </c>
      <c r="AH10" s="8">
        <v>1.1917805058345849E-3</v>
      </c>
      <c r="AI10" s="8">
        <v>3.3687577443544175E-3</v>
      </c>
      <c r="AJ10" s="8">
        <v>2.5936200839806161E-4</v>
      </c>
    </row>
    <row r="11" spans="1:36" x14ac:dyDescent="0.2">
      <c r="A11" t="s">
        <v>18</v>
      </c>
      <c r="B11">
        <v>2017</v>
      </c>
      <c r="C11" t="s">
        <v>27</v>
      </c>
      <c r="D11" s="7">
        <v>94</v>
      </c>
      <c r="E11" s="7">
        <v>60</v>
      </c>
      <c r="F11" s="7">
        <v>62</v>
      </c>
      <c r="G11" s="7">
        <v>59</v>
      </c>
      <c r="H11" s="7">
        <v>58</v>
      </c>
      <c r="I11" s="7">
        <v>61</v>
      </c>
      <c r="J11" s="7">
        <v>112</v>
      </c>
      <c r="K11" s="7">
        <v>227</v>
      </c>
      <c r="L11" s="7">
        <v>338</v>
      </c>
      <c r="M11" s="7">
        <v>375</v>
      </c>
      <c r="N11" s="7">
        <v>1446</v>
      </c>
      <c r="O11" s="7">
        <v>285582</v>
      </c>
      <c r="P11" s="7">
        <v>604603</v>
      </c>
      <c r="Q11" s="7">
        <v>650293</v>
      </c>
      <c r="R11" s="7">
        <v>614519</v>
      </c>
      <c r="S11" s="7">
        <v>590164</v>
      </c>
      <c r="T11" s="7">
        <v>637686</v>
      </c>
      <c r="U11" s="7">
        <v>627460</v>
      </c>
      <c r="V11" s="7">
        <v>443258</v>
      </c>
      <c r="W11" s="7">
        <v>225993</v>
      </c>
      <c r="X11" s="7">
        <v>82154</v>
      </c>
      <c r="Y11" s="7">
        <v>4761712</v>
      </c>
      <c r="Z11" s="8">
        <v>3.291523975600703E-4</v>
      </c>
      <c r="AA11" s="8">
        <v>9.9238673972838369E-5</v>
      </c>
      <c r="AB11" s="8">
        <v>9.5341638307655166E-5</v>
      </c>
      <c r="AC11" s="8">
        <v>9.6010050136773636E-5</v>
      </c>
      <c r="AD11" s="8">
        <v>9.82777668580259E-5</v>
      </c>
      <c r="AE11" s="8">
        <v>9.5658364775140118E-5</v>
      </c>
      <c r="AF11" s="8">
        <v>1.7849743409938481E-4</v>
      </c>
      <c r="AG11" s="8">
        <v>5.1211709658934522E-4</v>
      </c>
      <c r="AH11" s="8">
        <v>1.4956215458000913E-3</v>
      </c>
      <c r="AI11" s="8">
        <v>4.5645981936363418E-3</v>
      </c>
      <c r="AJ11" s="8">
        <v>3.0367229265440662E-4</v>
      </c>
    </row>
    <row r="12" spans="1:36" x14ac:dyDescent="0.2">
      <c r="A12" t="s">
        <v>28</v>
      </c>
      <c r="B12">
        <v>2009</v>
      </c>
      <c r="C12" t="s">
        <v>29</v>
      </c>
      <c r="D12" s="7">
        <v>121</v>
      </c>
      <c r="E12" s="7">
        <v>47</v>
      </c>
      <c r="F12" s="7">
        <v>60</v>
      </c>
      <c r="G12" s="7">
        <v>73</v>
      </c>
      <c r="H12" s="7">
        <v>32</v>
      </c>
      <c r="I12" s="7">
        <v>40</v>
      </c>
      <c r="J12" s="7">
        <v>62</v>
      </c>
      <c r="K12" s="7">
        <v>58</v>
      </c>
      <c r="L12" s="7">
        <v>53</v>
      </c>
      <c r="M12" s="7">
        <v>69</v>
      </c>
      <c r="N12" s="7">
        <v>615</v>
      </c>
      <c r="O12" s="7">
        <v>55508.074999999997</v>
      </c>
      <c r="P12" s="7">
        <v>105685.9</v>
      </c>
      <c r="Q12" s="7">
        <v>121296.25199999999</v>
      </c>
      <c r="R12" s="7">
        <v>102702.40100000001</v>
      </c>
      <c r="S12" s="7">
        <v>102961.63699999999</v>
      </c>
      <c r="T12" s="7">
        <v>114657.09499999999</v>
      </c>
      <c r="U12" s="7">
        <v>77422.602000000014</v>
      </c>
      <c r="V12" s="7">
        <v>33475.446000000004</v>
      </c>
      <c r="W12" s="7">
        <v>16093.718000000004</v>
      </c>
      <c r="X12" s="7">
        <v>5240.0789999999997</v>
      </c>
      <c r="Y12" s="7">
        <v>735043.20500000007</v>
      </c>
      <c r="Z12" s="8">
        <v>2.1798630199299832E-3</v>
      </c>
      <c r="AA12" s="8">
        <v>4.4471400631493894E-4</v>
      </c>
      <c r="AB12" s="8">
        <v>4.9465666919370273E-4</v>
      </c>
      <c r="AC12" s="8">
        <v>7.1079156172794823E-4</v>
      </c>
      <c r="AD12" s="8">
        <v>3.1079536934712883E-4</v>
      </c>
      <c r="AE12" s="8">
        <v>3.4886633051360675E-4</v>
      </c>
      <c r="AF12" s="8">
        <v>8.0079974578999545E-4</v>
      </c>
      <c r="AG12" s="8">
        <v>1.7326132114864128E-3</v>
      </c>
      <c r="AH12" s="8">
        <v>3.2932104315485078E-3</v>
      </c>
      <c r="AI12" s="8">
        <v>1.3167740410020537E-2</v>
      </c>
      <c r="AJ12" s="8">
        <v>8.3668551156799E-4</v>
      </c>
    </row>
    <row r="13" spans="1:36" x14ac:dyDescent="0.2">
      <c r="A13" t="s">
        <v>28</v>
      </c>
      <c r="B13">
        <v>2010</v>
      </c>
      <c r="C13" t="s">
        <v>30</v>
      </c>
      <c r="D13" s="7">
        <v>120</v>
      </c>
      <c r="E13" s="7">
        <v>49</v>
      </c>
      <c r="F13" s="7">
        <v>64</v>
      </c>
      <c r="G13" s="7">
        <v>56</v>
      </c>
      <c r="H13" s="7">
        <v>70</v>
      </c>
      <c r="I13" s="7">
        <v>66</v>
      </c>
      <c r="J13" s="7">
        <v>44</v>
      </c>
      <c r="K13" s="7">
        <v>54</v>
      </c>
      <c r="L13" s="7">
        <v>44</v>
      </c>
      <c r="M13" s="7">
        <v>71</v>
      </c>
      <c r="N13" s="7">
        <v>638</v>
      </c>
      <c r="O13" s="7">
        <v>52137.323999999986</v>
      </c>
      <c r="P13" s="7">
        <v>102332.07699999999</v>
      </c>
      <c r="Q13" s="7">
        <v>110410.98299999999</v>
      </c>
      <c r="R13" s="7">
        <v>94661.169000000024</v>
      </c>
      <c r="S13" s="7">
        <v>97170.112000000008</v>
      </c>
      <c r="T13" s="7">
        <v>111612.61599999999</v>
      </c>
      <c r="U13" s="7">
        <v>80035.559000000023</v>
      </c>
      <c r="V13" s="7">
        <v>33808.06500000001</v>
      </c>
      <c r="W13" s="7">
        <v>15441.694999999996</v>
      </c>
      <c r="X13" s="7">
        <v>5010.1500000000005</v>
      </c>
      <c r="Y13" s="7">
        <v>702619.75</v>
      </c>
      <c r="Z13" s="8">
        <v>2.3016140989514542E-3</v>
      </c>
      <c r="AA13" s="8">
        <v>4.7883324013837816E-4</v>
      </c>
      <c r="AB13" s="8">
        <v>5.7965247895673576E-4</v>
      </c>
      <c r="AC13" s="8">
        <v>5.9158365137028878E-4</v>
      </c>
      <c r="AD13" s="8">
        <v>7.2038612037413313E-4</v>
      </c>
      <c r="AE13" s="8">
        <v>5.9133100150613805E-4</v>
      </c>
      <c r="AF13" s="8">
        <v>5.4975564048974769E-4</v>
      </c>
      <c r="AG13" s="8">
        <v>1.5972520166415908E-3</v>
      </c>
      <c r="AH13" s="8">
        <v>2.8494281230136984E-3</v>
      </c>
      <c r="AI13" s="8">
        <v>1.4171232398231589E-2</v>
      </c>
      <c r="AJ13" s="8">
        <v>9.0803026815001998E-4</v>
      </c>
    </row>
    <row r="14" spans="1:36" x14ac:dyDescent="0.2">
      <c r="A14" t="s">
        <v>28</v>
      </c>
      <c r="B14">
        <v>2011</v>
      </c>
      <c r="C14" t="s">
        <v>31</v>
      </c>
      <c r="D14" s="7">
        <v>93</v>
      </c>
      <c r="E14" s="7">
        <v>39</v>
      </c>
      <c r="F14" s="7">
        <v>46</v>
      </c>
      <c r="G14" s="7">
        <v>65</v>
      </c>
      <c r="H14" s="7">
        <v>57</v>
      </c>
      <c r="I14" s="7">
        <v>62</v>
      </c>
      <c r="J14" s="7">
        <v>65</v>
      </c>
      <c r="K14" s="7">
        <v>44</v>
      </c>
      <c r="L14" s="7">
        <v>58</v>
      </c>
      <c r="M14" s="7">
        <v>65</v>
      </c>
      <c r="N14" s="7">
        <v>594</v>
      </c>
      <c r="O14" s="7">
        <v>50142.041000000005</v>
      </c>
      <c r="P14" s="7">
        <v>97168.511000000042</v>
      </c>
      <c r="Q14" s="7">
        <v>103420.13300000002</v>
      </c>
      <c r="R14" s="7">
        <v>94885.244000000035</v>
      </c>
      <c r="S14" s="7">
        <v>91425.493999999992</v>
      </c>
      <c r="T14" s="7">
        <v>106786.51599999999</v>
      </c>
      <c r="U14" s="7">
        <v>80478.22199999998</v>
      </c>
      <c r="V14" s="7">
        <v>33438.928000000007</v>
      </c>
      <c r="W14" s="7">
        <v>15400.793</v>
      </c>
      <c r="X14" s="7">
        <v>4467.2799999999988</v>
      </c>
      <c r="Y14" s="7">
        <v>677613.16200000001</v>
      </c>
      <c r="Z14" s="8">
        <v>1.8547310429585424E-3</v>
      </c>
      <c r="AA14" s="8">
        <v>4.0136459433859166E-4</v>
      </c>
      <c r="AB14" s="8">
        <v>4.4478767011448336E-4</v>
      </c>
      <c r="AC14" s="8">
        <v>6.8503802340435539E-4</v>
      </c>
      <c r="AD14" s="8">
        <v>6.2345848522295114E-4</v>
      </c>
      <c r="AE14" s="8">
        <v>5.8059764774046941E-4</v>
      </c>
      <c r="AF14" s="8">
        <v>8.0767191899443322E-4</v>
      </c>
      <c r="AG14" s="8">
        <v>1.3158316558473404E-3</v>
      </c>
      <c r="AH14" s="8">
        <v>3.7660398396368294E-3</v>
      </c>
      <c r="AI14" s="8">
        <v>1.4550240862448742E-2</v>
      </c>
      <c r="AJ14" s="8">
        <v>8.7660634903664989E-4</v>
      </c>
    </row>
    <row r="15" spans="1:36" x14ac:dyDescent="0.2">
      <c r="A15" t="s">
        <v>28</v>
      </c>
      <c r="B15">
        <v>2012</v>
      </c>
      <c r="C15" t="s">
        <v>32</v>
      </c>
      <c r="D15" s="7">
        <v>110</v>
      </c>
      <c r="E15" s="7">
        <v>52</v>
      </c>
      <c r="F15" s="7">
        <v>57</v>
      </c>
      <c r="G15" s="7">
        <v>63</v>
      </c>
      <c r="H15" s="7">
        <v>68</v>
      </c>
      <c r="I15" s="7">
        <v>43</v>
      </c>
      <c r="J15" s="7">
        <v>56</v>
      </c>
      <c r="K15" s="7">
        <v>48</v>
      </c>
      <c r="L15" s="7">
        <v>59</v>
      </c>
      <c r="M15" s="7">
        <v>62</v>
      </c>
      <c r="N15" s="7">
        <v>618</v>
      </c>
      <c r="O15" s="7">
        <v>50428.642999999996</v>
      </c>
      <c r="P15" s="7">
        <v>95879.114000000001</v>
      </c>
      <c r="Q15" s="7">
        <v>103240.92</v>
      </c>
      <c r="R15" s="7">
        <v>97754.688000000009</v>
      </c>
      <c r="S15" s="7">
        <v>89171.321000000011</v>
      </c>
      <c r="T15" s="7">
        <v>103836.804</v>
      </c>
      <c r="U15" s="7">
        <v>82276.79399999998</v>
      </c>
      <c r="V15" s="7">
        <v>34090.461000000003</v>
      </c>
      <c r="W15" s="7">
        <v>14680.168</v>
      </c>
      <c r="X15" s="7">
        <v>4485.6340000000009</v>
      </c>
      <c r="Y15" s="7">
        <v>675844.5469999999</v>
      </c>
      <c r="Z15" s="8">
        <v>2.1813000203079035E-3</v>
      </c>
      <c r="AA15" s="8">
        <v>5.4234960911299205E-4</v>
      </c>
      <c r="AB15" s="8">
        <v>5.5210666468295713E-4</v>
      </c>
      <c r="AC15" s="8">
        <v>6.4447037056678035E-4</v>
      </c>
      <c r="AD15" s="8">
        <v>7.6257701733497911E-4</v>
      </c>
      <c r="AE15" s="8">
        <v>4.1411135882032734E-4</v>
      </c>
      <c r="AF15" s="8">
        <v>6.8062934002994829E-4</v>
      </c>
      <c r="AG15" s="8">
        <v>1.4080185069952559E-3</v>
      </c>
      <c r="AH15" s="8">
        <v>4.0190275751612655E-3</v>
      </c>
      <c r="AI15" s="8">
        <v>1.3821903436615646E-2</v>
      </c>
      <c r="AJ15" s="8">
        <v>9.1441146154575708E-4</v>
      </c>
    </row>
    <row r="16" spans="1:36" x14ac:dyDescent="0.2">
      <c r="A16" t="s">
        <v>28</v>
      </c>
      <c r="B16">
        <v>2013</v>
      </c>
      <c r="C16" t="s">
        <v>33</v>
      </c>
      <c r="D16" s="7">
        <v>97</v>
      </c>
      <c r="E16" s="7">
        <v>43</v>
      </c>
      <c r="F16" s="7">
        <v>45</v>
      </c>
      <c r="G16" s="7">
        <v>50</v>
      </c>
      <c r="H16" s="7">
        <v>62</v>
      </c>
      <c r="I16" s="7">
        <v>68</v>
      </c>
      <c r="J16" s="7">
        <v>66</v>
      </c>
      <c r="K16" s="7">
        <v>53</v>
      </c>
      <c r="L16" s="7">
        <v>50</v>
      </c>
      <c r="M16" s="7">
        <v>64</v>
      </c>
      <c r="N16" s="7">
        <v>598</v>
      </c>
      <c r="O16" s="7">
        <v>53765.155000000006</v>
      </c>
      <c r="P16" s="7">
        <v>102126.67300000001</v>
      </c>
      <c r="Q16" s="7">
        <v>109764.30500000001</v>
      </c>
      <c r="R16" s="7">
        <v>106829.90499999997</v>
      </c>
      <c r="S16" s="7">
        <v>92447.462000000014</v>
      </c>
      <c r="T16" s="7">
        <v>106277.84900000003</v>
      </c>
      <c r="U16" s="7">
        <v>89797.648000000001</v>
      </c>
      <c r="V16" s="7">
        <v>40322.754999999997</v>
      </c>
      <c r="W16" s="7">
        <v>17175.344000000001</v>
      </c>
      <c r="X16" s="7">
        <v>5636.7080000000005</v>
      </c>
      <c r="Y16" s="7">
        <v>724143.80400000012</v>
      </c>
      <c r="Z16" s="8">
        <v>1.804142478525357E-3</v>
      </c>
      <c r="AA16" s="8">
        <v>4.2104573405617548E-4</v>
      </c>
      <c r="AB16" s="8">
        <v>4.099693429480558E-4</v>
      </c>
      <c r="AC16" s="8">
        <v>4.6803374017790255E-4</v>
      </c>
      <c r="AD16" s="8">
        <v>6.7065118564314926E-4</v>
      </c>
      <c r="AE16" s="8">
        <v>6.3983229468635541E-4</v>
      </c>
      <c r="AF16" s="8">
        <v>7.3498584283632911E-4</v>
      </c>
      <c r="AG16" s="8">
        <v>1.3143943165589752E-3</v>
      </c>
      <c r="AH16" s="8">
        <v>2.9111498436363193E-3</v>
      </c>
      <c r="AI16" s="8">
        <v>1.1354145008043701E-2</v>
      </c>
      <c r="AJ16" s="8">
        <v>8.2580282631265864E-4</v>
      </c>
    </row>
    <row r="17" spans="1:36" x14ac:dyDescent="0.2">
      <c r="A17" t="s">
        <v>28</v>
      </c>
      <c r="B17">
        <v>2014</v>
      </c>
      <c r="C17" t="s">
        <v>34</v>
      </c>
      <c r="D17" s="7">
        <v>103</v>
      </c>
      <c r="E17" s="7">
        <v>50</v>
      </c>
      <c r="F17" s="7">
        <v>52</v>
      </c>
      <c r="G17" s="7">
        <v>57</v>
      </c>
      <c r="H17" s="7">
        <v>57</v>
      </c>
      <c r="I17" s="7">
        <v>67</v>
      </c>
      <c r="J17" s="7">
        <v>60</v>
      </c>
      <c r="K17" s="7">
        <v>51</v>
      </c>
      <c r="L17" s="7">
        <v>54</v>
      </c>
      <c r="M17" s="7">
        <v>54</v>
      </c>
      <c r="N17" s="7">
        <v>605</v>
      </c>
      <c r="O17" s="7">
        <v>47377.864000000009</v>
      </c>
      <c r="P17" s="7">
        <v>89681.29399999998</v>
      </c>
      <c r="Q17" s="7">
        <v>98186.82699999999</v>
      </c>
      <c r="R17" s="7">
        <v>99906.180999999997</v>
      </c>
      <c r="S17" s="7">
        <v>82451.358999999997</v>
      </c>
      <c r="T17" s="7">
        <v>92263.771999999997</v>
      </c>
      <c r="U17" s="7">
        <v>79761.980999999985</v>
      </c>
      <c r="V17" s="7">
        <v>37158.247000000018</v>
      </c>
      <c r="W17" s="7">
        <v>15515.553000000002</v>
      </c>
      <c r="X17" s="7">
        <v>5565.7160000000013</v>
      </c>
      <c r="Y17" s="7">
        <v>647868.79399999988</v>
      </c>
      <c r="Z17" s="8">
        <v>2.1740110529254756E-3</v>
      </c>
      <c r="AA17" s="8">
        <v>5.5752986793433212E-4</v>
      </c>
      <c r="AB17" s="8">
        <v>5.2960261156010269E-4</v>
      </c>
      <c r="AC17" s="8">
        <v>5.7053527048541678E-4</v>
      </c>
      <c r="AD17" s="8">
        <v>6.9131668284570064E-4</v>
      </c>
      <c r="AE17" s="8">
        <v>7.2617885165154536E-4</v>
      </c>
      <c r="AF17" s="8">
        <v>7.5223808696526747E-4</v>
      </c>
      <c r="AG17" s="8">
        <v>1.3725082348475691E-3</v>
      </c>
      <c r="AH17" s="8">
        <v>3.4803786884038223E-3</v>
      </c>
      <c r="AI17" s="8">
        <v>9.7022557385249251E-3</v>
      </c>
      <c r="AJ17" s="8">
        <v>9.3383105592210406E-4</v>
      </c>
    </row>
    <row r="18" spans="1:36" x14ac:dyDescent="0.2">
      <c r="A18" t="s">
        <v>28</v>
      </c>
      <c r="B18">
        <v>2015</v>
      </c>
      <c r="C18" t="s">
        <v>35</v>
      </c>
      <c r="D18" s="7">
        <v>105</v>
      </c>
      <c r="E18" s="7">
        <v>45</v>
      </c>
      <c r="F18" s="7">
        <v>47</v>
      </c>
      <c r="G18" s="7">
        <v>68</v>
      </c>
      <c r="H18" s="7">
        <v>61</v>
      </c>
      <c r="I18" s="7">
        <v>67</v>
      </c>
      <c r="J18" s="7">
        <v>45</v>
      </c>
      <c r="K18" s="7">
        <v>59</v>
      </c>
      <c r="L18" s="7">
        <v>51</v>
      </c>
      <c r="M18" s="7">
        <v>66</v>
      </c>
      <c r="N18" s="7">
        <v>614</v>
      </c>
      <c r="O18" s="7">
        <v>51611.420999999995</v>
      </c>
      <c r="P18" s="7">
        <v>96804.754000000001</v>
      </c>
      <c r="Q18" s="7">
        <v>106176.12800000003</v>
      </c>
      <c r="R18" s="7">
        <v>108430.307</v>
      </c>
      <c r="S18" s="7">
        <v>87362.376000000004</v>
      </c>
      <c r="T18" s="7">
        <v>96761.911999999997</v>
      </c>
      <c r="U18" s="7">
        <v>89332.432999999975</v>
      </c>
      <c r="V18" s="7">
        <v>44175.777999999991</v>
      </c>
      <c r="W18" s="7">
        <v>18066.054000000004</v>
      </c>
      <c r="X18" s="7">
        <v>6495.7960000000012</v>
      </c>
      <c r="Y18" s="7">
        <v>705216.95899999992</v>
      </c>
      <c r="Z18" s="8">
        <v>2.0344334251134067E-3</v>
      </c>
      <c r="AA18" s="8">
        <v>4.6485320338709811E-4</v>
      </c>
      <c r="AB18" s="8">
        <v>4.4266070806424574E-4</v>
      </c>
      <c r="AC18" s="8">
        <v>6.2713093674077668E-4</v>
      </c>
      <c r="AD18" s="8">
        <v>6.9824108263722123E-4</v>
      </c>
      <c r="AE18" s="8">
        <v>6.9242120804723247E-4</v>
      </c>
      <c r="AF18" s="8">
        <v>5.037364201196671E-4</v>
      </c>
      <c r="AG18" s="8">
        <v>1.3355735353432828E-3</v>
      </c>
      <c r="AH18" s="8">
        <v>2.8229739598918495E-3</v>
      </c>
      <c r="AI18" s="8">
        <v>1.0160417599321158E-2</v>
      </c>
      <c r="AJ18" s="8">
        <v>8.70654047898471E-4</v>
      </c>
    </row>
    <row r="19" spans="1:36" x14ac:dyDescent="0.2">
      <c r="A19" t="s">
        <v>28</v>
      </c>
      <c r="B19">
        <v>2016</v>
      </c>
      <c r="C19" t="s">
        <v>36</v>
      </c>
      <c r="D19" s="7">
        <v>134</v>
      </c>
      <c r="E19" s="7">
        <v>63</v>
      </c>
      <c r="F19" s="7">
        <v>46</v>
      </c>
      <c r="G19" s="7">
        <v>49</v>
      </c>
      <c r="H19" s="7">
        <v>47</v>
      </c>
      <c r="I19" s="7">
        <v>56</v>
      </c>
      <c r="J19" s="7">
        <v>55</v>
      </c>
      <c r="K19" s="7">
        <v>64</v>
      </c>
      <c r="L19" s="7">
        <v>49</v>
      </c>
      <c r="M19" s="7">
        <v>38</v>
      </c>
      <c r="N19" s="7">
        <v>601</v>
      </c>
      <c r="O19" s="7">
        <v>52186.161999999989</v>
      </c>
      <c r="P19" s="7">
        <v>99494.960999999981</v>
      </c>
      <c r="Q19" s="7">
        <v>105915.63900000001</v>
      </c>
      <c r="R19" s="7">
        <v>111527.47700000001</v>
      </c>
      <c r="S19" s="7">
        <v>90152.862000000023</v>
      </c>
      <c r="T19" s="7">
        <v>97774.750999999989</v>
      </c>
      <c r="U19" s="7">
        <v>94824.969999999987</v>
      </c>
      <c r="V19" s="7">
        <v>49566.242000000006</v>
      </c>
      <c r="W19" s="7">
        <v>19227.582000000002</v>
      </c>
      <c r="X19" s="7">
        <v>7466.1139999999987</v>
      </c>
      <c r="Y19" s="7">
        <v>728136.75999999989</v>
      </c>
      <c r="Z19" s="8">
        <v>2.5677305029636025E-3</v>
      </c>
      <c r="AA19" s="8">
        <v>6.3319789632361391E-4</v>
      </c>
      <c r="AB19" s="8">
        <v>4.3430791179006146E-4</v>
      </c>
      <c r="AC19" s="8">
        <v>4.393536132804295E-4</v>
      </c>
      <c r="AD19" s="8">
        <v>5.2133674913171354E-4</v>
      </c>
      <c r="AE19" s="8">
        <v>5.7274500243933123E-4</v>
      </c>
      <c r="AF19" s="8">
        <v>5.8001600211421119E-4</v>
      </c>
      <c r="AG19" s="8">
        <v>1.2912013785511516E-3</v>
      </c>
      <c r="AH19" s="8">
        <v>2.54842236532914E-3</v>
      </c>
      <c r="AI19" s="8">
        <v>5.0896624401931189E-3</v>
      </c>
      <c r="AJ19" s="8">
        <v>8.2539439431680405E-4</v>
      </c>
    </row>
    <row r="20" spans="1:36" x14ac:dyDescent="0.2">
      <c r="A20" t="s">
        <v>28</v>
      </c>
      <c r="B20">
        <v>2017</v>
      </c>
      <c r="C20" t="s">
        <v>37</v>
      </c>
      <c r="D20" s="7">
        <v>129</v>
      </c>
      <c r="E20" s="7">
        <v>54</v>
      </c>
      <c r="F20" s="7">
        <v>48</v>
      </c>
      <c r="G20" s="7">
        <v>59</v>
      </c>
      <c r="H20" s="7">
        <v>47</v>
      </c>
      <c r="I20" s="7">
        <v>54</v>
      </c>
      <c r="J20" s="7">
        <v>64</v>
      </c>
      <c r="K20" s="7">
        <v>59</v>
      </c>
      <c r="L20" s="7">
        <v>56</v>
      </c>
      <c r="M20" s="7">
        <v>43</v>
      </c>
      <c r="N20" s="7">
        <v>613</v>
      </c>
      <c r="O20" s="7">
        <v>53061</v>
      </c>
      <c r="P20" s="7">
        <v>99859</v>
      </c>
      <c r="Q20" s="7">
        <v>105060</v>
      </c>
      <c r="R20" s="7">
        <v>114406</v>
      </c>
      <c r="S20" s="7">
        <v>90822</v>
      </c>
      <c r="T20" s="7">
        <v>94719</v>
      </c>
      <c r="U20" s="7">
        <v>93754</v>
      </c>
      <c r="V20" s="7">
        <v>52637</v>
      </c>
      <c r="W20" s="7">
        <v>20247</v>
      </c>
      <c r="X20" s="7">
        <v>7051</v>
      </c>
      <c r="Y20" s="7">
        <v>731616</v>
      </c>
      <c r="Z20" s="8">
        <v>2.4311641318482502E-3</v>
      </c>
      <c r="AA20" s="8">
        <v>5.407624750898767E-4</v>
      </c>
      <c r="AB20" s="8">
        <v>4.5688178183894918E-4</v>
      </c>
      <c r="AC20" s="8">
        <v>5.1570721815289409E-4</v>
      </c>
      <c r="AD20" s="8">
        <v>5.1749576093897956E-4</v>
      </c>
      <c r="AE20" s="8">
        <v>5.7010737022139167E-4</v>
      </c>
      <c r="AF20" s="8">
        <v>6.826375407982593E-4</v>
      </c>
      <c r="AG20" s="8">
        <v>1.1208845488914641E-3</v>
      </c>
      <c r="AH20" s="8">
        <v>2.7658418531140414E-3</v>
      </c>
      <c r="AI20" s="8">
        <v>6.0984257552120268E-3</v>
      </c>
      <c r="AJ20" s="8">
        <v>8.378712329965446E-4</v>
      </c>
    </row>
    <row r="21" spans="1:36" x14ac:dyDescent="0.2">
      <c r="A21" t="s">
        <v>38</v>
      </c>
      <c r="B21">
        <v>2009</v>
      </c>
      <c r="C21" t="s">
        <v>39</v>
      </c>
      <c r="D21" s="7">
        <v>124</v>
      </c>
      <c r="E21" s="7">
        <v>56</v>
      </c>
      <c r="F21" s="7">
        <v>54</v>
      </c>
      <c r="G21" s="7">
        <v>57</v>
      </c>
      <c r="H21" s="7">
        <v>69</v>
      </c>
      <c r="I21" s="7">
        <v>59</v>
      </c>
      <c r="J21" s="7">
        <v>77</v>
      </c>
      <c r="K21" s="7">
        <v>160</v>
      </c>
      <c r="L21" s="7">
        <v>278</v>
      </c>
      <c r="M21" s="7">
        <v>350</v>
      </c>
      <c r="N21" s="7">
        <v>1284</v>
      </c>
      <c r="O21" s="7">
        <v>500512.114</v>
      </c>
      <c r="P21" s="7">
        <v>900235.31799999997</v>
      </c>
      <c r="Q21" s="7">
        <v>858304.76299999992</v>
      </c>
      <c r="R21" s="7">
        <v>919459.3870000001</v>
      </c>
      <c r="S21" s="7">
        <v>858826.80199999979</v>
      </c>
      <c r="T21" s="7">
        <v>819785.54599999997</v>
      </c>
      <c r="U21" s="7">
        <v>651778.59500000009</v>
      </c>
      <c r="V21" s="7">
        <v>422658.01999999996</v>
      </c>
      <c r="W21" s="7">
        <v>294833.44300000003</v>
      </c>
      <c r="X21" s="7">
        <v>96568.51999999999</v>
      </c>
      <c r="Y21" s="7">
        <v>6322962.5079999985</v>
      </c>
      <c r="Z21" s="8">
        <v>2.4774625135246979E-4</v>
      </c>
      <c r="AA21" s="8">
        <v>6.2205957576083455E-5</v>
      </c>
      <c r="AB21" s="8">
        <v>6.2914715527449548E-5</v>
      </c>
      <c r="AC21" s="8">
        <v>6.1992950211731319E-5</v>
      </c>
      <c r="AD21" s="8">
        <v>8.0342159605773474E-5</v>
      </c>
      <c r="AE21" s="8">
        <v>7.1970041784562034E-5</v>
      </c>
      <c r="AF21" s="8">
        <v>1.1813827669501786E-4</v>
      </c>
      <c r="AG21" s="8">
        <v>3.7855664018868022E-4</v>
      </c>
      <c r="AH21" s="8">
        <v>9.4290524565763037E-4</v>
      </c>
      <c r="AI21" s="8">
        <v>3.6243695150345065E-3</v>
      </c>
      <c r="AJ21" s="8">
        <v>2.0306936793875423E-4</v>
      </c>
    </row>
    <row r="22" spans="1:36" x14ac:dyDescent="0.2">
      <c r="A22" t="s">
        <v>38</v>
      </c>
      <c r="B22">
        <v>2010</v>
      </c>
      <c r="C22" t="s">
        <v>40</v>
      </c>
      <c r="D22" s="7">
        <v>94</v>
      </c>
      <c r="E22" s="7">
        <v>51</v>
      </c>
      <c r="F22" s="7">
        <v>67</v>
      </c>
      <c r="G22" s="7">
        <v>51</v>
      </c>
      <c r="H22" s="7">
        <v>38</v>
      </c>
      <c r="I22" s="7">
        <v>50</v>
      </c>
      <c r="J22" s="7">
        <v>64</v>
      </c>
      <c r="K22" s="7">
        <v>89</v>
      </c>
      <c r="L22" s="7">
        <v>216</v>
      </c>
      <c r="M22" s="7">
        <v>295</v>
      </c>
      <c r="N22" s="7">
        <v>1015</v>
      </c>
      <c r="O22" s="7">
        <v>464715.06700000004</v>
      </c>
      <c r="P22" s="7">
        <v>884670.92000000016</v>
      </c>
      <c r="Q22" s="7">
        <v>889390.049</v>
      </c>
      <c r="R22" s="7">
        <v>856180.73</v>
      </c>
      <c r="S22" s="7">
        <v>833850.97700000007</v>
      </c>
      <c r="T22" s="7">
        <v>823424.88500000001</v>
      </c>
      <c r="U22" s="7">
        <v>688896.07900000003</v>
      </c>
      <c r="V22" s="7">
        <v>463952.11099999998</v>
      </c>
      <c r="W22" s="7">
        <v>279255.54599999997</v>
      </c>
      <c r="X22" s="7">
        <v>95229.909999999989</v>
      </c>
      <c r="Y22" s="7">
        <v>6279566.2740000002</v>
      </c>
      <c r="Z22" s="8">
        <v>2.0227448317271794E-4</v>
      </c>
      <c r="AA22" s="8">
        <v>5.7648554786903125E-5</v>
      </c>
      <c r="AB22" s="8">
        <v>7.5332527135122014E-5</v>
      </c>
      <c r="AC22" s="8">
        <v>5.9566862711334322E-5</v>
      </c>
      <c r="AD22" s="8">
        <v>4.5571692122632116E-5</v>
      </c>
      <c r="AE22" s="8">
        <v>6.0721992874917791E-5</v>
      </c>
      <c r="AF22" s="8">
        <v>9.2902256161629275E-5</v>
      </c>
      <c r="AG22" s="8">
        <v>1.9183014343478224E-4</v>
      </c>
      <c r="AH22" s="8">
        <v>7.7348508595062972E-4</v>
      </c>
      <c r="AI22" s="8">
        <v>3.0977662375192838E-3</v>
      </c>
      <c r="AJ22" s="8">
        <v>1.6163536711166177E-4</v>
      </c>
    </row>
    <row r="23" spans="1:36" x14ac:dyDescent="0.2">
      <c r="A23" t="s">
        <v>38</v>
      </c>
      <c r="B23">
        <v>2011</v>
      </c>
      <c r="C23" t="s">
        <v>41</v>
      </c>
      <c r="D23" s="7">
        <v>128</v>
      </c>
      <c r="E23" s="7">
        <v>45</v>
      </c>
      <c r="F23" s="7">
        <v>43</v>
      </c>
      <c r="G23" s="7">
        <v>62</v>
      </c>
      <c r="H23" s="7">
        <v>57</v>
      </c>
      <c r="I23" s="7">
        <v>72</v>
      </c>
      <c r="J23" s="7">
        <v>71</v>
      </c>
      <c r="K23" s="7">
        <v>107</v>
      </c>
      <c r="L23" s="7">
        <v>192</v>
      </c>
      <c r="M23" s="7">
        <v>269</v>
      </c>
      <c r="N23" s="7">
        <v>1046</v>
      </c>
      <c r="O23" s="7">
        <v>456940.97500000009</v>
      </c>
      <c r="P23" s="7">
        <v>879537.21700000006</v>
      </c>
      <c r="Q23" s="7">
        <v>892590.57700000016</v>
      </c>
      <c r="R23" s="7">
        <v>856794.96900000004</v>
      </c>
      <c r="S23" s="7">
        <v>825214.06900000013</v>
      </c>
      <c r="T23" s="7">
        <v>825702.19700000016</v>
      </c>
      <c r="U23" s="7">
        <v>702905.41899999999</v>
      </c>
      <c r="V23" s="7">
        <v>479824.01000000007</v>
      </c>
      <c r="W23" s="7">
        <v>282415.424</v>
      </c>
      <c r="X23" s="7">
        <v>97631.558000000005</v>
      </c>
      <c r="Y23" s="7">
        <v>6299556.415</v>
      </c>
      <c r="Z23" s="8">
        <v>2.8012370744383335E-4</v>
      </c>
      <c r="AA23" s="8">
        <v>5.1163269876731088E-5</v>
      </c>
      <c r="AB23" s="8">
        <v>4.8174382643073758E-5</v>
      </c>
      <c r="AC23" s="8">
        <v>7.2362703147478444E-5</v>
      </c>
      <c r="AD23" s="8">
        <v>6.9072986199899595E-5</v>
      </c>
      <c r="AE23" s="8">
        <v>8.7198508447228928E-5</v>
      </c>
      <c r="AF23" s="8">
        <v>1.0100932227981585E-4</v>
      </c>
      <c r="AG23" s="8">
        <v>2.2299842811117349E-4</v>
      </c>
      <c r="AH23" s="8">
        <v>6.7984955382606861E-4</v>
      </c>
      <c r="AI23" s="8">
        <v>2.755256655844824E-3</v>
      </c>
      <c r="AJ23" s="8">
        <v>1.6604343720287169E-4</v>
      </c>
    </row>
    <row r="24" spans="1:36" x14ac:dyDescent="0.2">
      <c r="A24" t="s">
        <v>38</v>
      </c>
      <c r="B24">
        <v>2012</v>
      </c>
      <c r="C24" t="s">
        <v>42</v>
      </c>
      <c r="D24" s="7">
        <v>119</v>
      </c>
      <c r="E24" s="7">
        <v>59</v>
      </c>
      <c r="F24" s="7">
        <v>43</v>
      </c>
      <c r="G24" s="7">
        <v>65</v>
      </c>
      <c r="H24" s="7">
        <v>58</v>
      </c>
      <c r="I24" s="7">
        <v>59</v>
      </c>
      <c r="J24" s="7">
        <v>65</v>
      </c>
      <c r="K24" s="7">
        <v>82</v>
      </c>
      <c r="L24" s="7">
        <v>206</v>
      </c>
      <c r="M24" s="7">
        <v>273</v>
      </c>
      <c r="N24" s="7">
        <v>1029</v>
      </c>
      <c r="O24" s="7">
        <v>459596.42200000002</v>
      </c>
      <c r="P24" s="7">
        <v>907245.95200000005</v>
      </c>
      <c r="Q24" s="7">
        <v>913166.78900000011</v>
      </c>
      <c r="R24" s="7">
        <v>872688.66800000018</v>
      </c>
      <c r="S24" s="7">
        <v>833065.05199999991</v>
      </c>
      <c r="T24" s="7">
        <v>840803.46099999989</v>
      </c>
      <c r="U24" s="7">
        <v>732408.44300000009</v>
      </c>
      <c r="V24" s="7">
        <v>504676.92300000001</v>
      </c>
      <c r="W24" s="7">
        <v>285554.89899999998</v>
      </c>
      <c r="X24" s="7">
        <v>104701.458</v>
      </c>
      <c r="Y24" s="7">
        <v>6453908.0670000007</v>
      </c>
      <c r="Z24" s="8">
        <v>2.5892281641827053E-4</v>
      </c>
      <c r="AA24" s="8">
        <v>6.5031979332545975E-5</v>
      </c>
      <c r="AB24" s="8">
        <v>4.7088878524687562E-5</v>
      </c>
      <c r="AC24" s="8">
        <v>7.4482461367310874E-5</v>
      </c>
      <c r="AD24" s="8">
        <v>6.9622414072892841E-5</v>
      </c>
      <c r="AE24" s="8">
        <v>7.017097661542571E-5</v>
      </c>
      <c r="AF24" s="8">
        <v>8.8748294235597704E-5</v>
      </c>
      <c r="AG24" s="8">
        <v>1.6248018536801613E-4</v>
      </c>
      <c r="AH24" s="8">
        <v>7.2140243687431895E-4</v>
      </c>
      <c r="AI24" s="8">
        <v>2.6074135471924375E-3</v>
      </c>
      <c r="AJ24" s="8">
        <v>1.5943827977058785E-4</v>
      </c>
    </row>
    <row r="25" spans="1:36" x14ac:dyDescent="0.2">
      <c r="A25" t="s">
        <v>38</v>
      </c>
      <c r="B25">
        <v>2013</v>
      </c>
      <c r="C25" t="s">
        <v>43</v>
      </c>
      <c r="D25" s="7">
        <v>96</v>
      </c>
      <c r="E25" s="7">
        <v>67</v>
      </c>
      <c r="F25" s="7">
        <v>61</v>
      </c>
      <c r="G25" s="7">
        <v>65</v>
      </c>
      <c r="H25" s="7">
        <v>67</v>
      </c>
      <c r="I25" s="7">
        <v>50</v>
      </c>
      <c r="J25" s="7">
        <v>53</v>
      </c>
      <c r="K25" s="7">
        <v>78</v>
      </c>
      <c r="L25" s="7">
        <v>197</v>
      </c>
      <c r="M25" s="7">
        <v>348</v>
      </c>
      <c r="N25" s="7">
        <v>1082</v>
      </c>
      <c r="O25" s="7">
        <v>450178.63199999998</v>
      </c>
      <c r="P25" s="7">
        <v>910374.43299999996</v>
      </c>
      <c r="Q25" s="7">
        <v>921847.85400000005</v>
      </c>
      <c r="R25" s="7">
        <v>870085.35499999998</v>
      </c>
      <c r="S25" s="7">
        <v>834820.62100000016</v>
      </c>
      <c r="T25" s="7">
        <v>844302.35800000001</v>
      </c>
      <c r="U25" s="7">
        <v>752311.51099999994</v>
      </c>
      <c r="V25" s="7">
        <v>531488.652</v>
      </c>
      <c r="W25" s="7">
        <v>293287.13300000003</v>
      </c>
      <c r="X25" s="7">
        <v>107786.72500000001</v>
      </c>
      <c r="Y25" s="7">
        <v>6516483.2740000002</v>
      </c>
      <c r="Z25" s="8">
        <v>2.1324868213647245E-4</v>
      </c>
      <c r="AA25" s="8">
        <v>7.3596091422747592E-5</v>
      </c>
      <c r="AB25" s="8">
        <v>6.6171440043293728E-5</v>
      </c>
      <c r="AC25" s="8">
        <v>7.4705314399872873E-5</v>
      </c>
      <c r="AD25" s="8">
        <v>8.0256762129022664E-5</v>
      </c>
      <c r="AE25" s="8">
        <v>5.9220490771150965E-5</v>
      </c>
      <c r="AF25" s="8">
        <v>7.0449540150662414E-5</v>
      </c>
      <c r="AG25" s="8">
        <v>1.4675760189137584E-4</v>
      </c>
      <c r="AH25" s="8">
        <v>6.7169670208477904E-4</v>
      </c>
      <c r="AI25" s="8">
        <v>3.2285979558243374E-3</v>
      </c>
      <c r="AJ25" s="8">
        <v>1.6604047835387721E-4</v>
      </c>
    </row>
    <row r="26" spans="1:36" x14ac:dyDescent="0.2">
      <c r="A26" t="s">
        <v>38</v>
      </c>
      <c r="B26">
        <v>2014</v>
      </c>
      <c r="C26" t="s">
        <v>44</v>
      </c>
      <c r="D26" s="7">
        <v>123</v>
      </c>
      <c r="E26" s="7">
        <v>55</v>
      </c>
      <c r="F26" s="7">
        <v>70</v>
      </c>
      <c r="G26" s="7">
        <v>56</v>
      </c>
      <c r="H26" s="7">
        <v>54</v>
      </c>
      <c r="I26" s="7">
        <v>55</v>
      </c>
      <c r="J26" s="7">
        <v>62</v>
      </c>
      <c r="K26" s="7">
        <v>122</v>
      </c>
      <c r="L26" s="7">
        <v>185</v>
      </c>
      <c r="M26" s="7">
        <v>270</v>
      </c>
      <c r="N26" s="7">
        <v>1052</v>
      </c>
      <c r="O26" s="7">
        <v>440267.74399999995</v>
      </c>
      <c r="P26" s="7">
        <v>907809.88000000024</v>
      </c>
      <c r="Q26" s="7">
        <v>923684.94899999979</v>
      </c>
      <c r="R26" s="7">
        <v>874115.33699999994</v>
      </c>
      <c r="S26" s="7">
        <v>826593.3459999999</v>
      </c>
      <c r="T26" s="7">
        <v>840883.02999999991</v>
      </c>
      <c r="U26" s="7">
        <v>764093.67700000003</v>
      </c>
      <c r="V26" s="7">
        <v>556746.95499999996</v>
      </c>
      <c r="W26" s="7">
        <v>300493.87800000003</v>
      </c>
      <c r="X26" s="7">
        <v>113770.36700000001</v>
      </c>
      <c r="Y26" s="7">
        <v>6548459.1629999997</v>
      </c>
      <c r="Z26" s="8">
        <v>2.7937545204310949E-4</v>
      </c>
      <c r="AA26" s="8">
        <v>6.0585372787526817E-5</v>
      </c>
      <c r="AB26" s="8">
        <v>7.5783415195606929E-5</v>
      </c>
      <c r="AC26" s="8">
        <v>6.4064772267003481E-5</v>
      </c>
      <c r="AD26" s="8">
        <v>6.5328374903225999E-5</v>
      </c>
      <c r="AE26" s="8">
        <v>6.5407432470126082E-5</v>
      </c>
      <c r="AF26" s="8">
        <v>8.1141883340044965E-5</v>
      </c>
      <c r="AG26" s="8">
        <v>2.1913007139841477E-4</v>
      </c>
      <c r="AH26" s="8">
        <v>6.1565314152589817E-4</v>
      </c>
      <c r="AI26" s="8">
        <v>2.3732014506026859E-3</v>
      </c>
      <c r="AJ26" s="8">
        <v>1.6064847833884249E-4</v>
      </c>
    </row>
    <row r="27" spans="1:36" x14ac:dyDescent="0.2">
      <c r="A27" t="s">
        <v>38</v>
      </c>
      <c r="B27">
        <v>2015</v>
      </c>
      <c r="C27" t="s">
        <v>45</v>
      </c>
      <c r="D27" s="7">
        <v>127</v>
      </c>
      <c r="E27" s="7">
        <v>42</v>
      </c>
      <c r="F27" s="7">
        <v>52</v>
      </c>
      <c r="G27" s="7">
        <v>57</v>
      </c>
      <c r="H27" s="7">
        <v>56</v>
      </c>
      <c r="I27" s="7">
        <v>60</v>
      </c>
      <c r="J27" s="7">
        <v>58</v>
      </c>
      <c r="K27" s="7">
        <v>105</v>
      </c>
      <c r="L27" s="7">
        <v>207</v>
      </c>
      <c r="M27" s="7">
        <v>321</v>
      </c>
      <c r="N27" s="7">
        <v>1085</v>
      </c>
      <c r="O27" s="7">
        <v>424856.47899999999</v>
      </c>
      <c r="P27" s="7">
        <v>892843.10600000003</v>
      </c>
      <c r="Q27" s="7">
        <v>916341.00699999998</v>
      </c>
      <c r="R27" s="7">
        <v>873997.61799999978</v>
      </c>
      <c r="S27" s="7">
        <v>823284.95900000003</v>
      </c>
      <c r="T27" s="7">
        <v>824481.64100000006</v>
      </c>
      <c r="U27" s="7">
        <v>767758.80299999996</v>
      </c>
      <c r="V27" s="7">
        <v>581227.27800000005</v>
      </c>
      <c r="W27" s="7">
        <v>309296.212</v>
      </c>
      <c r="X27" s="7">
        <v>119063.27099999999</v>
      </c>
      <c r="Y27" s="7">
        <v>6533150.3739999998</v>
      </c>
      <c r="Z27" s="8">
        <v>2.9892447515199598E-4</v>
      </c>
      <c r="AA27" s="8">
        <v>4.7040739540637723E-5</v>
      </c>
      <c r="AB27" s="8">
        <v>5.6747433109255143E-5</v>
      </c>
      <c r="AC27" s="8">
        <v>6.5217569048340373E-5</v>
      </c>
      <c r="AD27" s="8">
        <v>6.8020190807348385E-5</v>
      </c>
      <c r="AE27" s="8">
        <v>7.2772997015709169E-5</v>
      </c>
      <c r="AF27" s="8">
        <v>7.5544558751220212E-5</v>
      </c>
      <c r="AG27" s="8">
        <v>1.8065222327710503E-4</v>
      </c>
      <c r="AH27" s="8">
        <v>6.6926134872935332E-4</v>
      </c>
      <c r="AI27" s="8">
        <v>2.6960455336390013E-3</v>
      </c>
      <c r="AJ27" s="8">
        <v>1.6607607936256573E-4</v>
      </c>
    </row>
    <row r="28" spans="1:36" x14ac:dyDescent="0.2">
      <c r="A28" t="s">
        <v>38</v>
      </c>
      <c r="B28">
        <v>2016</v>
      </c>
      <c r="C28" t="s">
        <v>46</v>
      </c>
      <c r="D28" s="7">
        <v>101</v>
      </c>
      <c r="E28" s="7">
        <v>64</v>
      </c>
      <c r="F28" s="7">
        <v>57</v>
      </c>
      <c r="G28" s="7">
        <v>50</v>
      </c>
      <c r="H28" s="7">
        <v>43</v>
      </c>
      <c r="I28" s="7">
        <v>80</v>
      </c>
      <c r="J28" s="7">
        <v>104</v>
      </c>
      <c r="K28" s="7">
        <v>157</v>
      </c>
      <c r="L28" s="7">
        <v>213</v>
      </c>
      <c r="M28" s="7">
        <v>299</v>
      </c>
      <c r="N28" s="7">
        <v>1168</v>
      </c>
      <c r="O28" s="7">
        <v>429627.26100000006</v>
      </c>
      <c r="P28" s="7">
        <v>895929.60499999986</v>
      </c>
      <c r="Q28" s="7">
        <v>924842.09499999997</v>
      </c>
      <c r="R28" s="7">
        <v>883722.65199999989</v>
      </c>
      <c r="S28" s="7">
        <v>817900.82799999986</v>
      </c>
      <c r="T28" s="7">
        <v>822771.35700000008</v>
      </c>
      <c r="U28" s="7">
        <v>761320.06499999994</v>
      </c>
      <c r="V28" s="7">
        <v>587133.42099999986</v>
      </c>
      <c r="W28" s="7">
        <v>308298.37099999998</v>
      </c>
      <c r="X28" s="7">
        <v>116430.857</v>
      </c>
      <c r="Y28" s="7">
        <v>6547976.5120000001</v>
      </c>
      <c r="Z28" s="8">
        <v>2.3508750297854118E-4</v>
      </c>
      <c r="AA28" s="8">
        <v>7.1434183715806573E-5</v>
      </c>
      <c r="AB28" s="8">
        <v>6.1632142728105385E-5</v>
      </c>
      <c r="AC28" s="8">
        <v>5.6578837134979317E-5</v>
      </c>
      <c r="AD28" s="8">
        <v>5.2573611039308066E-5</v>
      </c>
      <c r="AE28" s="8">
        <v>9.7232359050146162E-5</v>
      </c>
      <c r="AF28" s="8">
        <v>1.3660483255488611E-4</v>
      </c>
      <c r="AG28" s="8">
        <v>2.6740089115111031E-4</v>
      </c>
      <c r="AH28" s="8">
        <v>6.9088915166535213E-4</v>
      </c>
      <c r="AI28" s="8">
        <v>2.5680477469988902E-3</v>
      </c>
      <c r="AJ28" s="8">
        <v>1.7837571620171383E-4</v>
      </c>
    </row>
    <row r="29" spans="1:36" x14ac:dyDescent="0.2">
      <c r="A29" t="s">
        <v>38</v>
      </c>
      <c r="B29">
        <v>2017</v>
      </c>
      <c r="C29" t="s">
        <v>47</v>
      </c>
      <c r="D29" s="7">
        <v>116</v>
      </c>
      <c r="E29" s="7">
        <v>43</v>
      </c>
      <c r="F29" s="7">
        <v>58</v>
      </c>
      <c r="G29" s="7">
        <v>64</v>
      </c>
      <c r="H29" s="7">
        <v>59</v>
      </c>
      <c r="I29" s="7">
        <v>46</v>
      </c>
      <c r="J29" s="7">
        <v>88</v>
      </c>
      <c r="K29" s="7">
        <v>136</v>
      </c>
      <c r="L29" s="7">
        <v>218</v>
      </c>
      <c r="M29" s="7">
        <v>339</v>
      </c>
      <c r="N29" s="7">
        <v>1167</v>
      </c>
      <c r="O29" s="7">
        <v>430289</v>
      </c>
      <c r="P29" s="7">
        <v>903976</v>
      </c>
      <c r="Q29" s="7">
        <v>936681</v>
      </c>
      <c r="R29" s="7">
        <v>909225</v>
      </c>
      <c r="S29" s="7">
        <v>834243</v>
      </c>
      <c r="T29" s="7">
        <v>833583</v>
      </c>
      <c r="U29" s="7">
        <v>801636</v>
      </c>
      <c r="V29" s="7">
        <v>637694</v>
      </c>
      <c r="W29" s="7">
        <v>331749</v>
      </c>
      <c r="X29" s="7">
        <v>123325</v>
      </c>
      <c r="Y29" s="7">
        <v>6742401</v>
      </c>
      <c r="Z29" s="8">
        <v>2.6958625481943529E-4</v>
      </c>
      <c r="AA29" s="8">
        <v>4.7567634538970061E-5</v>
      </c>
      <c r="AB29" s="8">
        <v>6.1920760643164533E-5</v>
      </c>
      <c r="AC29" s="8">
        <v>7.0389617531414113E-5</v>
      </c>
      <c r="AD29" s="8">
        <v>7.0722798992619657E-5</v>
      </c>
      <c r="AE29" s="8">
        <v>5.5183467033276829E-5</v>
      </c>
      <c r="AF29" s="8">
        <v>1.0977550908392337E-4</v>
      </c>
      <c r="AG29" s="8">
        <v>2.1326843282201181E-4</v>
      </c>
      <c r="AH29" s="8">
        <v>6.5712330707854436E-4</v>
      </c>
      <c r="AI29" s="8">
        <v>2.7488343807013987E-3</v>
      </c>
      <c r="AJ29" s="8">
        <v>1.7308374272013782E-4</v>
      </c>
    </row>
    <row r="30" spans="1:36" x14ac:dyDescent="0.2">
      <c r="A30" t="s">
        <v>48</v>
      </c>
      <c r="B30">
        <v>2009</v>
      </c>
      <c r="C30" t="s">
        <v>49</v>
      </c>
      <c r="D30" s="7">
        <v>103</v>
      </c>
      <c r="E30" s="7">
        <v>50</v>
      </c>
      <c r="F30" s="7">
        <v>46</v>
      </c>
      <c r="G30" s="7">
        <v>53</v>
      </c>
      <c r="H30" s="7">
        <v>69</v>
      </c>
      <c r="I30" s="7">
        <v>57</v>
      </c>
      <c r="J30" s="7">
        <v>62</v>
      </c>
      <c r="K30" s="7">
        <v>55</v>
      </c>
      <c r="L30" s="7">
        <v>198</v>
      </c>
      <c r="M30" s="7">
        <v>288</v>
      </c>
      <c r="N30" s="7">
        <v>981</v>
      </c>
      <c r="O30" s="7">
        <v>199186.86600000004</v>
      </c>
      <c r="P30" s="7">
        <v>382872.46100000007</v>
      </c>
      <c r="Q30" s="7">
        <v>391797.96699999995</v>
      </c>
      <c r="R30" s="7">
        <v>377695.30299999996</v>
      </c>
      <c r="S30" s="7">
        <v>375805.32100000011</v>
      </c>
      <c r="T30" s="7">
        <v>394377.50799999991</v>
      </c>
      <c r="U30" s="7">
        <v>323356.77000000014</v>
      </c>
      <c r="V30" s="7">
        <v>211225.89</v>
      </c>
      <c r="W30" s="7">
        <v>137599.99900000001</v>
      </c>
      <c r="X30" s="7">
        <v>51390.42099999998</v>
      </c>
      <c r="Y30" s="7">
        <v>2845308.5060000001</v>
      </c>
      <c r="Z30" s="8">
        <v>5.171023675828103E-4</v>
      </c>
      <c r="AA30" s="8">
        <v>1.3059178993811204E-4</v>
      </c>
      <c r="AB30" s="8">
        <v>1.1740744943681652E-4</v>
      </c>
      <c r="AC30" s="8">
        <v>1.4032475272799462E-4</v>
      </c>
      <c r="AD30" s="8">
        <v>1.8360570259195447E-4</v>
      </c>
      <c r="AE30" s="8">
        <v>1.4453156897578453E-4</v>
      </c>
      <c r="AF30" s="8">
        <v>1.9173867923037447E-4</v>
      </c>
      <c r="AG30" s="8">
        <v>2.6038474734323521E-4</v>
      </c>
      <c r="AH30" s="8">
        <v>1.4389534988296039E-3</v>
      </c>
      <c r="AI30" s="8">
        <v>5.6041572416773953E-3</v>
      </c>
      <c r="AJ30" s="8">
        <v>3.4477807869738255E-4</v>
      </c>
    </row>
    <row r="31" spans="1:36" x14ac:dyDescent="0.2">
      <c r="A31" t="s">
        <v>48</v>
      </c>
      <c r="B31">
        <v>2010</v>
      </c>
      <c r="C31" t="s">
        <v>50</v>
      </c>
      <c r="D31" s="7">
        <v>97</v>
      </c>
      <c r="E31" s="7">
        <v>55</v>
      </c>
      <c r="F31" s="7">
        <v>54</v>
      </c>
      <c r="G31" s="7">
        <v>49</v>
      </c>
      <c r="H31" s="7">
        <v>49</v>
      </c>
      <c r="I31" s="7">
        <v>56</v>
      </c>
      <c r="J31" s="7">
        <v>54</v>
      </c>
      <c r="K31" s="7">
        <v>70</v>
      </c>
      <c r="L31" s="7">
        <v>178</v>
      </c>
      <c r="M31" s="7">
        <v>263</v>
      </c>
      <c r="N31" s="7">
        <v>925</v>
      </c>
      <c r="O31" s="7">
        <v>204960.21</v>
      </c>
      <c r="P31" s="7">
        <v>409884.86800000007</v>
      </c>
      <c r="Q31" s="7">
        <v>423367.80600000016</v>
      </c>
      <c r="R31" s="7">
        <v>386472.19900000008</v>
      </c>
      <c r="S31" s="7">
        <v>395140.17800000007</v>
      </c>
      <c r="T31" s="7">
        <v>425145.47100000008</v>
      </c>
      <c r="U31" s="7">
        <v>360636.62099999998</v>
      </c>
      <c r="V31" s="7">
        <v>240599.25100000002</v>
      </c>
      <c r="W31" s="7">
        <v>142096.35199999998</v>
      </c>
      <c r="X31" s="7">
        <v>53408.835000000006</v>
      </c>
      <c r="Y31" s="7">
        <v>3041711.7910000002</v>
      </c>
      <c r="Z31" s="8">
        <v>4.7326259082189662E-4</v>
      </c>
      <c r="AA31" s="8">
        <v>1.3418402164580516E-4</v>
      </c>
      <c r="AB31" s="8">
        <v>1.2754866863920206E-4</v>
      </c>
      <c r="AC31" s="8">
        <v>1.267879038305676E-4</v>
      </c>
      <c r="AD31" s="8">
        <v>1.240066253146244E-4</v>
      </c>
      <c r="AE31" s="8">
        <v>1.3171962027086956E-4</v>
      </c>
      <c r="AF31" s="8">
        <v>1.4973520950330776E-4</v>
      </c>
      <c r="AG31" s="8">
        <v>2.9094022408240997E-4</v>
      </c>
      <c r="AH31" s="8">
        <v>1.2526711452803519E-3</v>
      </c>
      <c r="AI31" s="8">
        <v>4.9242789137789646E-3</v>
      </c>
      <c r="AJ31" s="8">
        <v>3.0410507752146195E-4</v>
      </c>
    </row>
    <row r="32" spans="1:36" x14ac:dyDescent="0.2">
      <c r="A32" t="s">
        <v>48</v>
      </c>
      <c r="B32">
        <v>2011</v>
      </c>
      <c r="C32" t="s">
        <v>51</v>
      </c>
      <c r="D32" s="7">
        <v>125</v>
      </c>
      <c r="E32" s="7">
        <v>56</v>
      </c>
      <c r="F32" s="7">
        <v>45</v>
      </c>
      <c r="G32" s="7">
        <v>50</v>
      </c>
      <c r="H32" s="7">
        <v>62</v>
      </c>
      <c r="I32" s="7">
        <v>62</v>
      </c>
      <c r="J32" s="7">
        <v>57</v>
      </c>
      <c r="K32" s="7">
        <v>77</v>
      </c>
      <c r="L32" s="7">
        <v>195</v>
      </c>
      <c r="M32" s="7">
        <v>343</v>
      </c>
      <c r="N32" s="7">
        <v>1072</v>
      </c>
      <c r="O32" s="7">
        <v>201013.345</v>
      </c>
      <c r="P32" s="7">
        <v>401595.69700000004</v>
      </c>
      <c r="Q32" s="7">
        <v>413008.55900000007</v>
      </c>
      <c r="R32" s="7">
        <v>382848.91099999991</v>
      </c>
      <c r="S32" s="7">
        <v>381655.40300000011</v>
      </c>
      <c r="T32" s="7">
        <v>412790.38999999996</v>
      </c>
      <c r="U32" s="7">
        <v>353585.6500000002</v>
      </c>
      <c r="V32" s="7">
        <v>234666.11500000002</v>
      </c>
      <c r="W32" s="7">
        <v>137703.33599999998</v>
      </c>
      <c r="X32" s="7">
        <v>51657.542999999998</v>
      </c>
      <c r="Y32" s="7">
        <v>2970524.949000001</v>
      </c>
      <c r="Z32" s="8">
        <v>6.2184926080405256E-4</v>
      </c>
      <c r="AA32" s="8">
        <v>1.394437251652126E-4</v>
      </c>
      <c r="AB32" s="8">
        <v>1.0895657975940396E-4</v>
      </c>
      <c r="AC32" s="8">
        <v>1.3059982296776079E-4</v>
      </c>
      <c r="AD32" s="8">
        <v>1.6245020904368012E-4</v>
      </c>
      <c r="AE32" s="8">
        <v>1.5019729504846274E-4</v>
      </c>
      <c r="AF32" s="8">
        <v>1.6120563716315968E-4</v>
      </c>
      <c r="AG32" s="8">
        <v>3.2812577137521535E-4</v>
      </c>
      <c r="AH32" s="8">
        <v>1.4160876973960893E-3</v>
      </c>
      <c r="AI32" s="8">
        <v>6.639882194939082E-3</v>
      </c>
      <c r="AJ32" s="8">
        <v>3.6087897540159648E-4</v>
      </c>
    </row>
    <row r="33" spans="1:36" x14ac:dyDescent="0.2">
      <c r="A33" t="s">
        <v>48</v>
      </c>
      <c r="B33">
        <v>2012</v>
      </c>
      <c r="C33" t="s">
        <v>52</v>
      </c>
      <c r="D33" s="7">
        <v>115</v>
      </c>
      <c r="E33" s="7">
        <v>52</v>
      </c>
      <c r="F33" s="7">
        <v>53</v>
      </c>
      <c r="G33" s="7">
        <v>64</v>
      </c>
      <c r="H33" s="7">
        <v>62</v>
      </c>
      <c r="I33" s="7">
        <v>63</v>
      </c>
      <c r="J33" s="7">
        <v>80</v>
      </c>
      <c r="K33" s="7">
        <v>80</v>
      </c>
      <c r="L33" s="7">
        <v>160</v>
      </c>
      <c r="M33" s="7">
        <v>353</v>
      </c>
      <c r="N33" s="7">
        <v>1082</v>
      </c>
      <c r="O33" s="7">
        <v>203823.91299999997</v>
      </c>
      <c r="P33" s="7">
        <v>410541.44699999993</v>
      </c>
      <c r="Q33" s="7">
        <v>417997.08400000009</v>
      </c>
      <c r="R33" s="7">
        <v>391034.77800000028</v>
      </c>
      <c r="S33" s="7">
        <v>387441.9529999998</v>
      </c>
      <c r="T33" s="7">
        <v>426075.0630000002</v>
      </c>
      <c r="U33" s="7">
        <v>377370.55900000001</v>
      </c>
      <c r="V33" s="7">
        <v>251004.82699999999</v>
      </c>
      <c r="W33" s="7">
        <v>144373.21399999992</v>
      </c>
      <c r="X33" s="7">
        <v>53390.073999999986</v>
      </c>
      <c r="Y33" s="7">
        <v>3063052.9119999995</v>
      </c>
      <c r="Z33" s="8">
        <v>5.6421250238680297E-4</v>
      </c>
      <c r="AA33" s="8">
        <v>1.2666199814899569E-4</v>
      </c>
      <c r="AB33" s="8">
        <v>1.2679514290582942E-4</v>
      </c>
      <c r="AC33" s="8">
        <v>1.6366830676119542E-4</v>
      </c>
      <c r="AD33" s="8">
        <v>1.6002397138443092E-4</v>
      </c>
      <c r="AE33" s="8">
        <v>1.4786127016309323E-4</v>
      </c>
      <c r="AF33" s="8">
        <v>2.119932201706281E-4</v>
      </c>
      <c r="AG33" s="8">
        <v>3.1871897029294978E-4</v>
      </c>
      <c r="AH33" s="8">
        <v>1.1082388177629688E-3</v>
      </c>
      <c r="AI33" s="8">
        <v>6.6117158781237141E-3</v>
      </c>
      <c r="AJ33" s="8">
        <v>3.5324234712403826E-4</v>
      </c>
    </row>
    <row r="34" spans="1:36" x14ac:dyDescent="0.2">
      <c r="A34" t="s">
        <v>48</v>
      </c>
      <c r="B34">
        <v>2013</v>
      </c>
      <c r="C34" t="s">
        <v>53</v>
      </c>
      <c r="D34" s="7">
        <v>119</v>
      </c>
      <c r="E34" s="7">
        <v>77</v>
      </c>
      <c r="F34" s="7">
        <v>65</v>
      </c>
      <c r="G34" s="7">
        <v>56</v>
      </c>
      <c r="H34" s="7">
        <v>55</v>
      </c>
      <c r="I34" s="7">
        <v>59</v>
      </c>
      <c r="J34" s="7">
        <v>61</v>
      </c>
      <c r="K34" s="7">
        <v>141</v>
      </c>
      <c r="L34" s="7">
        <v>183</v>
      </c>
      <c r="M34" s="7">
        <v>335</v>
      </c>
      <c r="N34" s="7">
        <v>1151</v>
      </c>
      <c r="O34" s="7">
        <v>201907.75699999995</v>
      </c>
      <c r="P34" s="7">
        <v>409637.83799999993</v>
      </c>
      <c r="Q34" s="7">
        <v>417459.21100000007</v>
      </c>
      <c r="R34" s="7">
        <v>394154.52100000012</v>
      </c>
      <c r="S34" s="7">
        <v>381010.70699999999</v>
      </c>
      <c r="T34" s="7">
        <v>416714.05199999997</v>
      </c>
      <c r="U34" s="7">
        <v>372291.72800000012</v>
      </c>
      <c r="V34" s="7">
        <v>250170.57299999997</v>
      </c>
      <c r="W34" s="7">
        <v>141744.07000000004</v>
      </c>
      <c r="X34" s="7">
        <v>53803.536</v>
      </c>
      <c r="Y34" s="7">
        <v>3038893.9929999998</v>
      </c>
      <c r="Z34" s="8">
        <v>5.8937804950208038E-4</v>
      </c>
      <c r="AA34" s="8">
        <v>1.8797091688585666E-4</v>
      </c>
      <c r="AB34" s="8">
        <v>1.5570383473943755E-4</v>
      </c>
      <c r="AC34" s="8">
        <v>1.420762594779421E-4</v>
      </c>
      <c r="AD34" s="8">
        <v>1.443528987231322E-4</v>
      </c>
      <c r="AE34" s="8">
        <v>1.415838983994713E-4</v>
      </c>
      <c r="AF34" s="8">
        <v>1.6385000098632324E-4</v>
      </c>
      <c r="AG34" s="8">
        <v>5.6361544968760178E-4</v>
      </c>
      <c r="AH34" s="8">
        <v>1.2910593014579018E-3</v>
      </c>
      <c r="AI34" s="8">
        <v>6.2263565725494321E-3</v>
      </c>
      <c r="AJ34" s="8">
        <v>3.7875621941775318E-4</v>
      </c>
    </row>
    <row r="35" spans="1:36" x14ac:dyDescent="0.2">
      <c r="A35" t="s">
        <v>48</v>
      </c>
      <c r="B35">
        <v>2014</v>
      </c>
      <c r="C35" t="s">
        <v>54</v>
      </c>
      <c r="D35" s="7">
        <v>107</v>
      </c>
      <c r="E35" s="7">
        <v>45</v>
      </c>
      <c r="F35" s="7">
        <v>55</v>
      </c>
      <c r="G35" s="7">
        <v>57</v>
      </c>
      <c r="H35" s="7">
        <v>49</v>
      </c>
      <c r="I35" s="7">
        <v>48</v>
      </c>
      <c r="J35" s="7">
        <v>91</v>
      </c>
      <c r="K35" s="7">
        <v>87</v>
      </c>
      <c r="L35" s="7">
        <v>176</v>
      </c>
      <c r="M35" s="7">
        <v>260</v>
      </c>
      <c r="N35" s="7">
        <v>975</v>
      </c>
      <c r="O35" s="7">
        <v>196279.19200000007</v>
      </c>
      <c r="P35" s="7">
        <v>402519.16499999998</v>
      </c>
      <c r="Q35" s="7">
        <v>406389.87399999989</v>
      </c>
      <c r="R35" s="7">
        <v>383401.95300000004</v>
      </c>
      <c r="S35" s="7">
        <v>368471.29700000002</v>
      </c>
      <c r="T35" s="7">
        <v>397398.28599999996</v>
      </c>
      <c r="U35" s="7">
        <v>363029.78399999993</v>
      </c>
      <c r="V35" s="7">
        <v>248650.27500000002</v>
      </c>
      <c r="W35" s="7">
        <v>136221.62299999996</v>
      </c>
      <c r="X35" s="7">
        <v>51222.317000000003</v>
      </c>
      <c r="Y35" s="7">
        <v>2953583.7659999998</v>
      </c>
      <c r="Z35" s="8">
        <v>5.4514184060835123E-4</v>
      </c>
      <c r="AA35" s="8">
        <v>1.1179591908375345E-4</v>
      </c>
      <c r="AB35" s="8">
        <v>1.3533801779716591E-4</v>
      </c>
      <c r="AC35" s="8">
        <v>1.4866903925239003E-4</v>
      </c>
      <c r="AD35" s="8">
        <v>1.3298186425630867E-4</v>
      </c>
      <c r="AE35" s="8">
        <v>1.2078562412320019E-4</v>
      </c>
      <c r="AF35" s="8">
        <v>2.5066813801701742E-4</v>
      </c>
      <c r="AG35" s="8">
        <v>3.4988901580744279E-4</v>
      </c>
      <c r="AH35" s="8">
        <v>1.2920122086638188E-3</v>
      </c>
      <c r="AI35" s="8">
        <v>5.0759125168039548E-3</v>
      </c>
      <c r="AJ35" s="8">
        <v>3.3010744818672602E-4</v>
      </c>
    </row>
    <row r="36" spans="1:36" x14ac:dyDescent="0.2">
      <c r="A36" t="s">
        <v>48</v>
      </c>
      <c r="B36">
        <v>2015</v>
      </c>
      <c r="C36" t="s">
        <v>55</v>
      </c>
      <c r="D36" s="7">
        <v>81</v>
      </c>
      <c r="E36" s="7">
        <v>62</v>
      </c>
      <c r="F36" s="7">
        <v>60</v>
      </c>
      <c r="G36" s="7">
        <v>33</v>
      </c>
      <c r="H36" s="7">
        <v>52</v>
      </c>
      <c r="I36" s="7">
        <v>56</v>
      </c>
      <c r="J36" s="7">
        <v>63</v>
      </c>
      <c r="K36" s="7">
        <v>105</v>
      </c>
      <c r="L36" s="7">
        <v>185</v>
      </c>
      <c r="M36" s="7">
        <v>268</v>
      </c>
      <c r="N36" s="7">
        <v>965</v>
      </c>
      <c r="O36" s="7">
        <v>199687.81900000005</v>
      </c>
      <c r="P36" s="7">
        <v>413785.06599999999</v>
      </c>
      <c r="Q36" s="7">
        <v>420881.75799999997</v>
      </c>
      <c r="R36" s="7">
        <v>402621.25099999993</v>
      </c>
      <c r="S36" s="7">
        <v>382225.924</v>
      </c>
      <c r="T36" s="7">
        <v>409132.609</v>
      </c>
      <c r="U36" s="7">
        <v>389166.625</v>
      </c>
      <c r="V36" s="7">
        <v>276435.07699999993</v>
      </c>
      <c r="W36" s="7">
        <v>148365.69300000003</v>
      </c>
      <c r="X36" s="7">
        <v>57187.350000000013</v>
      </c>
      <c r="Y36" s="7">
        <v>3099489.1720000003</v>
      </c>
      <c r="Z36" s="8">
        <v>4.0563315481952349E-4</v>
      </c>
      <c r="AA36" s="8">
        <v>1.4983624372755879E-4</v>
      </c>
      <c r="AB36" s="8">
        <v>1.4255785350525933E-4</v>
      </c>
      <c r="AC36" s="8">
        <v>8.1962886752840589E-5</v>
      </c>
      <c r="AD36" s="8">
        <v>1.3604519404602185E-4</v>
      </c>
      <c r="AE36" s="8">
        <v>1.3687493680074764E-4</v>
      </c>
      <c r="AF36" s="8">
        <v>1.6188438564072652E-4</v>
      </c>
      <c r="AG36" s="8">
        <v>3.7983602203999612E-4</v>
      </c>
      <c r="AH36" s="8">
        <v>1.2469189895537372E-3</v>
      </c>
      <c r="AI36" s="8">
        <v>4.6863510898826387E-3</v>
      </c>
      <c r="AJ36" s="8">
        <v>3.1134162645818077E-4</v>
      </c>
    </row>
    <row r="37" spans="1:36" x14ac:dyDescent="0.2">
      <c r="A37" t="s">
        <v>48</v>
      </c>
      <c r="B37">
        <v>2016</v>
      </c>
      <c r="C37" t="s">
        <v>56</v>
      </c>
      <c r="D37" s="7">
        <v>99</v>
      </c>
      <c r="E37" s="7">
        <v>44</v>
      </c>
      <c r="F37" s="7">
        <v>51</v>
      </c>
      <c r="G37" s="7">
        <v>35</v>
      </c>
      <c r="H37" s="7">
        <v>53</v>
      </c>
      <c r="I37" s="7">
        <v>55</v>
      </c>
      <c r="J37" s="7">
        <v>48</v>
      </c>
      <c r="K37" s="7">
        <v>119</v>
      </c>
      <c r="L37" s="7">
        <v>164</v>
      </c>
      <c r="M37" s="7">
        <v>239</v>
      </c>
      <c r="N37" s="7">
        <v>907</v>
      </c>
      <c r="O37" s="7">
        <v>196996.36499999996</v>
      </c>
      <c r="P37" s="7">
        <v>411274.76800000016</v>
      </c>
      <c r="Q37" s="7">
        <v>426124.03300000005</v>
      </c>
      <c r="R37" s="7">
        <v>400669.15099999984</v>
      </c>
      <c r="S37" s="7">
        <v>380202.05699999991</v>
      </c>
      <c r="T37" s="7">
        <v>401270.43999999983</v>
      </c>
      <c r="U37" s="7">
        <v>385220.55199999991</v>
      </c>
      <c r="V37" s="7">
        <v>277137.89199999999</v>
      </c>
      <c r="W37" s="7">
        <v>145816.55200000003</v>
      </c>
      <c r="X37" s="7">
        <v>57302.288999999982</v>
      </c>
      <c r="Y37" s="7">
        <v>3082014.0989999995</v>
      </c>
      <c r="Z37" s="8">
        <v>5.0254734395733657E-4</v>
      </c>
      <c r="AA37" s="8">
        <v>1.0698443819923322E-4</v>
      </c>
      <c r="AB37" s="8">
        <v>1.196834631479234E-4</v>
      </c>
      <c r="AC37" s="8">
        <v>8.7353867680219817E-5</v>
      </c>
      <c r="AD37" s="8">
        <v>1.3939956142846436E-4</v>
      </c>
      <c r="AE37" s="8">
        <v>1.3706466890509061E-4</v>
      </c>
      <c r="AF37" s="8">
        <v>1.2460394376881536E-4</v>
      </c>
      <c r="AG37" s="8">
        <v>4.2938913600454174E-4</v>
      </c>
      <c r="AH37" s="8">
        <v>1.1247008501476567E-3</v>
      </c>
      <c r="AI37" s="8">
        <v>4.1708630522595712E-3</v>
      </c>
      <c r="AJ37" s="8">
        <v>2.9428807619481307E-4</v>
      </c>
    </row>
    <row r="38" spans="1:36" x14ac:dyDescent="0.2">
      <c r="A38" t="s">
        <v>48</v>
      </c>
      <c r="B38">
        <v>2017</v>
      </c>
      <c r="C38" t="s">
        <v>57</v>
      </c>
      <c r="D38" s="7">
        <v>101</v>
      </c>
      <c r="E38" s="7">
        <v>55</v>
      </c>
      <c r="F38" s="7">
        <v>53</v>
      </c>
      <c r="G38" s="7">
        <v>54</v>
      </c>
      <c r="H38" s="7">
        <v>42</v>
      </c>
      <c r="I38" s="7">
        <v>48</v>
      </c>
      <c r="J38" s="7">
        <v>70</v>
      </c>
      <c r="K38" s="7">
        <v>117</v>
      </c>
      <c r="L38" s="7">
        <v>220</v>
      </c>
      <c r="M38" s="7">
        <v>240</v>
      </c>
      <c r="N38" s="7">
        <v>1000</v>
      </c>
      <c r="O38" s="7">
        <v>201718</v>
      </c>
      <c r="P38" s="7">
        <v>420355</v>
      </c>
      <c r="Q38" s="7">
        <v>430904</v>
      </c>
      <c r="R38" s="7">
        <v>411178</v>
      </c>
      <c r="S38" s="7">
        <v>389361</v>
      </c>
      <c r="T38" s="7">
        <v>401397</v>
      </c>
      <c r="U38" s="7">
        <v>393915</v>
      </c>
      <c r="V38" s="7">
        <v>289374</v>
      </c>
      <c r="W38" s="7">
        <v>148419</v>
      </c>
      <c r="X38" s="7">
        <v>57541</v>
      </c>
      <c r="Y38" s="7">
        <v>3144162</v>
      </c>
      <c r="Z38" s="8">
        <v>5.0069899562755929E-4</v>
      </c>
      <c r="AA38" s="8">
        <v>1.3084178848830156E-4</v>
      </c>
      <c r="AB38" s="8">
        <v>1.2299723372259251E-4</v>
      </c>
      <c r="AC38" s="8">
        <v>1.3132998360807242E-4</v>
      </c>
      <c r="AD38" s="8">
        <v>1.0786904697696996E-4</v>
      </c>
      <c r="AE38" s="8">
        <v>1.1958235861254569E-4</v>
      </c>
      <c r="AF38" s="8">
        <v>1.7770331162814313E-4</v>
      </c>
      <c r="AG38" s="8">
        <v>4.0432105164942255E-4</v>
      </c>
      <c r="AH38" s="8">
        <v>1.4822900033014642E-3</v>
      </c>
      <c r="AI38" s="8">
        <v>4.1709389826384662E-3</v>
      </c>
      <c r="AJ38" s="8">
        <v>3.1804976970016178E-4</v>
      </c>
    </row>
    <row r="39" spans="1:36" x14ac:dyDescent="0.2">
      <c r="A39" t="s">
        <v>58</v>
      </c>
      <c r="B39">
        <v>2009</v>
      </c>
      <c r="C39" t="s">
        <v>59</v>
      </c>
      <c r="D39" s="7">
        <v>82</v>
      </c>
      <c r="E39" s="7">
        <v>56</v>
      </c>
      <c r="F39" s="7">
        <v>58</v>
      </c>
      <c r="G39" s="7">
        <v>117</v>
      </c>
      <c r="H39" s="7">
        <v>186</v>
      </c>
      <c r="I39" s="7">
        <v>346</v>
      </c>
      <c r="J39" s="7">
        <v>436</v>
      </c>
      <c r="K39" s="7">
        <v>708</v>
      </c>
      <c r="L39" s="7">
        <v>1633</v>
      </c>
      <c r="M39" s="7">
        <v>2856</v>
      </c>
      <c r="N39" s="7">
        <v>6478</v>
      </c>
      <c r="O39" s="7">
        <v>2706816.1960000009</v>
      </c>
      <c r="P39" s="7">
        <v>5123024.9670000002</v>
      </c>
      <c r="Q39" s="7">
        <v>5282080.5820000004</v>
      </c>
      <c r="R39" s="7">
        <v>5291269.3649999993</v>
      </c>
      <c r="S39" s="7">
        <v>5353470.8099999996</v>
      </c>
      <c r="T39" s="7">
        <v>5067792.0830000006</v>
      </c>
      <c r="U39" s="7">
        <v>3565300.6289999997</v>
      </c>
      <c r="V39" s="7">
        <v>2054746.4149999998</v>
      </c>
      <c r="W39" s="7">
        <v>1376966.0410000004</v>
      </c>
      <c r="X39" s="7">
        <v>543958.95400000003</v>
      </c>
      <c r="Y39" s="7">
        <v>36365426.042000003</v>
      </c>
      <c r="Z39" s="8">
        <v>3.0293892921571677E-5</v>
      </c>
      <c r="AA39" s="8">
        <v>1.0931041788928294E-5</v>
      </c>
      <c r="AB39" s="8">
        <v>1.0980521614465593E-5</v>
      </c>
      <c r="AC39" s="8">
        <v>2.2111896395582577E-5</v>
      </c>
      <c r="AD39" s="8">
        <v>3.474381510637209E-5</v>
      </c>
      <c r="AE39" s="8">
        <v>6.8274308482517109E-5</v>
      </c>
      <c r="AF39" s="8">
        <v>1.2228982780683207E-4</v>
      </c>
      <c r="AG39" s="8">
        <v>3.4456806680935374E-4</v>
      </c>
      <c r="AH39" s="8">
        <v>1.1859406487715984E-3</v>
      </c>
      <c r="AI39" s="8">
        <v>5.2503961539715734E-3</v>
      </c>
      <c r="AJ39" s="8">
        <v>1.7813623281955442E-4</v>
      </c>
    </row>
    <row r="40" spans="1:36" x14ac:dyDescent="0.2">
      <c r="A40" t="s">
        <v>58</v>
      </c>
      <c r="B40">
        <v>2010</v>
      </c>
      <c r="C40" t="s">
        <v>60</v>
      </c>
      <c r="D40" s="7">
        <v>139</v>
      </c>
      <c r="E40" s="7">
        <v>61</v>
      </c>
      <c r="F40" s="7">
        <v>66</v>
      </c>
      <c r="G40" s="7">
        <v>65</v>
      </c>
      <c r="H40" s="7">
        <v>71</v>
      </c>
      <c r="I40" s="7">
        <v>143</v>
      </c>
      <c r="J40" s="7">
        <v>351</v>
      </c>
      <c r="K40" s="7">
        <v>695</v>
      </c>
      <c r="L40" s="7">
        <v>1579</v>
      </c>
      <c r="M40" s="7">
        <v>2955</v>
      </c>
      <c r="N40" s="7">
        <v>6125</v>
      </c>
      <c r="O40" s="7">
        <v>2535634.203999999</v>
      </c>
      <c r="P40" s="7">
        <v>5069381.2720000017</v>
      </c>
      <c r="Q40" s="7">
        <v>5478728.7649999997</v>
      </c>
      <c r="R40" s="7">
        <v>5214198.7339999992</v>
      </c>
      <c r="S40" s="7">
        <v>5246795.1690000007</v>
      </c>
      <c r="T40" s="7">
        <v>5104320.8229999999</v>
      </c>
      <c r="U40" s="7">
        <v>3730652.4450000003</v>
      </c>
      <c r="V40" s="7">
        <v>2113248.1669999994</v>
      </c>
      <c r="W40" s="7">
        <v>1351939.3490000002</v>
      </c>
      <c r="X40" s="7">
        <v>555556.43999999971</v>
      </c>
      <c r="Y40" s="7">
        <v>36400455.367999993</v>
      </c>
      <c r="Z40" s="8">
        <v>5.4818632664256354E-5</v>
      </c>
      <c r="AA40" s="8">
        <v>1.203302666085203E-5</v>
      </c>
      <c r="AB40" s="8">
        <v>1.2046590154568458E-5</v>
      </c>
      <c r="AC40" s="8">
        <v>1.2465961371237602E-5</v>
      </c>
      <c r="AD40" s="8">
        <v>1.3532070094806477E-5</v>
      </c>
      <c r="AE40" s="8">
        <v>2.8015480405472156E-5</v>
      </c>
      <c r="AF40" s="8">
        <v>9.4085419420516389E-5</v>
      </c>
      <c r="AG40" s="8">
        <v>3.2887760692424165E-4</v>
      </c>
      <c r="AH40" s="8">
        <v>1.1679518028437825E-3</v>
      </c>
      <c r="AI40" s="8">
        <v>5.3189915321654839E-3</v>
      </c>
      <c r="AJ40" s="8">
        <v>1.6826712572899703E-4</v>
      </c>
    </row>
    <row r="41" spans="1:36" x14ac:dyDescent="0.2">
      <c r="A41" t="s">
        <v>58</v>
      </c>
      <c r="B41">
        <v>2011</v>
      </c>
      <c r="C41" t="s">
        <v>61</v>
      </c>
      <c r="D41" s="7">
        <v>77</v>
      </c>
      <c r="E41" s="7">
        <v>57</v>
      </c>
      <c r="F41" s="7">
        <v>61</v>
      </c>
      <c r="G41" s="7">
        <v>74</v>
      </c>
      <c r="H41" s="7">
        <v>88</v>
      </c>
      <c r="I41" s="7">
        <v>215</v>
      </c>
      <c r="J41" s="7">
        <v>444</v>
      </c>
      <c r="K41" s="7">
        <v>671</v>
      </c>
      <c r="L41" s="7">
        <v>1617</v>
      </c>
      <c r="M41" s="7">
        <v>3050</v>
      </c>
      <c r="N41" s="7">
        <v>6354</v>
      </c>
      <c r="O41" s="7">
        <v>2550935.4789999994</v>
      </c>
      <c r="P41" s="7">
        <v>5082233.2949999999</v>
      </c>
      <c r="Q41" s="7">
        <v>5558879.1849999987</v>
      </c>
      <c r="R41" s="7">
        <v>5287964.2290000003</v>
      </c>
      <c r="S41" s="7">
        <v>5241877.3740000008</v>
      </c>
      <c r="T41" s="7">
        <v>5203081.4630000005</v>
      </c>
      <c r="U41" s="7">
        <v>3913560.1799999997</v>
      </c>
      <c r="V41" s="7">
        <v>2221492.0700000008</v>
      </c>
      <c r="W41" s="7">
        <v>1381366.4650000003</v>
      </c>
      <c r="X41" s="7">
        <v>582306.38</v>
      </c>
      <c r="Y41" s="7">
        <v>37023696.120000012</v>
      </c>
      <c r="Z41" s="8">
        <v>3.018500492618693E-5</v>
      </c>
      <c r="AA41" s="8">
        <v>1.1215541808377374E-5</v>
      </c>
      <c r="AB41" s="8">
        <v>1.0973435106235362E-5</v>
      </c>
      <c r="AC41" s="8">
        <v>1.3994043226346492E-5</v>
      </c>
      <c r="AD41" s="8">
        <v>1.678787841098398E-5</v>
      </c>
      <c r="AE41" s="8">
        <v>4.1321667079191757E-5</v>
      </c>
      <c r="AF41" s="8">
        <v>1.1345168582536018E-4</v>
      </c>
      <c r="AG41" s="8">
        <v>3.0204924386698339E-4</v>
      </c>
      <c r="AH41" s="8">
        <v>1.1705800314183823E-3</v>
      </c>
      <c r="AI41" s="8">
        <v>5.2377925174029519E-3</v>
      </c>
      <c r="AJ41" s="8">
        <v>1.7161981827545309E-4</v>
      </c>
    </row>
    <row r="42" spans="1:36" x14ac:dyDescent="0.2">
      <c r="A42" t="s">
        <v>58</v>
      </c>
      <c r="B42">
        <v>2012</v>
      </c>
      <c r="C42" t="s">
        <v>62</v>
      </c>
      <c r="D42" s="7">
        <v>115</v>
      </c>
      <c r="E42" s="7">
        <v>57</v>
      </c>
      <c r="F42" s="7">
        <v>47</v>
      </c>
      <c r="G42" s="7">
        <v>63</v>
      </c>
      <c r="H42" s="7">
        <v>70</v>
      </c>
      <c r="I42" s="7">
        <v>161</v>
      </c>
      <c r="J42" s="7">
        <v>412</v>
      </c>
      <c r="K42" s="7">
        <v>738</v>
      </c>
      <c r="L42" s="7">
        <v>1443</v>
      </c>
      <c r="M42" s="7">
        <v>2938</v>
      </c>
      <c r="N42" s="7">
        <v>6044</v>
      </c>
      <c r="O42" s="7">
        <v>2540633.5990000004</v>
      </c>
      <c r="P42" s="7">
        <v>5085616.5679999981</v>
      </c>
      <c r="Q42" s="7">
        <v>5593680.0479999967</v>
      </c>
      <c r="R42" s="7">
        <v>5343851.8800000008</v>
      </c>
      <c r="S42" s="7">
        <v>5201616.7860000022</v>
      </c>
      <c r="T42" s="7">
        <v>5222276.1769999973</v>
      </c>
      <c r="U42" s="7">
        <v>4050261.6359999999</v>
      </c>
      <c r="V42" s="7">
        <v>2307167.7280000006</v>
      </c>
      <c r="W42" s="7">
        <v>1393418.5709999995</v>
      </c>
      <c r="X42" s="7">
        <v>614601.32299999997</v>
      </c>
      <c r="Y42" s="7">
        <v>37353124.316</v>
      </c>
      <c r="Z42" s="8">
        <v>4.526429944296741E-5</v>
      </c>
      <c r="AA42" s="8">
        <v>1.1208080522361555E-5</v>
      </c>
      <c r="AB42" s="8">
        <v>8.4023397113684955E-6</v>
      </c>
      <c r="AC42" s="8">
        <v>1.1789248919077448E-5</v>
      </c>
      <c r="AD42" s="8">
        <v>1.3457354295764911E-5</v>
      </c>
      <c r="AE42" s="8">
        <v>3.0829468711187253E-5</v>
      </c>
      <c r="AF42" s="8">
        <v>1.017218236812196E-4</v>
      </c>
      <c r="AG42" s="8">
        <v>3.1987271278267453E-4</v>
      </c>
      <c r="AH42" s="8">
        <v>1.0355825808783486E-3</v>
      </c>
      <c r="AI42" s="8">
        <v>4.7803346495562298E-3</v>
      </c>
      <c r="AJ42" s="8">
        <v>1.6180708068404032E-4</v>
      </c>
    </row>
    <row r="43" spans="1:36" x14ac:dyDescent="0.2">
      <c r="A43" t="s">
        <v>58</v>
      </c>
      <c r="B43">
        <v>2013</v>
      </c>
      <c r="C43" t="s">
        <v>63</v>
      </c>
      <c r="D43" s="7">
        <v>101</v>
      </c>
      <c r="E43" s="7">
        <v>48</v>
      </c>
      <c r="F43" s="7">
        <v>44</v>
      </c>
      <c r="G43" s="7">
        <v>54</v>
      </c>
      <c r="H43" s="7">
        <v>65</v>
      </c>
      <c r="I43" s="7">
        <v>179</v>
      </c>
      <c r="J43" s="7">
        <v>501</v>
      </c>
      <c r="K43" s="7">
        <v>828</v>
      </c>
      <c r="L43" s="7">
        <v>1602</v>
      </c>
      <c r="M43" s="7">
        <v>3264</v>
      </c>
      <c r="N43" s="7">
        <v>6686</v>
      </c>
      <c r="O43" s="7">
        <v>2522088.5890000002</v>
      </c>
      <c r="P43" s="7">
        <v>5077940.6240000008</v>
      </c>
      <c r="Q43" s="7">
        <v>5597481.0320000006</v>
      </c>
      <c r="R43" s="7">
        <v>5417259.5190000013</v>
      </c>
      <c r="S43" s="7">
        <v>5167787.5770000005</v>
      </c>
      <c r="T43" s="7">
        <v>5231351.8089999994</v>
      </c>
      <c r="U43" s="7">
        <v>4177180.9870000002</v>
      </c>
      <c r="V43" s="7">
        <v>2422926.571</v>
      </c>
      <c r="W43" s="7">
        <v>1392902.209</v>
      </c>
      <c r="X43" s="7">
        <v>627498.29699999979</v>
      </c>
      <c r="Y43" s="7">
        <v>37634417.214000002</v>
      </c>
      <c r="Z43" s="8">
        <v>4.0046174603266479E-5</v>
      </c>
      <c r="AA43" s="8">
        <v>9.4526508981094372E-6</v>
      </c>
      <c r="AB43" s="8">
        <v>7.8606787139533434E-6</v>
      </c>
      <c r="AC43" s="8">
        <v>9.9681397597078996E-6</v>
      </c>
      <c r="AD43" s="8">
        <v>1.2577916377463359E-5</v>
      </c>
      <c r="AE43" s="8">
        <v>3.4216777333164443E-5</v>
      </c>
      <c r="AF43" s="8">
        <v>1.1993734567862524E-4</v>
      </c>
      <c r="AG43" s="8">
        <v>3.4173549042316396E-4</v>
      </c>
      <c r="AH43" s="8">
        <v>1.1501166339237243E-3</v>
      </c>
      <c r="AI43" s="8">
        <v>5.2016077423712934E-3</v>
      </c>
      <c r="AJ43" s="8">
        <v>1.7765653077557976E-4</v>
      </c>
    </row>
    <row r="44" spans="1:36" x14ac:dyDescent="0.2">
      <c r="A44" t="s">
        <v>58</v>
      </c>
      <c r="B44">
        <v>2014</v>
      </c>
      <c r="C44" t="s">
        <v>64</v>
      </c>
      <c r="D44" s="7">
        <v>111</v>
      </c>
      <c r="E44" s="7">
        <v>44</v>
      </c>
      <c r="F44" s="7">
        <v>57</v>
      </c>
      <c r="G44" s="7">
        <v>82</v>
      </c>
      <c r="H44" s="7">
        <v>130</v>
      </c>
      <c r="I44" s="7">
        <v>260</v>
      </c>
      <c r="J44" s="7">
        <v>589</v>
      </c>
      <c r="K44" s="7">
        <v>800</v>
      </c>
      <c r="L44" s="7">
        <v>1450</v>
      </c>
      <c r="M44" s="7">
        <v>2638</v>
      </c>
      <c r="N44" s="7">
        <v>6161</v>
      </c>
      <c r="O44" s="7">
        <v>2530763.7670000009</v>
      </c>
      <c r="P44" s="7">
        <v>5083982.9879999999</v>
      </c>
      <c r="Q44" s="7">
        <v>5604585.1109999977</v>
      </c>
      <c r="R44" s="7">
        <v>5521305.3030000003</v>
      </c>
      <c r="S44" s="7">
        <v>5176197.3810000001</v>
      </c>
      <c r="T44" s="7">
        <v>5248356.5350000029</v>
      </c>
      <c r="U44" s="7">
        <v>4314749.2699999996</v>
      </c>
      <c r="V44" s="7">
        <v>2551854.8160000006</v>
      </c>
      <c r="W44" s="7">
        <v>1417003.8309999993</v>
      </c>
      <c r="X44" s="7">
        <v>652687.04499999981</v>
      </c>
      <c r="Y44" s="7">
        <v>38101486.047000006</v>
      </c>
      <c r="Z44" s="8">
        <v>4.3860277062359238E-5</v>
      </c>
      <c r="AA44" s="8">
        <v>8.6546316350498383E-6</v>
      </c>
      <c r="AB44" s="8">
        <v>1.0170244339429753E-5</v>
      </c>
      <c r="AC44" s="8">
        <v>1.4851560545917523E-5</v>
      </c>
      <c r="AD44" s="8">
        <v>2.5114961897933853E-5</v>
      </c>
      <c r="AE44" s="8">
        <v>4.953931735889583E-5</v>
      </c>
      <c r="AF44" s="8">
        <v>1.3650851142040985E-4</v>
      </c>
      <c r="AG44" s="8">
        <v>3.1349745878332907E-4</v>
      </c>
      <c r="AH44" s="8">
        <v>1.0232858714127222E-3</v>
      </c>
      <c r="AI44" s="8">
        <v>4.0417532724278307E-3</v>
      </c>
      <c r="AJ44" s="8">
        <v>1.616997298320625E-4</v>
      </c>
    </row>
    <row r="45" spans="1:36" x14ac:dyDescent="0.2">
      <c r="A45" t="s">
        <v>58</v>
      </c>
      <c r="B45">
        <v>2015</v>
      </c>
      <c r="C45" t="s">
        <v>65</v>
      </c>
      <c r="D45" s="7">
        <v>125</v>
      </c>
      <c r="E45" s="7">
        <v>56</v>
      </c>
      <c r="F45" s="7">
        <v>56</v>
      </c>
      <c r="G45" s="7">
        <v>71</v>
      </c>
      <c r="H45" s="7">
        <v>66</v>
      </c>
      <c r="I45" s="7">
        <v>174</v>
      </c>
      <c r="J45" s="7">
        <v>441</v>
      </c>
      <c r="K45" s="7">
        <v>869</v>
      </c>
      <c r="L45" s="7">
        <v>1537</v>
      </c>
      <c r="M45" s="7">
        <v>3017</v>
      </c>
      <c r="N45" s="7">
        <v>6412</v>
      </c>
      <c r="O45" s="7">
        <v>2531065.9679999999</v>
      </c>
      <c r="P45" s="7">
        <v>5105229.4950000001</v>
      </c>
      <c r="Q45" s="7">
        <v>5609051.987999999</v>
      </c>
      <c r="R45" s="7">
        <v>5651299.5779999997</v>
      </c>
      <c r="S45" s="7">
        <v>5209107.8180000009</v>
      </c>
      <c r="T45" s="7">
        <v>5282260.0699999975</v>
      </c>
      <c r="U45" s="7">
        <v>4452941.932</v>
      </c>
      <c r="V45" s="7">
        <v>2704567.6330000008</v>
      </c>
      <c r="W45" s="7">
        <v>1454993.4750000003</v>
      </c>
      <c r="X45" s="7">
        <v>665943.7420000002</v>
      </c>
      <c r="Y45" s="7">
        <v>38666461.698999994</v>
      </c>
      <c r="Z45" s="8">
        <v>4.9386306631420048E-5</v>
      </c>
      <c r="AA45" s="8">
        <v>1.0969144492886309E-5</v>
      </c>
      <c r="AB45" s="8">
        <v>9.9838618218918907E-6</v>
      </c>
      <c r="AC45" s="8">
        <v>1.256348190713453E-5</v>
      </c>
      <c r="AD45" s="8">
        <v>1.267011594038002E-5</v>
      </c>
      <c r="AE45" s="8">
        <v>3.2940445508961861E-5</v>
      </c>
      <c r="AF45" s="8">
        <v>9.9035650303647387E-5</v>
      </c>
      <c r="AG45" s="8">
        <v>3.2130828950137027E-4</v>
      </c>
      <c r="AH45" s="8">
        <v>1.0563621256102194E-3</v>
      </c>
      <c r="AI45" s="8">
        <v>4.5304127206589155E-3</v>
      </c>
      <c r="AJ45" s="8">
        <v>1.6582846524500661E-4</v>
      </c>
    </row>
    <row r="46" spans="1:36" x14ac:dyDescent="0.2">
      <c r="A46" t="s">
        <v>58</v>
      </c>
      <c r="B46">
        <v>2016</v>
      </c>
      <c r="C46" t="s">
        <v>66</v>
      </c>
      <c r="D46" s="7">
        <v>116</v>
      </c>
      <c r="E46" s="7">
        <v>41</v>
      </c>
      <c r="F46" s="7">
        <v>64</v>
      </c>
      <c r="G46" s="7">
        <v>54</v>
      </c>
      <c r="H46" s="7">
        <v>77</v>
      </c>
      <c r="I46" s="7">
        <v>181</v>
      </c>
      <c r="J46" s="7">
        <v>511</v>
      </c>
      <c r="K46" s="7">
        <v>921</v>
      </c>
      <c r="L46" s="7">
        <v>1439</v>
      </c>
      <c r="M46" s="7">
        <v>2725</v>
      </c>
      <c r="N46" s="7">
        <v>6129</v>
      </c>
      <c r="O46" s="7">
        <v>2508555.6439999999</v>
      </c>
      <c r="P46" s="7">
        <v>5098479.6119999988</v>
      </c>
      <c r="Q46" s="7">
        <v>5551533.1660000002</v>
      </c>
      <c r="R46" s="7">
        <v>5732935.8769999994</v>
      </c>
      <c r="S46" s="7">
        <v>5183447.8929999992</v>
      </c>
      <c r="T46" s="7">
        <v>5233504.2580000004</v>
      </c>
      <c r="U46" s="7">
        <v>4530278.8569999989</v>
      </c>
      <c r="V46" s="7">
        <v>2837645.6860000012</v>
      </c>
      <c r="W46" s="7">
        <v>1489475.1889999998</v>
      </c>
      <c r="X46" s="7">
        <v>679341.22999999986</v>
      </c>
      <c r="Y46" s="7">
        <v>38845197.412</v>
      </c>
      <c r="Z46" s="8">
        <v>4.6241748823650975E-5</v>
      </c>
      <c r="AA46" s="8">
        <v>8.0416130141033916E-6</v>
      </c>
      <c r="AB46" s="8">
        <v>1.1528346870367953E-5</v>
      </c>
      <c r="AC46" s="8">
        <v>9.4192576296977139E-6</v>
      </c>
      <c r="AD46" s="8">
        <v>1.485497714831567E-5</v>
      </c>
      <c r="AE46" s="8">
        <v>3.4584857693259947E-5</v>
      </c>
      <c r="AF46" s="8">
        <v>1.1279658849486141E-4</v>
      </c>
      <c r="AG46" s="8">
        <v>3.2456483363793701E-4</v>
      </c>
      <c r="AH46" s="8">
        <v>9.6611209815862205E-4</v>
      </c>
      <c r="AI46" s="8">
        <v>4.0112389468838815E-3</v>
      </c>
      <c r="AJ46" s="8">
        <v>1.5778012234033952E-4</v>
      </c>
    </row>
    <row r="47" spans="1:36" x14ac:dyDescent="0.2">
      <c r="A47" t="s">
        <v>58</v>
      </c>
      <c r="B47">
        <v>2017</v>
      </c>
      <c r="C47" t="s">
        <v>67</v>
      </c>
      <c r="D47" s="7">
        <v>101</v>
      </c>
      <c r="E47" s="7">
        <v>59</v>
      </c>
      <c r="F47" s="7">
        <v>66</v>
      </c>
      <c r="G47" s="7">
        <v>57</v>
      </c>
      <c r="H47" s="7">
        <v>74</v>
      </c>
      <c r="I47" s="7">
        <v>168</v>
      </c>
      <c r="J47" s="7">
        <v>503</v>
      </c>
      <c r="K47" s="7">
        <v>930</v>
      </c>
      <c r="L47" s="7">
        <v>1595</v>
      </c>
      <c r="M47" s="7">
        <v>2985</v>
      </c>
      <c r="N47" s="7">
        <v>6538</v>
      </c>
      <c r="O47" s="7">
        <v>2481106</v>
      </c>
      <c r="P47" s="7">
        <v>5049210</v>
      </c>
      <c r="Q47" s="7">
        <v>5411205</v>
      </c>
      <c r="R47" s="7">
        <v>5792865</v>
      </c>
      <c r="S47" s="7">
        <v>5157522</v>
      </c>
      <c r="T47" s="7">
        <v>5179282</v>
      </c>
      <c r="U47" s="7">
        <v>4573860</v>
      </c>
      <c r="V47" s="7">
        <v>2930983</v>
      </c>
      <c r="W47" s="7">
        <v>1498514</v>
      </c>
      <c r="X47" s="7">
        <v>685572</v>
      </c>
      <c r="Y47" s="7">
        <v>38760119</v>
      </c>
      <c r="Z47" s="8">
        <v>4.0707652151903221E-5</v>
      </c>
      <c r="AA47" s="8">
        <v>1.1684996266742718E-5</v>
      </c>
      <c r="AB47" s="8">
        <v>1.2196913626447344E-5</v>
      </c>
      <c r="AC47" s="8">
        <v>9.8396907229842227E-6</v>
      </c>
      <c r="AD47" s="8">
        <v>1.4347975636361803E-5</v>
      </c>
      <c r="AE47" s="8">
        <v>3.2436928516346471E-5</v>
      </c>
      <c r="AF47" s="8">
        <v>1.0997275823921151E-4</v>
      </c>
      <c r="AG47" s="8">
        <v>3.1729969092280643E-4</v>
      </c>
      <c r="AH47" s="8">
        <v>1.064387786834157E-3</v>
      </c>
      <c r="AI47" s="8">
        <v>4.3540284609056377E-3</v>
      </c>
      <c r="AJ47" s="8">
        <v>1.6867853269490735E-4</v>
      </c>
    </row>
    <row r="48" spans="1:36" x14ac:dyDescent="0.2">
      <c r="A48" t="s">
        <v>68</v>
      </c>
      <c r="B48">
        <v>2009</v>
      </c>
      <c r="C48" t="s">
        <v>69</v>
      </c>
      <c r="D48" s="7">
        <v>83</v>
      </c>
      <c r="E48" s="7">
        <v>45</v>
      </c>
      <c r="F48" s="7">
        <v>64</v>
      </c>
      <c r="G48" s="7">
        <v>45</v>
      </c>
      <c r="H48" s="7">
        <v>69</v>
      </c>
      <c r="I48" s="7">
        <v>54</v>
      </c>
      <c r="J48" s="7">
        <v>79</v>
      </c>
      <c r="K48" s="7">
        <v>54</v>
      </c>
      <c r="L48" s="7">
        <v>152</v>
      </c>
      <c r="M48" s="7">
        <v>266</v>
      </c>
      <c r="N48" s="7">
        <v>911</v>
      </c>
      <c r="O48" s="7">
        <v>353745.75300000014</v>
      </c>
      <c r="P48" s="7">
        <v>648427.84299999999</v>
      </c>
      <c r="Q48" s="7">
        <v>691208.64600000018</v>
      </c>
      <c r="R48" s="7">
        <v>702724.66000000027</v>
      </c>
      <c r="S48" s="7">
        <v>714311.37500000012</v>
      </c>
      <c r="T48" s="7">
        <v>731145.60599999991</v>
      </c>
      <c r="U48" s="7">
        <v>522396.69200000016</v>
      </c>
      <c r="V48" s="7">
        <v>271109.02100000007</v>
      </c>
      <c r="W48" s="7">
        <v>165377.90499999997</v>
      </c>
      <c r="X48" s="7">
        <v>63453.125000000015</v>
      </c>
      <c r="Y48" s="7">
        <v>4863900.6260000002</v>
      </c>
      <c r="Z48" s="8">
        <v>2.3463179217306381E-4</v>
      </c>
      <c r="AA48" s="8">
        <v>6.9398623895920524E-5</v>
      </c>
      <c r="AB48" s="8">
        <v>9.2591434395917534E-5</v>
      </c>
      <c r="AC48" s="8">
        <v>6.403646059610315E-5</v>
      </c>
      <c r="AD48" s="8">
        <v>9.6596529769668002E-5</v>
      </c>
      <c r="AE48" s="8">
        <v>7.3856697704068543E-5</v>
      </c>
      <c r="AF48" s="8">
        <v>1.5122607246525208E-4</v>
      </c>
      <c r="AG48" s="8">
        <v>1.9918186344673492E-4</v>
      </c>
      <c r="AH48" s="8">
        <v>9.1910705967644245E-4</v>
      </c>
      <c r="AI48" s="8">
        <v>4.1920709184929813E-3</v>
      </c>
      <c r="AJ48" s="8">
        <v>1.8729823449316498E-4</v>
      </c>
    </row>
    <row r="49" spans="1:36" x14ac:dyDescent="0.2">
      <c r="A49" t="s">
        <v>68</v>
      </c>
      <c r="B49">
        <v>2010</v>
      </c>
      <c r="C49" t="s">
        <v>70</v>
      </c>
      <c r="D49" s="7">
        <v>91</v>
      </c>
      <c r="E49" s="7">
        <v>52</v>
      </c>
      <c r="F49" s="7">
        <v>56</v>
      </c>
      <c r="G49" s="7">
        <v>57</v>
      </c>
      <c r="H49" s="7">
        <v>43</v>
      </c>
      <c r="I49" s="7">
        <v>61</v>
      </c>
      <c r="J49" s="7">
        <v>46</v>
      </c>
      <c r="K49" s="7">
        <v>48</v>
      </c>
      <c r="L49" s="7">
        <v>133</v>
      </c>
      <c r="M49" s="7">
        <v>260</v>
      </c>
      <c r="N49" s="7">
        <v>847</v>
      </c>
      <c r="O49" s="7">
        <v>341491.96199999994</v>
      </c>
      <c r="P49" s="7">
        <v>663264.41800000006</v>
      </c>
      <c r="Q49" s="7">
        <v>689283.54800000007</v>
      </c>
      <c r="R49" s="7">
        <v>703637.26499999966</v>
      </c>
      <c r="S49" s="7">
        <v>706238.1109999998</v>
      </c>
      <c r="T49" s="7">
        <v>734199.15600000008</v>
      </c>
      <c r="U49" s="7">
        <v>553285.91599999997</v>
      </c>
      <c r="V49" s="7">
        <v>285350.03700000013</v>
      </c>
      <c r="W49" s="7">
        <v>168567.77599999995</v>
      </c>
      <c r="X49" s="7">
        <v>67422.401999999987</v>
      </c>
      <c r="Y49" s="7">
        <v>4912740.5909999991</v>
      </c>
      <c r="Z49" s="8">
        <v>2.6647772166303585E-4</v>
      </c>
      <c r="AA49" s="8">
        <v>7.8400104978946714E-5</v>
      </c>
      <c r="AB49" s="8">
        <v>8.1243778648841321E-5</v>
      </c>
      <c r="AC49" s="8">
        <v>8.1007648166559263E-5</v>
      </c>
      <c r="AD49" s="8">
        <v>6.0885980705733979E-5</v>
      </c>
      <c r="AE49" s="8">
        <v>8.30837239480564E-5</v>
      </c>
      <c r="AF49" s="8">
        <v>8.3139654688047405E-5</v>
      </c>
      <c r="AG49" s="8">
        <v>1.6821445164207207E-4</v>
      </c>
      <c r="AH49" s="8">
        <v>7.890001467421629E-4</v>
      </c>
      <c r="AI49" s="8">
        <v>3.8562850371305379E-3</v>
      </c>
      <c r="AJ49" s="8">
        <v>1.7240885902904783E-4</v>
      </c>
    </row>
    <row r="50" spans="1:36" x14ac:dyDescent="0.2">
      <c r="A50" t="s">
        <v>68</v>
      </c>
      <c r="B50">
        <v>2011</v>
      </c>
      <c r="C50" t="s">
        <v>71</v>
      </c>
      <c r="D50" s="7">
        <v>111</v>
      </c>
      <c r="E50" s="7">
        <v>39</v>
      </c>
      <c r="F50" s="7">
        <v>36</v>
      </c>
      <c r="G50" s="7">
        <v>57</v>
      </c>
      <c r="H50" s="7">
        <v>53</v>
      </c>
      <c r="I50" s="7">
        <v>68</v>
      </c>
      <c r="J50" s="7">
        <v>70</v>
      </c>
      <c r="K50" s="7">
        <v>66</v>
      </c>
      <c r="L50" s="7">
        <v>128</v>
      </c>
      <c r="M50" s="7">
        <v>272</v>
      </c>
      <c r="N50" s="7">
        <v>900</v>
      </c>
      <c r="O50" s="7">
        <v>348340.60199999978</v>
      </c>
      <c r="P50" s="7">
        <v>681797.92400000012</v>
      </c>
      <c r="Q50" s="7">
        <v>703290.31799999997</v>
      </c>
      <c r="R50" s="7">
        <v>724099.77400000009</v>
      </c>
      <c r="S50" s="7">
        <v>713064.10999999975</v>
      </c>
      <c r="T50" s="7">
        <v>747187.55800000019</v>
      </c>
      <c r="U50" s="7">
        <v>583857.90599999973</v>
      </c>
      <c r="V50" s="7">
        <v>305320.66499999998</v>
      </c>
      <c r="W50" s="7">
        <v>173396.42299999986</v>
      </c>
      <c r="X50" s="7">
        <v>70467.198999999993</v>
      </c>
      <c r="Y50" s="7">
        <v>5050822.4789999994</v>
      </c>
      <c r="Z50" s="8">
        <v>3.1865363774045519E-4</v>
      </c>
      <c r="AA50" s="8">
        <v>5.7201699546389338E-5</v>
      </c>
      <c r="AB50" s="8">
        <v>5.118796474033075E-5</v>
      </c>
      <c r="AC50" s="8">
        <v>7.8718433628457388E-5</v>
      </c>
      <c r="AD50" s="8">
        <v>7.4327117655662145E-5</v>
      </c>
      <c r="AE50" s="8">
        <v>9.1007939401474853E-5</v>
      </c>
      <c r="AF50" s="8">
        <v>1.198921848632123E-4</v>
      </c>
      <c r="AG50" s="8">
        <v>2.1616617401249276E-4</v>
      </c>
      <c r="AH50" s="8">
        <v>7.3819285187907307E-4</v>
      </c>
      <c r="AI50" s="8">
        <v>3.8599519189062704E-3</v>
      </c>
      <c r="AJ50" s="8">
        <v>1.7818880068384209E-4</v>
      </c>
    </row>
    <row r="51" spans="1:36" x14ac:dyDescent="0.2">
      <c r="A51" t="s">
        <v>68</v>
      </c>
      <c r="B51">
        <v>2012</v>
      </c>
      <c r="C51" t="s">
        <v>72</v>
      </c>
      <c r="D51" s="7">
        <v>77</v>
      </c>
      <c r="E51" s="7">
        <v>75</v>
      </c>
      <c r="F51" s="7">
        <v>33</v>
      </c>
      <c r="G51" s="7">
        <v>45</v>
      </c>
      <c r="H51" s="7">
        <v>55</v>
      </c>
      <c r="I51" s="7">
        <v>50</v>
      </c>
      <c r="J51" s="7">
        <v>32</v>
      </c>
      <c r="K51" s="7">
        <v>44</v>
      </c>
      <c r="L51" s="7">
        <v>129</v>
      </c>
      <c r="M51" s="7">
        <v>254</v>
      </c>
      <c r="N51" s="7">
        <v>794</v>
      </c>
      <c r="O51" s="7">
        <v>337654.55700000009</v>
      </c>
      <c r="P51" s="7">
        <v>675523.94399999978</v>
      </c>
      <c r="Q51" s="7">
        <v>687480.08800000011</v>
      </c>
      <c r="R51" s="7">
        <v>723225.87899999984</v>
      </c>
      <c r="S51" s="7">
        <v>696489.09299999999</v>
      </c>
      <c r="T51" s="7">
        <v>729752.95900000015</v>
      </c>
      <c r="U51" s="7">
        <v>596912.92600000033</v>
      </c>
      <c r="V51" s="7">
        <v>316002.33599999995</v>
      </c>
      <c r="W51" s="7">
        <v>171605.11999999997</v>
      </c>
      <c r="X51" s="7">
        <v>71939.259000000005</v>
      </c>
      <c r="Y51" s="7">
        <v>5006586.1610000003</v>
      </c>
      <c r="Z51" s="8">
        <v>2.2804371628841954E-4</v>
      </c>
      <c r="AA51" s="8">
        <v>1.1102493207849938E-4</v>
      </c>
      <c r="AB51" s="8">
        <v>4.8001390259902326E-5</v>
      </c>
      <c r="AC51" s="8">
        <v>6.2221224802161721E-5</v>
      </c>
      <c r="AD51" s="8">
        <v>7.8967496480235617E-5</v>
      </c>
      <c r="AE51" s="8">
        <v>6.8516337458249339E-5</v>
      </c>
      <c r="AF51" s="8">
        <v>5.3609159068537213E-5</v>
      </c>
      <c r="AG51" s="8">
        <v>1.3923947701449904E-4</v>
      </c>
      <c r="AH51" s="8">
        <v>7.51725822632798E-4</v>
      </c>
      <c r="AI51" s="8">
        <v>3.5307564121559824E-3</v>
      </c>
      <c r="AJ51" s="8">
        <v>1.5859109869816141E-4</v>
      </c>
    </row>
    <row r="52" spans="1:36" x14ac:dyDescent="0.2">
      <c r="A52" t="s">
        <v>68</v>
      </c>
      <c r="B52">
        <v>2013</v>
      </c>
      <c r="C52" t="s">
        <v>73</v>
      </c>
      <c r="D52" s="7">
        <v>96</v>
      </c>
      <c r="E52" s="7">
        <v>57</v>
      </c>
      <c r="F52" s="7">
        <v>55</v>
      </c>
      <c r="G52" s="7">
        <v>71</v>
      </c>
      <c r="H52" s="7">
        <v>74</v>
      </c>
      <c r="I52" s="7">
        <v>52</v>
      </c>
      <c r="J52" s="7">
        <v>76</v>
      </c>
      <c r="K52" s="7">
        <v>70</v>
      </c>
      <c r="L52" s="7">
        <v>109</v>
      </c>
      <c r="M52" s="7">
        <v>280</v>
      </c>
      <c r="N52" s="7">
        <v>940</v>
      </c>
      <c r="O52" s="7">
        <v>343737.00499999989</v>
      </c>
      <c r="P52" s="7">
        <v>697828.60900000005</v>
      </c>
      <c r="Q52" s="7">
        <v>706991.24300000002</v>
      </c>
      <c r="R52" s="7">
        <v>751547.54700000025</v>
      </c>
      <c r="S52" s="7">
        <v>711874.05399999965</v>
      </c>
      <c r="T52" s="7">
        <v>740513.10599999968</v>
      </c>
      <c r="U52" s="7">
        <v>628671.11900000006</v>
      </c>
      <c r="V52" s="7">
        <v>343268.37999999983</v>
      </c>
      <c r="W52" s="7">
        <v>177608.52800000002</v>
      </c>
      <c r="X52" s="7">
        <v>73987.858999999997</v>
      </c>
      <c r="Y52" s="7">
        <v>5176027.4499999993</v>
      </c>
      <c r="Z52" s="8">
        <v>2.7928328519648336E-4</v>
      </c>
      <c r="AA52" s="8">
        <v>8.1681947780389713E-5</v>
      </c>
      <c r="AB52" s="8">
        <v>7.7794457208008155E-5</v>
      </c>
      <c r="AC52" s="8">
        <v>9.4471734068476683E-5</v>
      </c>
      <c r="AD52" s="8">
        <v>1.0395097220385565E-4</v>
      </c>
      <c r="AE52" s="8">
        <v>7.022157957593262E-5</v>
      </c>
      <c r="AF52" s="8">
        <v>1.2088991796042724E-4</v>
      </c>
      <c r="AG52" s="8">
        <v>2.0392207403431692E-4</v>
      </c>
      <c r="AH52" s="8">
        <v>6.1370926963597147E-4</v>
      </c>
      <c r="AI52" s="8">
        <v>3.7844046818546273E-3</v>
      </c>
      <c r="AJ52" s="8">
        <v>1.816064557385607E-4</v>
      </c>
    </row>
    <row r="53" spans="1:36" x14ac:dyDescent="0.2">
      <c r="A53" t="s">
        <v>68</v>
      </c>
      <c r="B53">
        <v>2014</v>
      </c>
      <c r="C53" t="s">
        <v>74</v>
      </c>
      <c r="D53" s="7">
        <v>117</v>
      </c>
      <c r="E53" s="7">
        <v>56</v>
      </c>
      <c r="F53" s="7">
        <v>55</v>
      </c>
      <c r="G53" s="7">
        <v>63</v>
      </c>
      <c r="H53" s="7">
        <v>50</v>
      </c>
      <c r="I53" s="7">
        <v>64</v>
      </c>
      <c r="J53" s="7">
        <v>71</v>
      </c>
      <c r="K53" s="7">
        <v>101</v>
      </c>
      <c r="L53" s="7">
        <v>130</v>
      </c>
      <c r="M53" s="7">
        <v>286</v>
      </c>
      <c r="N53" s="7">
        <v>993</v>
      </c>
      <c r="O53" s="7">
        <v>342577.60900000011</v>
      </c>
      <c r="P53" s="7">
        <v>709835.89199999988</v>
      </c>
      <c r="Q53" s="7">
        <v>717743.86400000018</v>
      </c>
      <c r="R53" s="7">
        <v>771004.4010000003</v>
      </c>
      <c r="S53" s="7">
        <v>719771.99300000002</v>
      </c>
      <c r="T53" s="7">
        <v>734714.60900000029</v>
      </c>
      <c r="U53" s="7">
        <v>648753.71799999976</v>
      </c>
      <c r="V53" s="7">
        <v>364386.022</v>
      </c>
      <c r="W53" s="7">
        <v>182117.53</v>
      </c>
      <c r="X53" s="7">
        <v>77792.742000000027</v>
      </c>
      <c r="Y53" s="7">
        <v>5268698.38</v>
      </c>
      <c r="Z53" s="8">
        <v>3.4152845056490533E-4</v>
      </c>
      <c r="AA53" s="8">
        <v>7.889147425641871E-5</v>
      </c>
      <c r="AB53" s="8">
        <v>7.6629007587029666E-5</v>
      </c>
      <c r="AC53" s="8">
        <v>8.1711595833030759E-5</v>
      </c>
      <c r="AD53" s="8">
        <v>6.9466442826707759E-5</v>
      </c>
      <c r="AE53" s="8">
        <v>8.7108653096075803E-5</v>
      </c>
      <c r="AF53" s="8">
        <v>1.0944060593422299E-4</v>
      </c>
      <c r="AG53" s="8">
        <v>2.7717857958887347E-4</v>
      </c>
      <c r="AH53" s="8">
        <v>7.1382474822714761E-4</v>
      </c>
      <c r="AI53" s="8">
        <v>3.6764355214526298E-3</v>
      </c>
      <c r="AJ53" s="8">
        <v>1.8847159741947498E-4</v>
      </c>
    </row>
    <row r="54" spans="1:36" x14ac:dyDescent="0.2">
      <c r="A54" t="s">
        <v>68</v>
      </c>
      <c r="B54">
        <v>2015</v>
      </c>
      <c r="C54" t="s">
        <v>75</v>
      </c>
      <c r="D54" s="7">
        <v>85</v>
      </c>
      <c r="E54" s="7">
        <v>71</v>
      </c>
      <c r="F54" s="7">
        <v>55</v>
      </c>
      <c r="G54" s="7">
        <v>60</v>
      </c>
      <c r="H54" s="7">
        <v>50</v>
      </c>
      <c r="I54" s="7">
        <v>61</v>
      </c>
      <c r="J54" s="7">
        <v>63</v>
      </c>
      <c r="K54" s="7">
        <v>52</v>
      </c>
      <c r="L54" s="7">
        <v>146</v>
      </c>
      <c r="M54" s="7">
        <v>302</v>
      </c>
      <c r="N54" s="7">
        <v>945</v>
      </c>
      <c r="O54" s="7">
        <v>373965.07</v>
      </c>
      <c r="P54" s="7">
        <v>784948.97700000042</v>
      </c>
      <c r="Q54" s="7">
        <v>803052.44899999944</v>
      </c>
      <c r="R54" s="7">
        <v>856737.36200000008</v>
      </c>
      <c r="S54" s="7">
        <v>793315.08099999966</v>
      </c>
      <c r="T54" s="7">
        <v>800432.56700000004</v>
      </c>
      <c r="U54" s="7">
        <v>725857.60699999996</v>
      </c>
      <c r="V54" s="7">
        <v>433053.18500000023</v>
      </c>
      <c r="W54" s="7">
        <v>213526.79700000005</v>
      </c>
      <c r="X54" s="7">
        <v>87907.391000000003</v>
      </c>
      <c r="Y54" s="7">
        <v>5872796.4860000005</v>
      </c>
      <c r="Z54" s="8">
        <v>2.2729395555579562E-4</v>
      </c>
      <c r="AA54" s="8">
        <v>9.0451739005196466E-5</v>
      </c>
      <c r="AB54" s="8">
        <v>6.8488677256994503E-5</v>
      </c>
      <c r="AC54" s="8">
        <v>7.0033131110254989E-5</v>
      </c>
      <c r="AD54" s="8">
        <v>6.3026660147407458E-5</v>
      </c>
      <c r="AE54" s="8">
        <v>7.6208793238668909E-5</v>
      </c>
      <c r="AF54" s="8">
        <v>8.6793882701569601E-5</v>
      </c>
      <c r="AG54" s="8">
        <v>1.2007762972578062E-4</v>
      </c>
      <c r="AH54" s="8">
        <v>6.8375492936373675E-4</v>
      </c>
      <c r="AI54" s="8">
        <v>3.4354335461963602E-3</v>
      </c>
      <c r="AJ54" s="8">
        <v>1.6091141626527663E-4</v>
      </c>
    </row>
    <row r="55" spans="1:36" x14ac:dyDescent="0.2">
      <c r="A55" t="s">
        <v>68</v>
      </c>
      <c r="B55">
        <v>2016</v>
      </c>
      <c r="C55" t="s">
        <v>76</v>
      </c>
      <c r="D55" s="7">
        <v>123</v>
      </c>
      <c r="E55" s="7">
        <v>56</v>
      </c>
      <c r="F55" s="7">
        <v>45</v>
      </c>
      <c r="G55" s="7">
        <v>55</v>
      </c>
      <c r="H55" s="7">
        <v>61</v>
      </c>
      <c r="I55" s="7">
        <v>61</v>
      </c>
      <c r="J55" s="7">
        <v>60</v>
      </c>
      <c r="K55" s="7">
        <v>57</v>
      </c>
      <c r="L55" s="7">
        <v>104</v>
      </c>
      <c r="M55" s="7">
        <v>236</v>
      </c>
      <c r="N55" s="7">
        <v>858</v>
      </c>
      <c r="O55" s="7">
        <v>335327.97599999985</v>
      </c>
      <c r="P55" s="7">
        <v>706848.74999999977</v>
      </c>
      <c r="Q55" s="7">
        <v>723225.33000000007</v>
      </c>
      <c r="R55" s="7">
        <v>796751.82700000028</v>
      </c>
      <c r="S55" s="7">
        <v>724848.37399999984</v>
      </c>
      <c r="T55" s="7">
        <v>718321.45999999973</v>
      </c>
      <c r="U55" s="7">
        <v>671568.46400000015</v>
      </c>
      <c r="V55" s="7">
        <v>410941.78600000002</v>
      </c>
      <c r="W55" s="7">
        <v>193023.81999999995</v>
      </c>
      <c r="X55" s="7">
        <v>78783.331999999995</v>
      </c>
      <c r="Y55" s="7">
        <v>5359641.1190000009</v>
      </c>
      <c r="Z55" s="8">
        <v>3.668050649015937E-4</v>
      </c>
      <c r="AA55" s="8">
        <v>7.9224869535385073E-5</v>
      </c>
      <c r="AB55" s="8">
        <v>6.2221272034263509E-5</v>
      </c>
      <c r="AC55" s="8">
        <v>6.9030277855892491E-5</v>
      </c>
      <c r="AD55" s="8">
        <v>8.4155531264253086E-5</v>
      </c>
      <c r="AE55" s="8">
        <v>8.492019714961603E-5</v>
      </c>
      <c r="AF55" s="8">
        <v>8.9343087438364263E-5</v>
      </c>
      <c r="AG55" s="8">
        <v>1.3870577765970969E-4</v>
      </c>
      <c r="AH55" s="8">
        <v>5.3879360588760515E-4</v>
      </c>
      <c r="AI55" s="8">
        <v>2.9955574867028983E-3</v>
      </c>
      <c r="AJ55" s="8">
        <v>1.6008534544568261E-4</v>
      </c>
    </row>
    <row r="56" spans="1:36" x14ac:dyDescent="0.2">
      <c r="A56" t="s">
        <v>68</v>
      </c>
      <c r="B56">
        <v>2017</v>
      </c>
      <c r="C56" t="s">
        <v>77</v>
      </c>
      <c r="D56" s="7">
        <v>105</v>
      </c>
      <c r="E56" s="7">
        <v>61</v>
      </c>
      <c r="F56" s="7">
        <v>35</v>
      </c>
      <c r="G56" s="7">
        <v>69</v>
      </c>
      <c r="H56" s="7">
        <v>65</v>
      </c>
      <c r="I56" s="7">
        <v>55</v>
      </c>
      <c r="J56" s="7">
        <v>86</v>
      </c>
      <c r="K56" s="7">
        <v>74</v>
      </c>
      <c r="L56" s="7">
        <v>99</v>
      </c>
      <c r="M56" s="7">
        <v>242</v>
      </c>
      <c r="N56" s="7">
        <v>891</v>
      </c>
      <c r="O56" s="7">
        <v>368853</v>
      </c>
      <c r="P56" s="7">
        <v>776535</v>
      </c>
      <c r="Q56" s="7">
        <v>813882</v>
      </c>
      <c r="R56" s="7">
        <v>882525</v>
      </c>
      <c r="S56" s="7">
        <v>790151</v>
      </c>
      <c r="T56" s="7">
        <v>769123</v>
      </c>
      <c r="U56" s="7">
        <v>731806</v>
      </c>
      <c r="V56" s="7">
        <v>468222</v>
      </c>
      <c r="W56" s="7">
        <v>220490</v>
      </c>
      <c r="X56" s="7">
        <v>93783</v>
      </c>
      <c r="Y56" s="7">
        <v>5915370</v>
      </c>
      <c r="Z56" s="8">
        <v>2.8466624915616791E-4</v>
      </c>
      <c r="AA56" s="8">
        <v>7.8554089641806233E-5</v>
      </c>
      <c r="AB56" s="8">
        <v>4.3003776960296456E-5</v>
      </c>
      <c r="AC56" s="8">
        <v>7.8184753972975276E-5</v>
      </c>
      <c r="AD56" s="8">
        <v>8.226275737169225E-5</v>
      </c>
      <c r="AE56" s="8">
        <v>7.1510018553599356E-5</v>
      </c>
      <c r="AF56" s="8">
        <v>1.1751748414197206E-4</v>
      </c>
      <c r="AG56" s="8">
        <v>1.5804468820345904E-4</v>
      </c>
      <c r="AH56" s="8">
        <v>4.4899995464646925E-4</v>
      </c>
      <c r="AI56" s="8">
        <v>2.580425023724982E-3</v>
      </c>
      <c r="AJ56" s="8">
        <v>1.5062455941048489E-4</v>
      </c>
    </row>
    <row r="57" spans="1:36" x14ac:dyDescent="0.2">
      <c r="A57" t="s">
        <v>78</v>
      </c>
      <c r="B57">
        <v>2009</v>
      </c>
      <c r="C57" t="s">
        <v>79</v>
      </c>
      <c r="D57" s="7">
        <v>85</v>
      </c>
      <c r="E57" s="7">
        <v>45</v>
      </c>
      <c r="F57" s="7">
        <v>62</v>
      </c>
      <c r="G57" s="7">
        <v>46</v>
      </c>
      <c r="H57" s="7">
        <v>23</v>
      </c>
      <c r="I57" s="7">
        <v>42</v>
      </c>
      <c r="J57" s="7">
        <v>67</v>
      </c>
      <c r="K57" s="7">
        <v>62</v>
      </c>
      <c r="L57" s="7">
        <v>175</v>
      </c>
      <c r="M57" s="7">
        <v>364</v>
      </c>
      <c r="N57" s="7">
        <v>971</v>
      </c>
      <c r="O57" s="7">
        <v>212558.02899999998</v>
      </c>
      <c r="P57" s="7">
        <v>459486.46100000007</v>
      </c>
      <c r="Q57" s="7">
        <v>478043.67699999997</v>
      </c>
      <c r="R57" s="7">
        <v>403268.70999999996</v>
      </c>
      <c r="S57" s="7">
        <v>519801.315</v>
      </c>
      <c r="T57" s="7">
        <v>548351.92500000005</v>
      </c>
      <c r="U57" s="7">
        <v>397044.58799999999</v>
      </c>
      <c r="V57" s="7">
        <v>233949.85399999999</v>
      </c>
      <c r="W57" s="7">
        <v>164920.69399999999</v>
      </c>
      <c r="X57" s="7">
        <v>77304.618000000002</v>
      </c>
      <c r="Y57" s="7">
        <v>3494729.8709999993</v>
      </c>
      <c r="Z57" s="8">
        <v>3.9989079876159373E-4</v>
      </c>
      <c r="AA57" s="8">
        <v>9.7935420996006221E-5</v>
      </c>
      <c r="AB57" s="8">
        <v>1.2969526213396607E-4</v>
      </c>
      <c r="AC57" s="8">
        <v>1.1406786308811315E-4</v>
      </c>
      <c r="AD57" s="8">
        <v>4.4247675672001712E-5</v>
      </c>
      <c r="AE57" s="8">
        <v>7.6593147730811732E-5</v>
      </c>
      <c r="AF57" s="8">
        <v>1.6874679072568041E-4</v>
      </c>
      <c r="AG57" s="8">
        <v>2.6501405724322442E-4</v>
      </c>
      <c r="AH57" s="8">
        <v>1.0611160780101981E-3</v>
      </c>
      <c r="AI57" s="8">
        <v>4.7086449609000068E-3</v>
      </c>
      <c r="AJ57" s="8">
        <v>2.7784693977567806E-4</v>
      </c>
    </row>
    <row r="58" spans="1:36" x14ac:dyDescent="0.2">
      <c r="A58" t="s">
        <v>78</v>
      </c>
      <c r="B58">
        <v>2010</v>
      </c>
      <c r="C58" t="s">
        <v>80</v>
      </c>
      <c r="D58" s="7">
        <v>105</v>
      </c>
      <c r="E58" s="7">
        <v>70</v>
      </c>
      <c r="F58" s="7">
        <v>48</v>
      </c>
      <c r="G58" s="7">
        <v>62</v>
      </c>
      <c r="H58" s="7">
        <v>40</v>
      </c>
      <c r="I58" s="7">
        <v>39</v>
      </c>
      <c r="J58" s="7">
        <v>50</v>
      </c>
      <c r="K58" s="7">
        <v>68</v>
      </c>
      <c r="L58" s="7">
        <v>125</v>
      </c>
      <c r="M58" s="7">
        <v>339</v>
      </c>
      <c r="N58" s="7">
        <v>946</v>
      </c>
      <c r="O58" s="7">
        <v>205283.99900000001</v>
      </c>
      <c r="P58" s="7">
        <v>468081.70400000009</v>
      </c>
      <c r="Q58" s="7">
        <v>474259.14500000002</v>
      </c>
      <c r="R58" s="7">
        <v>410857.38199999998</v>
      </c>
      <c r="S58" s="7">
        <v>512567.81</v>
      </c>
      <c r="T58" s="7">
        <v>564174.88900000008</v>
      </c>
      <c r="U58" s="7">
        <v>419799.91</v>
      </c>
      <c r="V58" s="7">
        <v>239997.74699999997</v>
      </c>
      <c r="W58" s="7">
        <v>171018.71299999999</v>
      </c>
      <c r="X58" s="7">
        <v>80632.789000000004</v>
      </c>
      <c r="Y58" s="7">
        <v>3546674.0880000005</v>
      </c>
      <c r="Z58" s="8">
        <v>5.1148652847511991E-4</v>
      </c>
      <c r="AA58" s="8">
        <v>1.495465415584797E-4</v>
      </c>
      <c r="AB58" s="8">
        <v>1.0121048904602567E-4</v>
      </c>
      <c r="AC58" s="8">
        <v>1.5090394554478275E-4</v>
      </c>
      <c r="AD58" s="8">
        <v>7.8038455048513479E-5</v>
      </c>
      <c r="AE58" s="8">
        <v>6.912750063925655E-5</v>
      </c>
      <c r="AF58" s="8">
        <v>1.1910436093233085E-4</v>
      </c>
      <c r="AG58" s="8">
        <v>2.8333599314996907E-4</v>
      </c>
      <c r="AH58" s="8">
        <v>7.3091416610064196E-4</v>
      </c>
      <c r="AI58" s="8">
        <v>4.2042450001326384E-3</v>
      </c>
      <c r="AJ58" s="8">
        <v>2.6672876518334321E-4</v>
      </c>
    </row>
    <row r="59" spans="1:36" x14ac:dyDescent="0.2">
      <c r="A59" t="s">
        <v>78</v>
      </c>
      <c r="B59">
        <v>2011</v>
      </c>
      <c r="C59" t="s">
        <v>81</v>
      </c>
      <c r="D59" s="7">
        <v>110</v>
      </c>
      <c r="E59" s="7">
        <v>49</v>
      </c>
      <c r="F59" s="7">
        <v>56</v>
      </c>
      <c r="G59" s="7">
        <v>43</v>
      </c>
      <c r="H59" s="7">
        <v>60</v>
      </c>
      <c r="I59" s="7">
        <v>49</v>
      </c>
      <c r="J59" s="7">
        <v>50</v>
      </c>
      <c r="K59" s="7">
        <v>41</v>
      </c>
      <c r="L59" s="7">
        <v>140</v>
      </c>
      <c r="M59" s="7">
        <v>415</v>
      </c>
      <c r="N59" s="7">
        <v>1013</v>
      </c>
      <c r="O59" s="7">
        <v>203157.07199999999</v>
      </c>
      <c r="P59" s="7">
        <v>463028.13099999999</v>
      </c>
      <c r="Q59" s="7">
        <v>477078.43899999995</v>
      </c>
      <c r="R59" s="7">
        <v>414807.14800000004</v>
      </c>
      <c r="S59" s="7">
        <v>497351.57299999997</v>
      </c>
      <c r="T59" s="7">
        <v>568458.89300000004</v>
      </c>
      <c r="U59" s="7">
        <v>431497.94</v>
      </c>
      <c r="V59" s="7">
        <v>248604.04199999999</v>
      </c>
      <c r="W59" s="7">
        <v>166614.00900000002</v>
      </c>
      <c r="X59" s="7">
        <v>84415.731</v>
      </c>
      <c r="Y59" s="7">
        <v>3555012.9780000001</v>
      </c>
      <c r="Z59" s="8">
        <v>5.4145296994632811E-4</v>
      </c>
      <c r="AA59" s="8">
        <v>1.0582510374515453E-4</v>
      </c>
      <c r="AB59" s="8">
        <v>1.1738111686074332E-4</v>
      </c>
      <c r="AC59" s="8">
        <v>1.0366263023027751E-4</v>
      </c>
      <c r="AD59" s="8">
        <v>1.2063900720788512E-4</v>
      </c>
      <c r="AE59" s="8">
        <v>8.619796541735164E-5</v>
      </c>
      <c r="AF59" s="8">
        <v>1.158754083507328E-4</v>
      </c>
      <c r="AG59" s="8">
        <v>1.6492089054609982E-4</v>
      </c>
      <c r="AH59" s="8">
        <v>8.4026547851687541E-4</v>
      </c>
      <c r="AI59" s="8">
        <v>4.9161453094565986E-3</v>
      </c>
      <c r="AJ59" s="8">
        <v>2.8494973331149399E-4</v>
      </c>
    </row>
    <row r="60" spans="1:36" x14ac:dyDescent="0.2">
      <c r="A60" t="s">
        <v>78</v>
      </c>
      <c r="B60">
        <v>2012</v>
      </c>
      <c r="C60" t="s">
        <v>82</v>
      </c>
      <c r="D60" s="7">
        <v>126</v>
      </c>
      <c r="E60" s="7">
        <v>56</v>
      </c>
      <c r="F60" s="7">
        <v>54</v>
      </c>
      <c r="G60" s="7">
        <v>54</v>
      </c>
      <c r="H60" s="7">
        <v>48</v>
      </c>
      <c r="I60" s="7">
        <v>49</v>
      </c>
      <c r="J60" s="7">
        <v>67</v>
      </c>
      <c r="K60" s="7">
        <v>38</v>
      </c>
      <c r="L60" s="7">
        <v>136</v>
      </c>
      <c r="M60" s="7">
        <v>317</v>
      </c>
      <c r="N60" s="7">
        <v>945</v>
      </c>
      <c r="O60" s="7">
        <v>199318.37699999998</v>
      </c>
      <c r="P60" s="7">
        <v>458918.10799999995</v>
      </c>
      <c r="Q60" s="7">
        <v>479176.98499999993</v>
      </c>
      <c r="R60" s="7">
        <v>420884.95999999996</v>
      </c>
      <c r="S60" s="7">
        <v>485113.86600000004</v>
      </c>
      <c r="T60" s="7">
        <v>569386.64899999998</v>
      </c>
      <c r="U60" s="7">
        <v>444154.76499999996</v>
      </c>
      <c r="V60" s="7">
        <v>258418.13399999999</v>
      </c>
      <c r="W60" s="7">
        <v>167108.36599999998</v>
      </c>
      <c r="X60" s="7">
        <v>84749.743999999992</v>
      </c>
      <c r="Y60" s="7">
        <v>3567229.9539999994</v>
      </c>
      <c r="Z60" s="8">
        <v>6.3215445508067736E-4</v>
      </c>
      <c r="AA60" s="8">
        <v>1.2202612846124609E-4</v>
      </c>
      <c r="AB60" s="8">
        <v>1.1269322544779567E-4</v>
      </c>
      <c r="AC60" s="8">
        <v>1.283010920608805E-4</v>
      </c>
      <c r="AD60" s="8">
        <v>9.8945842129361019E-5</v>
      </c>
      <c r="AE60" s="8">
        <v>8.6057514846998116E-5</v>
      </c>
      <c r="AF60" s="8">
        <v>1.5084831972927276E-4</v>
      </c>
      <c r="AG60" s="8">
        <v>1.4704850395676954E-4</v>
      </c>
      <c r="AH60" s="8">
        <v>8.1384315612301552E-4</v>
      </c>
      <c r="AI60" s="8">
        <v>3.740424277859766E-3</v>
      </c>
      <c r="AJ60" s="8">
        <v>2.649114332930386E-4</v>
      </c>
    </row>
    <row r="61" spans="1:36" x14ac:dyDescent="0.2">
      <c r="A61" t="s">
        <v>78</v>
      </c>
      <c r="B61">
        <v>2013</v>
      </c>
      <c r="C61" t="s">
        <v>83</v>
      </c>
      <c r="D61" s="7">
        <v>106</v>
      </c>
      <c r="E61" s="7">
        <v>47</v>
      </c>
      <c r="F61" s="7">
        <v>56</v>
      </c>
      <c r="G61" s="7">
        <v>44</v>
      </c>
      <c r="H61" s="7">
        <v>57</v>
      </c>
      <c r="I61" s="7">
        <v>44</v>
      </c>
      <c r="J61" s="7">
        <v>54</v>
      </c>
      <c r="K61" s="7">
        <v>75</v>
      </c>
      <c r="L61" s="7">
        <v>113</v>
      </c>
      <c r="M61" s="7">
        <v>377</v>
      </c>
      <c r="N61" s="7">
        <v>973</v>
      </c>
      <c r="O61" s="7">
        <v>197304.91999999998</v>
      </c>
      <c r="P61" s="7">
        <v>456704.39100000006</v>
      </c>
      <c r="Q61" s="7">
        <v>485144.57699999999</v>
      </c>
      <c r="R61" s="7">
        <v>427408.02799999999</v>
      </c>
      <c r="S61" s="7">
        <v>469068.08099999995</v>
      </c>
      <c r="T61" s="7">
        <v>568017.80499999993</v>
      </c>
      <c r="U61" s="7">
        <v>457295.72200000007</v>
      </c>
      <c r="V61" s="7">
        <v>269149.79800000001</v>
      </c>
      <c r="W61" s="7">
        <v>163767.89499999999</v>
      </c>
      <c r="X61" s="7">
        <v>86889.545999999988</v>
      </c>
      <c r="Y61" s="7">
        <v>3580750.7630000003</v>
      </c>
      <c r="Z61" s="8">
        <v>5.3723951739267331E-4</v>
      </c>
      <c r="AA61" s="8">
        <v>1.0291120673722621E-4</v>
      </c>
      <c r="AB61" s="8">
        <v>1.1542950834633364E-4</v>
      </c>
      <c r="AC61" s="8">
        <v>1.0294612435309709E-4</v>
      </c>
      <c r="AD61" s="8">
        <v>1.2151754150161415E-4</v>
      </c>
      <c r="AE61" s="8">
        <v>7.7462360532870985E-5</v>
      </c>
      <c r="AF61" s="8">
        <v>1.1808551316384279E-4</v>
      </c>
      <c r="AG61" s="8">
        <v>2.7865523421273384E-4</v>
      </c>
      <c r="AH61" s="8">
        <v>6.9000093089063646E-4</v>
      </c>
      <c r="AI61" s="8">
        <v>4.3388418671217368E-3</v>
      </c>
      <c r="AJ61" s="8">
        <v>2.7173072475583524E-4</v>
      </c>
    </row>
    <row r="62" spans="1:36" x14ac:dyDescent="0.2">
      <c r="A62" t="s">
        <v>78</v>
      </c>
      <c r="B62">
        <v>2014</v>
      </c>
      <c r="C62" t="s">
        <v>84</v>
      </c>
      <c r="D62" s="7">
        <v>107</v>
      </c>
      <c r="E62" s="7">
        <v>57</v>
      </c>
      <c r="F62" s="7">
        <v>55</v>
      </c>
      <c r="G62" s="7">
        <v>54</v>
      </c>
      <c r="H62" s="7">
        <v>74</v>
      </c>
      <c r="I62" s="7">
        <v>28</v>
      </c>
      <c r="J62" s="7">
        <v>41</v>
      </c>
      <c r="K62" s="7">
        <v>86</v>
      </c>
      <c r="L62" s="7">
        <v>122</v>
      </c>
      <c r="M62" s="7">
        <v>364</v>
      </c>
      <c r="N62" s="7">
        <v>988</v>
      </c>
      <c r="O62" s="7">
        <v>194081.70499999999</v>
      </c>
      <c r="P62" s="7">
        <v>453491.70200000011</v>
      </c>
      <c r="Q62" s="7">
        <v>489989.38800000004</v>
      </c>
      <c r="R62" s="7">
        <v>433442.86000000004</v>
      </c>
      <c r="S62" s="7">
        <v>459871.28799999994</v>
      </c>
      <c r="T62" s="7">
        <v>564044.85899999994</v>
      </c>
      <c r="U62" s="7">
        <v>469398.27200000006</v>
      </c>
      <c r="V62" s="7">
        <v>281209.196</v>
      </c>
      <c r="W62" s="7">
        <v>163445.33199999999</v>
      </c>
      <c r="X62" s="7">
        <v>86810.755999999994</v>
      </c>
      <c r="Y62" s="7">
        <v>3595785.358</v>
      </c>
      <c r="Z62" s="8">
        <v>5.5131420037761935E-4</v>
      </c>
      <c r="AA62" s="8">
        <v>1.2569138475658368E-4</v>
      </c>
      <c r="AB62" s="8">
        <v>1.1224732891562133E-4</v>
      </c>
      <c r="AC62" s="8">
        <v>1.2458389555661383E-4</v>
      </c>
      <c r="AD62" s="8">
        <v>1.6091459051907587E-4</v>
      </c>
      <c r="AE62" s="8">
        <v>4.9641441727953065E-5</v>
      </c>
      <c r="AF62" s="8">
        <v>8.7345869053390962E-5</v>
      </c>
      <c r="AG62" s="8">
        <v>3.0582214672666681E-4</v>
      </c>
      <c r="AH62" s="8">
        <v>7.4642694598338235E-4</v>
      </c>
      <c r="AI62" s="8">
        <v>4.1930287993344976E-3</v>
      </c>
      <c r="AJ62" s="8">
        <v>2.7476612245552171E-4</v>
      </c>
    </row>
    <row r="63" spans="1:36" x14ac:dyDescent="0.2">
      <c r="A63" t="s">
        <v>78</v>
      </c>
      <c r="B63">
        <v>2015</v>
      </c>
      <c r="C63" t="s">
        <v>85</v>
      </c>
      <c r="D63" s="7">
        <v>114</v>
      </c>
      <c r="E63" s="7">
        <v>54</v>
      </c>
      <c r="F63" s="7">
        <v>42</v>
      </c>
      <c r="G63" s="7">
        <v>53</v>
      </c>
      <c r="H63" s="7">
        <v>61</v>
      </c>
      <c r="I63" s="7">
        <v>49</v>
      </c>
      <c r="J63" s="7">
        <v>57</v>
      </c>
      <c r="K63" s="7">
        <v>63</v>
      </c>
      <c r="L63" s="7">
        <v>150</v>
      </c>
      <c r="M63" s="7">
        <v>397</v>
      </c>
      <c r="N63" s="7">
        <v>1040</v>
      </c>
      <c r="O63" s="7">
        <v>191428.15599999999</v>
      </c>
      <c r="P63" s="7">
        <v>447137.47500000009</v>
      </c>
      <c r="Q63" s="7">
        <v>494068.23699999996</v>
      </c>
      <c r="R63" s="7">
        <v>437346.90099999995</v>
      </c>
      <c r="S63" s="7">
        <v>449396.44099999993</v>
      </c>
      <c r="T63" s="7">
        <v>555610.25200000009</v>
      </c>
      <c r="U63" s="7">
        <v>478011.77999999997</v>
      </c>
      <c r="V63" s="7">
        <v>292294.24699999997</v>
      </c>
      <c r="W63" s="7">
        <v>162165.48300000004</v>
      </c>
      <c r="X63" s="7">
        <v>87955.889999999985</v>
      </c>
      <c r="Y63" s="7">
        <v>3595414.8619999997</v>
      </c>
      <c r="Z63" s="8">
        <v>5.9552368043497218E-4</v>
      </c>
      <c r="AA63" s="8">
        <v>1.2076822681883237E-4</v>
      </c>
      <c r="AB63" s="8">
        <v>8.5008500556573929E-5</v>
      </c>
      <c r="AC63" s="8">
        <v>1.2118526478366427E-4</v>
      </c>
      <c r="AD63" s="8">
        <v>1.3573761257268169E-4</v>
      </c>
      <c r="AE63" s="8">
        <v>8.8191317247328244E-5</v>
      </c>
      <c r="AF63" s="8">
        <v>1.1924392323553198E-4</v>
      </c>
      <c r="AG63" s="8">
        <v>2.1553622983212531E-4</v>
      </c>
      <c r="AH63" s="8">
        <v>9.2498105777540811E-4</v>
      </c>
      <c r="AI63" s="8">
        <v>4.5136260914419727E-3</v>
      </c>
      <c r="AJ63" s="8">
        <v>2.8925730128997838E-4</v>
      </c>
    </row>
    <row r="64" spans="1:36" x14ac:dyDescent="0.2">
      <c r="A64" t="s">
        <v>78</v>
      </c>
      <c r="B64">
        <v>2016</v>
      </c>
      <c r="C64" t="s">
        <v>86</v>
      </c>
      <c r="D64" s="7">
        <v>93</v>
      </c>
      <c r="E64" s="7">
        <v>67</v>
      </c>
      <c r="F64" s="7">
        <v>49</v>
      </c>
      <c r="G64" s="7">
        <v>52</v>
      </c>
      <c r="H64" s="7">
        <v>51</v>
      </c>
      <c r="I64" s="7">
        <v>51</v>
      </c>
      <c r="J64" s="7">
        <v>56</v>
      </c>
      <c r="K64" s="7">
        <v>65</v>
      </c>
      <c r="L64" s="7">
        <v>113</v>
      </c>
      <c r="M64" s="7">
        <v>307</v>
      </c>
      <c r="N64" s="7">
        <v>904</v>
      </c>
      <c r="O64" s="7">
        <v>188741.39800000002</v>
      </c>
      <c r="P64" s="7">
        <v>439800.21500000003</v>
      </c>
      <c r="Q64" s="7">
        <v>494764.12300000002</v>
      </c>
      <c r="R64" s="7">
        <v>438606.065</v>
      </c>
      <c r="S64" s="7">
        <v>439966.12500000006</v>
      </c>
      <c r="T64" s="7">
        <v>546335.86200000008</v>
      </c>
      <c r="U64" s="7">
        <v>488884.00199999998</v>
      </c>
      <c r="V64" s="7">
        <v>303525.87199999997</v>
      </c>
      <c r="W64" s="7">
        <v>162787.73599999998</v>
      </c>
      <c r="X64" s="7">
        <v>87324.955000000002</v>
      </c>
      <c r="Y64" s="7">
        <v>3590736.3530000001</v>
      </c>
      <c r="Z64" s="8">
        <v>4.927376875739788E-4</v>
      </c>
      <c r="AA64" s="8">
        <v>1.5234189915073142E-4</v>
      </c>
      <c r="AB64" s="8">
        <v>9.903709206497982E-5</v>
      </c>
      <c r="AC64" s="8">
        <v>1.1855741210509709E-4</v>
      </c>
      <c r="AD64" s="8">
        <v>1.159180152790172E-4</v>
      </c>
      <c r="AE64" s="8">
        <v>9.3349171356428345E-5</v>
      </c>
      <c r="AF64" s="8">
        <v>1.1454659954285026E-4</v>
      </c>
      <c r="AG64" s="8">
        <v>2.1414978423980939E-4</v>
      </c>
      <c r="AH64" s="8">
        <v>6.9415548601277929E-4</v>
      </c>
      <c r="AI64" s="8">
        <v>3.5156044454875469E-3</v>
      </c>
      <c r="AJ64" s="8">
        <v>2.5175894611274456E-4</v>
      </c>
    </row>
    <row r="65" spans="1:36" x14ac:dyDescent="0.2">
      <c r="A65" t="s">
        <v>78</v>
      </c>
      <c r="B65">
        <v>2017</v>
      </c>
      <c r="C65" t="s">
        <v>87</v>
      </c>
      <c r="D65" s="7">
        <v>86</v>
      </c>
      <c r="E65" s="7">
        <v>64</v>
      </c>
      <c r="F65" s="7">
        <v>56</v>
      </c>
      <c r="G65" s="7">
        <v>84</v>
      </c>
      <c r="H65" s="7">
        <v>68</v>
      </c>
      <c r="I65" s="7">
        <v>61</v>
      </c>
      <c r="J65" s="7">
        <v>47</v>
      </c>
      <c r="K65" s="7">
        <v>72</v>
      </c>
      <c r="L65" s="7">
        <v>122</v>
      </c>
      <c r="M65" s="7">
        <v>389</v>
      </c>
      <c r="N65" s="7">
        <v>1049</v>
      </c>
      <c r="O65" s="7">
        <v>186188</v>
      </c>
      <c r="P65" s="7">
        <v>432367</v>
      </c>
      <c r="Q65" s="7">
        <v>495626</v>
      </c>
      <c r="R65" s="7">
        <v>439239</v>
      </c>
      <c r="S65" s="7">
        <v>433401</v>
      </c>
      <c r="T65" s="7">
        <v>535611</v>
      </c>
      <c r="U65" s="7">
        <v>496289</v>
      </c>
      <c r="V65" s="7">
        <v>318515</v>
      </c>
      <c r="W65" s="7">
        <v>167133</v>
      </c>
      <c r="X65" s="7">
        <v>90109</v>
      </c>
      <c r="Y65" s="7">
        <v>3594478</v>
      </c>
      <c r="Z65" s="8">
        <v>4.6189872601886268E-4</v>
      </c>
      <c r="AA65" s="8">
        <v>1.4802239763904275E-4</v>
      </c>
      <c r="AB65" s="8">
        <v>1.129884227219718E-4</v>
      </c>
      <c r="AC65" s="8">
        <v>1.9123984892051936E-4</v>
      </c>
      <c r="AD65" s="8">
        <v>1.568985766068837E-4</v>
      </c>
      <c r="AE65" s="8">
        <v>1.1388862439344972E-4</v>
      </c>
      <c r="AF65" s="8">
        <v>9.4702884811067746E-5</v>
      </c>
      <c r="AG65" s="8">
        <v>2.2604900868090984E-4</v>
      </c>
      <c r="AH65" s="8">
        <v>7.2995757869481195E-4</v>
      </c>
      <c r="AI65" s="8">
        <v>4.3169938629881591E-3</v>
      </c>
      <c r="AJ65" s="8">
        <v>2.918365337053113E-4</v>
      </c>
    </row>
    <row r="66" spans="1:36" x14ac:dyDescent="0.2">
      <c r="A66" t="s">
        <v>88</v>
      </c>
      <c r="B66">
        <v>2009</v>
      </c>
      <c r="C66" t="s">
        <v>89</v>
      </c>
      <c r="D66" s="7">
        <v>105</v>
      </c>
      <c r="E66" s="7">
        <v>68</v>
      </c>
      <c r="F66" s="7">
        <v>46</v>
      </c>
      <c r="G66" s="7">
        <v>41</v>
      </c>
      <c r="H66" s="7">
        <v>50</v>
      </c>
      <c r="I66" s="7">
        <v>51</v>
      </c>
      <c r="J66" s="7">
        <v>40</v>
      </c>
      <c r="K66" s="7">
        <v>48</v>
      </c>
      <c r="L66" s="7">
        <v>53</v>
      </c>
      <c r="M66" s="7">
        <v>57</v>
      </c>
      <c r="N66" s="7">
        <v>559</v>
      </c>
      <c r="O66" s="7">
        <v>58270.941999999995</v>
      </c>
      <c r="P66" s="7">
        <v>111165.51800000001</v>
      </c>
      <c r="Q66" s="7">
        <v>117963.568</v>
      </c>
      <c r="R66" s="7">
        <v>112326.01799999998</v>
      </c>
      <c r="S66" s="7">
        <v>121305.82999999999</v>
      </c>
      <c r="T66" s="7">
        <v>125074.128</v>
      </c>
      <c r="U66" s="7">
        <v>99139.957999999984</v>
      </c>
      <c r="V66" s="7">
        <v>63093.334000000003</v>
      </c>
      <c r="W66" s="7">
        <v>40563.036000000007</v>
      </c>
      <c r="X66" s="7">
        <v>15490.835999999999</v>
      </c>
      <c r="Y66" s="7">
        <v>864393.16800000006</v>
      </c>
      <c r="Z66" s="8">
        <v>1.801927279637937E-3</v>
      </c>
      <c r="AA66" s="8">
        <v>6.117004735227339E-4</v>
      </c>
      <c r="AB66" s="8">
        <v>3.8995090416390251E-4</v>
      </c>
      <c r="AC66" s="8">
        <v>3.6500893319302042E-4</v>
      </c>
      <c r="AD66" s="8">
        <v>4.121813436336902E-4</v>
      </c>
      <c r="AE66" s="8">
        <v>4.077581896073663E-4</v>
      </c>
      <c r="AF66" s="8">
        <v>4.0347001155679335E-4</v>
      </c>
      <c r="AG66" s="8">
        <v>7.6077767581595856E-4</v>
      </c>
      <c r="AH66" s="8">
        <v>1.3066083120602705E-3</v>
      </c>
      <c r="AI66" s="8">
        <v>3.6795948262572792E-3</v>
      </c>
      <c r="AJ66" s="8">
        <v>6.4669645792480386E-4</v>
      </c>
    </row>
    <row r="67" spans="1:36" x14ac:dyDescent="0.2">
      <c r="A67" t="s">
        <v>88</v>
      </c>
      <c r="B67">
        <v>2010</v>
      </c>
      <c r="C67" t="s">
        <v>90</v>
      </c>
      <c r="D67" s="7">
        <v>114</v>
      </c>
      <c r="E67" s="7">
        <v>57</v>
      </c>
      <c r="F67" s="7">
        <v>54</v>
      </c>
      <c r="G67" s="7">
        <v>69</v>
      </c>
      <c r="H67" s="7">
        <v>55</v>
      </c>
      <c r="I67" s="7">
        <v>35</v>
      </c>
      <c r="J67" s="7">
        <v>52</v>
      </c>
      <c r="K67" s="7">
        <v>49</v>
      </c>
      <c r="L67" s="7">
        <v>38</v>
      </c>
      <c r="M67" s="7">
        <v>49</v>
      </c>
      <c r="N67" s="7">
        <v>572</v>
      </c>
      <c r="O67" s="7">
        <v>55855.555999999997</v>
      </c>
      <c r="P67" s="7">
        <v>112543.174</v>
      </c>
      <c r="Q67" s="7">
        <v>125219.46</v>
      </c>
      <c r="R67" s="7">
        <v>109915.41399999999</v>
      </c>
      <c r="S67" s="7">
        <v>120411.88</v>
      </c>
      <c r="T67" s="7">
        <v>130201.804</v>
      </c>
      <c r="U67" s="7">
        <v>104765.266</v>
      </c>
      <c r="V67" s="7">
        <v>67709.213999999993</v>
      </c>
      <c r="W67" s="7">
        <v>39449.731999999996</v>
      </c>
      <c r="X67" s="7">
        <v>15622.119999999999</v>
      </c>
      <c r="Y67" s="7">
        <v>881693.62</v>
      </c>
      <c r="Z67" s="8">
        <v>2.040978698699195E-3</v>
      </c>
      <c r="AA67" s="8">
        <v>5.0647229835547379E-4</v>
      </c>
      <c r="AB67" s="8">
        <v>4.3124287550832754E-4</v>
      </c>
      <c r="AC67" s="8">
        <v>6.2775544838506456E-4</v>
      </c>
      <c r="AD67" s="8">
        <v>4.5676556167049297E-4</v>
      </c>
      <c r="AE67" s="8">
        <v>2.6881347972720871E-4</v>
      </c>
      <c r="AF67" s="8">
        <v>4.9634771127293276E-4</v>
      </c>
      <c r="AG67" s="8">
        <v>7.2368289491589737E-4</v>
      </c>
      <c r="AH67" s="8">
        <v>9.6325115719417319E-4</v>
      </c>
      <c r="AI67" s="8">
        <v>3.1365781340816743E-3</v>
      </c>
      <c r="AJ67" s="8">
        <v>6.4875143363292117E-4</v>
      </c>
    </row>
    <row r="68" spans="1:36" x14ac:dyDescent="0.2">
      <c r="A68" t="s">
        <v>88</v>
      </c>
      <c r="B68">
        <v>2011</v>
      </c>
      <c r="C68" t="s">
        <v>91</v>
      </c>
      <c r="D68" s="7">
        <v>81</v>
      </c>
      <c r="E68" s="7">
        <v>50</v>
      </c>
      <c r="F68" s="7">
        <v>59</v>
      </c>
      <c r="G68" s="7">
        <v>67</v>
      </c>
      <c r="H68" s="7">
        <v>35</v>
      </c>
      <c r="I68" s="7">
        <v>49</v>
      </c>
      <c r="J68" s="7">
        <v>72</v>
      </c>
      <c r="K68" s="7">
        <v>50</v>
      </c>
      <c r="L68" s="7">
        <v>71</v>
      </c>
      <c r="M68" s="7">
        <v>66</v>
      </c>
      <c r="N68" s="7">
        <v>600</v>
      </c>
      <c r="O68" s="7">
        <v>55769.298000000003</v>
      </c>
      <c r="P68" s="7">
        <v>112323.41400000002</v>
      </c>
      <c r="Q68" s="7">
        <v>126170.592</v>
      </c>
      <c r="R68" s="7">
        <v>110709.19200000001</v>
      </c>
      <c r="S68" s="7">
        <v>117917.394</v>
      </c>
      <c r="T68" s="7">
        <v>131753.24400000001</v>
      </c>
      <c r="U68" s="7">
        <v>108786.44399999999</v>
      </c>
      <c r="V68" s="7">
        <v>70359.245999999999</v>
      </c>
      <c r="W68" s="7">
        <v>40071.9</v>
      </c>
      <c r="X68" s="7">
        <v>16151.268</v>
      </c>
      <c r="Y68" s="7">
        <v>890011.9920000002</v>
      </c>
      <c r="Z68" s="8">
        <v>1.4524120421956898E-3</v>
      </c>
      <c r="AA68" s="8">
        <v>4.4514316489703554E-4</v>
      </c>
      <c r="AB68" s="8">
        <v>4.6762085415276482E-4</v>
      </c>
      <c r="AC68" s="8">
        <v>6.0518913370806644E-4</v>
      </c>
      <c r="AD68" s="8">
        <v>2.968179571539717E-4</v>
      </c>
      <c r="AE68" s="8">
        <v>3.7190735129072041E-4</v>
      </c>
      <c r="AF68" s="8">
        <v>6.6184716911971131E-4</v>
      </c>
      <c r="AG68" s="8">
        <v>7.1063865579230336E-4</v>
      </c>
      <c r="AH68" s="8">
        <v>1.7718151622458629E-3</v>
      </c>
      <c r="AI68" s="8">
        <v>4.086366469802866E-3</v>
      </c>
      <c r="AJ68" s="8">
        <v>6.7414821979162713E-4</v>
      </c>
    </row>
    <row r="69" spans="1:36" x14ac:dyDescent="0.2">
      <c r="A69" t="s">
        <v>88</v>
      </c>
      <c r="B69">
        <v>2012</v>
      </c>
      <c r="C69" t="s">
        <v>92</v>
      </c>
      <c r="D69" s="7">
        <v>90</v>
      </c>
      <c r="E69" s="7">
        <v>45</v>
      </c>
      <c r="F69" s="7">
        <v>65</v>
      </c>
      <c r="G69" s="7">
        <v>59</v>
      </c>
      <c r="H69" s="7">
        <v>52</v>
      </c>
      <c r="I69" s="7">
        <v>56</v>
      </c>
      <c r="J69" s="7">
        <v>48</v>
      </c>
      <c r="K69" s="7">
        <v>56</v>
      </c>
      <c r="L69" s="7">
        <v>64</v>
      </c>
      <c r="M69" s="7">
        <v>74</v>
      </c>
      <c r="N69" s="7">
        <v>609</v>
      </c>
      <c r="O69" s="7">
        <v>56156.893000000004</v>
      </c>
      <c r="P69" s="7">
        <v>113484.041</v>
      </c>
      <c r="Q69" s="7">
        <v>127042.61800000002</v>
      </c>
      <c r="R69" s="7">
        <v>111979.94399999999</v>
      </c>
      <c r="S69" s="7">
        <v>115866.42300000001</v>
      </c>
      <c r="T69" s="7">
        <v>132333.603</v>
      </c>
      <c r="U69" s="7">
        <v>111943.48799999998</v>
      </c>
      <c r="V69" s="7">
        <v>73350.815000000002</v>
      </c>
      <c r="W69" s="7">
        <v>41219.457000000002</v>
      </c>
      <c r="X69" s="7">
        <v>16162.742999999999</v>
      </c>
      <c r="Y69" s="7">
        <v>899540.02500000002</v>
      </c>
      <c r="Z69" s="8">
        <v>1.6026527678445457E-3</v>
      </c>
      <c r="AA69" s="8">
        <v>3.9653152640202509E-4</v>
      </c>
      <c r="AB69" s="8">
        <v>5.1163933035447992E-4</v>
      </c>
      <c r="AC69" s="8">
        <v>5.2688006345136241E-4</v>
      </c>
      <c r="AD69" s="8">
        <v>4.4879265842184493E-4</v>
      </c>
      <c r="AE69" s="8">
        <v>4.2317294119166392E-4</v>
      </c>
      <c r="AF69" s="8">
        <v>4.2878778263546699E-4</v>
      </c>
      <c r="AG69" s="8">
        <v>7.634543665261251E-4</v>
      </c>
      <c r="AH69" s="8">
        <v>1.5526648009943458E-3</v>
      </c>
      <c r="AI69" s="8">
        <v>4.5784307774985973E-3</v>
      </c>
      <c r="AJ69" s="8">
        <v>6.7701267656211292E-4</v>
      </c>
    </row>
    <row r="70" spans="1:36" x14ac:dyDescent="0.2">
      <c r="A70" t="s">
        <v>88</v>
      </c>
      <c r="B70">
        <v>2013</v>
      </c>
      <c r="C70" t="s">
        <v>93</v>
      </c>
      <c r="D70" s="7">
        <v>97</v>
      </c>
      <c r="E70" s="7">
        <v>69</v>
      </c>
      <c r="F70" s="7">
        <v>39</v>
      </c>
      <c r="G70" s="7">
        <v>62</v>
      </c>
      <c r="H70" s="7">
        <v>51</v>
      </c>
      <c r="I70" s="7">
        <v>41</v>
      </c>
      <c r="J70" s="7">
        <v>53</v>
      </c>
      <c r="K70" s="7">
        <v>57</v>
      </c>
      <c r="L70" s="7">
        <v>55</v>
      </c>
      <c r="M70" s="7">
        <v>64</v>
      </c>
      <c r="N70" s="7">
        <v>588</v>
      </c>
      <c r="O70" s="7">
        <v>56145.642</v>
      </c>
      <c r="P70" s="7">
        <v>113812.83</v>
      </c>
      <c r="Q70" s="7">
        <v>127261.97</v>
      </c>
      <c r="R70" s="7">
        <v>114392.564</v>
      </c>
      <c r="S70" s="7">
        <v>113779.46400000001</v>
      </c>
      <c r="T70" s="7">
        <v>132610.28</v>
      </c>
      <c r="U70" s="7">
        <v>115009.85800000001</v>
      </c>
      <c r="V70" s="7">
        <v>77609.5</v>
      </c>
      <c r="W70" s="7">
        <v>41069.712</v>
      </c>
      <c r="X70" s="7">
        <v>16718.577999999998</v>
      </c>
      <c r="Y70" s="7">
        <v>908410.39800000004</v>
      </c>
      <c r="Z70" s="8">
        <v>1.7276496722577329E-3</v>
      </c>
      <c r="AA70" s="8">
        <v>6.0625853869023373E-4</v>
      </c>
      <c r="AB70" s="8">
        <v>3.0645447339845515E-4</v>
      </c>
      <c r="AC70" s="8">
        <v>5.4199327152069086E-4</v>
      </c>
      <c r="AD70" s="8">
        <v>4.4823554450915674E-4</v>
      </c>
      <c r="AE70" s="8">
        <v>3.0917663396834693E-4</v>
      </c>
      <c r="AF70" s="8">
        <v>4.6083006206302764E-4</v>
      </c>
      <c r="AG70" s="8">
        <v>7.3444616960552508E-4</v>
      </c>
      <c r="AH70" s="8">
        <v>1.3391864057873111E-3</v>
      </c>
      <c r="AI70" s="8">
        <v>3.828076765858915E-3</v>
      </c>
      <c r="AJ70" s="8">
        <v>6.4728453273384915E-4</v>
      </c>
    </row>
    <row r="71" spans="1:36" x14ac:dyDescent="0.2">
      <c r="A71" t="s">
        <v>88</v>
      </c>
      <c r="B71">
        <v>2014</v>
      </c>
      <c r="C71" t="s">
        <v>94</v>
      </c>
      <c r="D71" s="7">
        <v>137</v>
      </c>
      <c r="E71" s="7">
        <v>45</v>
      </c>
      <c r="F71" s="7">
        <v>44</v>
      </c>
      <c r="G71" s="7">
        <v>43</v>
      </c>
      <c r="H71" s="7">
        <v>57</v>
      </c>
      <c r="I71" s="7">
        <v>50</v>
      </c>
      <c r="J71" s="7">
        <v>55</v>
      </c>
      <c r="K71" s="7">
        <v>63</v>
      </c>
      <c r="L71" s="7">
        <v>46</v>
      </c>
      <c r="M71" s="7">
        <v>63</v>
      </c>
      <c r="N71" s="7">
        <v>603</v>
      </c>
      <c r="O71" s="7">
        <v>55963.097000000002</v>
      </c>
      <c r="P71" s="7">
        <v>114168.27499999999</v>
      </c>
      <c r="Q71" s="7">
        <v>126039.97400000002</v>
      </c>
      <c r="R71" s="7">
        <v>117064.497</v>
      </c>
      <c r="S71" s="7">
        <v>112274.973</v>
      </c>
      <c r="T71" s="7">
        <v>132012.74</v>
      </c>
      <c r="U71" s="7">
        <v>118516.83900000001</v>
      </c>
      <c r="V71" s="7">
        <v>81244.688999999998</v>
      </c>
      <c r="W71" s="7">
        <v>42241.995999999999</v>
      </c>
      <c r="X71" s="7">
        <v>17598.285</v>
      </c>
      <c r="Y71" s="7">
        <v>917125.36500000011</v>
      </c>
      <c r="Z71" s="8">
        <v>2.4480417872513381E-3</v>
      </c>
      <c r="AA71" s="8">
        <v>3.9415503124664013E-4</v>
      </c>
      <c r="AB71" s="8">
        <v>3.4909559724282389E-4</v>
      </c>
      <c r="AC71" s="8">
        <v>3.673188806338099E-4</v>
      </c>
      <c r="AD71" s="8">
        <v>5.0768215281601534E-4</v>
      </c>
      <c r="AE71" s="8">
        <v>3.7875132354650017E-4</v>
      </c>
      <c r="AF71" s="8">
        <v>4.6406907629387579E-4</v>
      </c>
      <c r="AG71" s="8">
        <v>7.7543530260790335E-4</v>
      </c>
      <c r="AH71" s="8">
        <v>1.0889636938557544E-3</v>
      </c>
      <c r="AI71" s="8">
        <v>3.5798942908357263E-3</v>
      </c>
      <c r="AJ71" s="8">
        <v>6.5748917543023136E-4</v>
      </c>
    </row>
    <row r="72" spans="1:36" x14ac:dyDescent="0.2">
      <c r="A72" t="s">
        <v>88</v>
      </c>
      <c r="B72">
        <v>2015</v>
      </c>
      <c r="C72" t="s">
        <v>95</v>
      </c>
      <c r="D72" s="7">
        <v>90</v>
      </c>
      <c r="E72" s="7">
        <v>49</v>
      </c>
      <c r="F72" s="7">
        <v>63</v>
      </c>
      <c r="G72" s="7">
        <v>61</v>
      </c>
      <c r="H72" s="7">
        <v>57</v>
      </c>
      <c r="I72" s="7">
        <v>42</v>
      </c>
      <c r="J72" s="7">
        <v>52</v>
      </c>
      <c r="K72" s="7">
        <v>69</v>
      </c>
      <c r="L72" s="7">
        <v>63</v>
      </c>
      <c r="M72" s="7">
        <v>66</v>
      </c>
      <c r="N72" s="7">
        <v>612</v>
      </c>
      <c r="O72" s="7">
        <v>55605.577000000005</v>
      </c>
      <c r="P72" s="7">
        <v>113673.158</v>
      </c>
      <c r="Q72" s="7">
        <v>125757.539</v>
      </c>
      <c r="R72" s="7">
        <v>120033.74799999999</v>
      </c>
      <c r="S72" s="7">
        <v>111328.33799999999</v>
      </c>
      <c r="T72" s="7">
        <v>131079.57</v>
      </c>
      <c r="U72" s="7">
        <v>121253.851</v>
      </c>
      <c r="V72" s="7">
        <v>85953.712</v>
      </c>
      <c r="W72" s="7">
        <v>43807.407000000007</v>
      </c>
      <c r="X72" s="7">
        <v>17788.268</v>
      </c>
      <c r="Y72" s="7">
        <v>926281.16800000006</v>
      </c>
      <c r="Z72" s="8">
        <v>1.6185426868243807E-3</v>
      </c>
      <c r="AA72" s="8">
        <v>4.3106042677199132E-4</v>
      </c>
      <c r="AB72" s="8">
        <v>5.0096400184803237E-4</v>
      </c>
      <c r="AC72" s="8">
        <v>5.0819041324944719E-4</v>
      </c>
      <c r="AD72" s="8">
        <v>5.1199902041113737E-4</v>
      </c>
      <c r="AE72" s="8">
        <v>3.2041606483756394E-4</v>
      </c>
      <c r="AF72" s="8">
        <v>4.2885235867683906E-4</v>
      </c>
      <c r="AG72" s="8">
        <v>8.0275765169978927E-4</v>
      </c>
      <c r="AH72" s="8">
        <v>1.4381129656909387E-3</v>
      </c>
      <c r="AI72" s="8">
        <v>3.7103106384500165E-3</v>
      </c>
      <c r="AJ72" s="8">
        <v>6.6070651238803982E-4</v>
      </c>
    </row>
    <row r="73" spans="1:36" x14ac:dyDescent="0.2">
      <c r="A73" t="s">
        <v>88</v>
      </c>
      <c r="B73">
        <v>2016</v>
      </c>
      <c r="C73" t="s">
        <v>96</v>
      </c>
      <c r="D73" s="7">
        <v>121</v>
      </c>
      <c r="E73" s="7">
        <v>58</v>
      </c>
      <c r="F73" s="7">
        <v>46</v>
      </c>
      <c r="G73" s="7">
        <v>50</v>
      </c>
      <c r="H73" s="7">
        <v>55</v>
      </c>
      <c r="I73" s="7">
        <v>71</v>
      </c>
      <c r="J73" s="7">
        <v>43</v>
      </c>
      <c r="K73" s="7">
        <v>60</v>
      </c>
      <c r="L73" s="7">
        <v>59</v>
      </c>
      <c r="M73" s="7">
        <v>71</v>
      </c>
      <c r="N73" s="7">
        <v>634</v>
      </c>
      <c r="O73" s="7">
        <v>55711.476000000002</v>
      </c>
      <c r="P73" s="7">
        <v>114488.31</v>
      </c>
      <c r="Q73" s="7">
        <v>124332.12899999999</v>
      </c>
      <c r="R73" s="7">
        <v>122261.96699999999</v>
      </c>
      <c r="S73" s="7">
        <v>110395.70699999999</v>
      </c>
      <c r="T73" s="7">
        <v>129752.73000000001</v>
      </c>
      <c r="U73" s="7">
        <v>124605.88800000001</v>
      </c>
      <c r="V73" s="7">
        <v>90855.747000000003</v>
      </c>
      <c r="W73" s="7">
        <v>44843.163</v>
      </c>
      <c r="X73" s="7">
        <v>17960.129999999997</v>
      </c>
      <c r="Y73" s="7">
        <v>935207.24699999986</v>
      </c>
      <c r="Z73" s="8">
        <v>2.1719044026045908E-3</v>
      </c>
      <c r="AA73" s="8">
        <v>5.0660194040771499E-4</v>
      </c>
      <c r="AB73" s="8">
        <v>3.6997677406457025E-4</v>
      </c>
      <c r="AC73" s="8">
        <v>4.0895792229483766E-4</v>
      </c>
      <c r="AD73" s="8">
        <v>4.9820777903981364E-4</v>
      </c>
      <c r="AE73" s="8">
        <v>5.4719465247474945E-4</v>
      </c>
      <c r="AF73" s="8">
        <v>3.4508802665890074E-4</v>
      </c>
      <c r="AG73" s="8">
        <v>6.6038750416085403E-4</v>
      </c>
      <c r="AH73" s="8">
        <v>1.3156966648405243E-3</v>
      </c>
      <c r="AI73" s="8">
        <v>3.9532007841814069E-3</v>
      </c>
      <c r="AJ73" s="8">
        <v>6.7792460124082004E-4</v>
      </c>
    </row>
    <row r="74" spans="1:36" x14ac:dyDescent="0.2">
      <c r="A74" t="s">
        <v>88</v>
      </c>
      <c r="B74">
        <v>2017</v>
      </c>
      <c r="C74" t="s">
        <v>97</v>
      </c>
      <c r="D74" s="7">
        <v>117</v>
      </c>
      <c r="E74" s="7">
        <v>50</v>
      </c>
      <c r="F74" s="7">
        <v>52</v>
      </c>
      <c r="G74" s="7">
        <v>54</v>
      </c>
      <c r="H74" s="7">
        <v>62</v>
      </c>
      <c r="I74" s="7">
        <v>55</v>
      </c>
      <c r="J74" s="7">
        <v>50</v>
      </c>
      <c r="K74" s="7">
        <v>58</v>
      </c>
      <c r="L74" s="7">
        <v>60</v>
      </c>
      <c r="M74" s="7">
        <v>65</v>
      </c>
      <c r="N74" s="7">
        <v>623</v>
      </c>
      <c r="O74" s="7">
        <v>55282</v>
      </c>
      <c r="P74" s="7">
        <v>114024</v>
      </c>
      <c r="Q74" s="7">
        <v>122886</v>
      </c>
      <c r="R74" s="7">
        <v>125241</v>
      </c>
      <c r="S74" s="7">
        <v>110313</v>
      </c>
      <c r="T74" s="7">
        <v>128392</v>
      </c>
      <c r="U74" s="7">
        <v>127029</v>
      </c>
      <c r="V74" s="7">
        <v>95605</v>
      </c>
      <c r="W74" s="7">
        <v>46641</v>
      </c>
      <c r="X74" s="7">
        <v>18319</v>
      </c>
      <c r="Y74" s="7">
        <v>943732</v>
      </c>
      <c r="Z74" s="8">
        <v>2.1164212582757496E-3</v>
      </c>
      <c r="AA74" s="8">
        <v>4.3850417455974181E-4</v>
      </c>
      <c r="AB74" s="8">
        <v>4.2315642139869475E-4</v>
      </c>
      <c r="AC74" s="8">
        <v>4.3116870673341799E-4</v>
      </c>
      <c r="AD74" s="8">
        <v>5.6203711257965972E-4</v>
      </c>
      <c r="AE74" s="8">
        <v>4.2837559972583962E-4</v>
      </c>
      <c r="AF74" s="8">
        <v>3.9361090774547543E-4</v>
      </c>
      <c r="AG74" s="8">
        <v>6.0666283144187021E-4</v>
      </c>
      <c r="AH74" s="8">
        <v>1.2864218177140285E-3</v>
      </c>
      <c r="AI74" s="8">
        <v>3.5482286150990776E-3</v>
      </c>
      <c r="AJ74" s="8">
        <v>6.6014504117694434E-4</v>
      </c>
    </row>
    <row r="75" spans="1:36" x14ac:dyDescent="0.2">
      <c r="A75" t="s">
        <v>98</v>
      </c>
      <c r="B75">
        <v>2009</v>
      </c>
      <c r="C75" t="s">
        <v>99</v>
      </c>
      <c r="D75" s="7">
        <v>106</v>
      </c>
      <c r="E75" s="7">
        <v>60</v>
      </c>
      <c r="F75" s="7">
        <v>45</v>
      </c>
      <c r="G75" s="7">
        <v>50</v>
      </c>
      <c r="H75" s="7">
        <v>49</v>
      </c>
      <c r="I75" s="7">
        <v>62</v>
      </c>
      <c r="J75" s="7">
        <v>40</v>
      </c>
      <c r="K75" s="7">
        <v>45</v>
      </c>
      <c r="L75" s="7">
        <v>66</v>
      </c>
      <c r="M75" s="7">
        <v>76</v>
      </c>
      <c r="N75" s="7">
        <v>599</v>
      </c>
      <c r="O75" s="7">
        <v>35894.413</v>
      </c>
      <c r="P75" s="7">
        <v>59431.733</v>
      </c>
      <c r="Q75" s="7">
        <v>89441.815999999992</v>
      </c>
      <c r="R75" s="7">
        <v>105917.94</v>
      </c>
      <c r="S75" s="7">
        <v>86499.650999999998</v>
      </c>
      <c r="T75" s="7">
        <v>78261.589000000007</v>
      </c>
      <c r="U75" s="7">
        <v>64139.197</v>
      </c>
      <c r="V75" s="7">
        <v>36482.845999999998</v>
      </c>
      <c r="W75" s="7">
        <v>23537.32</v>
      </c>
      <c r="X75" s="7">
        <v>10003.361000000001</v>
      </c>
      <c r="Y75" s="7">
        <v>589609.86599999992</v>
      </c>
      <c r="Z75" s="8">
        <v>2.9531058217890345E-3</v>
      </c>
      <c r="AA75" s="8">
        <v>1.0095616764195653E-3</v>
      </c>
      <c r="AB75" s="8">
        <v>5.0312037492619786E-4</v>
      </c>
      <c r="AC75" s="8">
        <v>4.7206356165914855E-4</v>
      </c>
      <c r="AD75" s="8">
        <v>5.6647627399097835E-4</v>
      </c>
      <c r="AE75" s="8">
        <v>7.9221493956633051E-4</v>
      </c>
      <c r="AF75" s="8">
        <v>6.2364360439373754E-4</v>
      </c>
      <c r="AG75" s="8">
        <v>1.2334564030448722E-3</v>
      </c>
      <c r="AH75" s="8">
        <v>2.8040575562553426E-3</v>
      </c>
      <c r="AI75" s="8">
        <v>7.5974464982319434E-3</v>
      </c>
      <c r="AJ75" s="8">
        <v>1.0159260123371139E-3</v>
      </c>
    </row>
    <row r="76" spans="1:36" x14ac:dyDescent="0.2">
      <c r="A76" t="s">
        <v>98</v>
      </c>
      <c r="B76">
        <v>2010</v>
      </c>
      <c r="C76" t="s">
        <v>100</v>
      </c>
      <c r="D76" s="7">
        <v>85</v>
      </c>
      <c r="E76" s="7">
        <v>51</v>
      </c>
      <c r="F76" s="7">
        <v>57</v>
      </c>
      <c r="G76" s="7">
        <v>60</v>
      </c>
      <c r="H76" s="7">
        <v>66</v>
      </c>
      <c r="I76" s="7">
        <v>63</v>
      </c>
      <c r="J76" s="7">
        <v>57</v>
      </c>
      <c r="K76" s="7">
        <v>60</v>
      </c>
      <c r="L76" s="7">
        <v>48</v>
      </c>
      <c r="M76" s="7">
        <v>42</v>
      </c>
      <c r="N76" s="7">
        <v>589</v>
      </c>
      <c r="O76" s="7">
        <v>32142</v>
      </c>
      <c r="P76" s="7">
        <v>53180.4</v>
      </c>
      <c r="Q76" s="7">
        <v>99932.4</v>
      </c>
      <c r="R76" s="7">
        <v>113958</v>
      </c>
      <c r="S76" s="7">
        <v>81816</v>
      </c>
      <c r="T76" s="7">
        <v>75387.600000000006</v>
      </c>
      <c r="U76" s="7">
        <v>61946.399999999994</v>
      </c>
      <c r="V76" s="7">
        <v>35648.400000000001</v>
      </c>
      <c r="W76" s="7">
        <v>22207.200000000001</v>
      </c>
      <c r="X76" s="7">
        <v>9350.4</v>
      </c>
      <c r="Y76" s="7">
        <v>585568.80000000005</v>
      </c>
      <c r="Z76" s="8">
        <v>2.6445149648435069E-3</v>
      </c>
      <c r="AA76" s="8">
        <v>9.589999323058871E-4</v>
      </c>
      <c r="AB76" s="8">
        <v>5.7038558065252115E-4</v>
      </c>
      <c r="AC76" s="8">
        <v>5.2650976675617329E-4</v>
      </c>
      <c r="AD76" s="8">
        <v>8.0668817835142267E-4</v>
      </c>
      <c r="AE76" s="8">
        <v>8.3568119956067041E-4</v>
      </c>
      <c r="AF76" s="8">
        <v>9.2015032350548228E-4</v>
      </c>
      <c r="AG76" s="8">
        <v>1.6831049920894064E-3</v>
      </c>
      <c r="AH76" s="8">
        <v>2.1614611477358695E-3</v>
      </c>
      <c r="AI76" s="8">
        <v>4.4917864476386035E-3</v>
      </c>
      <c r="AJ76" s="8">
        <v>1.005859601809386E-3</v>
      </c>
    </row>
    <row r="77" spans="1:36" x14ac:dyDescent="0.2">
      <c r="A77" t="s">
        <v>98</v>
      </c>
      <c r="B77">
        <v>2011</v>
      </c>
      <c r="C77" t="s">
        <v>101</v>
      </c>
      <c r="D77" s="7">
        <v>95</v>
      </c>
      <c r="E77" s="7">
        <v>62</v>
      </c>
      <c r="F77" s="7">
        <v>54</v>
      </c>
      <c r="G77" s="7">
        <v>32</v>
      </c>
      <c r="H77" s="7">
        <v>47</v>
      </c>
      <c r="I77" s="7">
        <v>40</v>
      </c>
      <c r="J77" s="7">
        <v>45</v>
      </c>
      <c r="K77" s="7">
        <v>55</v>
      </c>
      <c r="L77" s="7">
        <v>40</v>
      </c>
      <c r="M77" s="7">
        <v>67</v>
      </c>
      <c r="N77" s="7">
        <v>537</v>
      </c>
      <c r="O77" s="7">
        <v>33261.480000000003</v>
      </c>
      <c r="P77" s="7">
        <v>52268.04</v>
      </c>
      <c r="Q77" s="7">
        <v>100972.35</v>
      </c>
      <c r="R77" s="7">
        <v>119384.955</v>
      </c>
      <c r="S77" s="7">
        <v>81965.790000000008</v>
      </c>
      <c r="T77" s="7">
        <v>75432.285000000003</v>
      </c>
      <c r="U77" s="7">
        <v>63553.184999999998</v>
      </c>
      <c r="V77" s="7">
        <v>35637.300000000003</v>
      </c>
      <c r="W77" s="7">
        <v>21382.38</v>
      </c>
      <c r="X77" s="7">
        <v>10097.235000000001</v>
      </c>
      <c r="Y77" s="7">
        <v>593955</v>
      </c>
      <c r="Z77" s="8">
        <v>2.8561567314503138E-3</v>
      </c>
      <c r="AA77" s="8">
        <v>1.1861933219611831E-3</v>
      </c>
      <c r="AB77" s="8">
        <v>5.3479987343069656E-4</v>
      </c>
      <c r="AC77" s="8">
        <v>2.6804047461424264E-4</v>
      </c>
      <c r="AD77" s="8">
        <v>5.734099555436481E-4</v>
      </c>
      <c r="AE77" s="8">
        <v>5.3027692320337366E-4</v>
      </c>
      <c r="AF77" s="8">
        <v>7.0806836824936466E-4</v>
      </c>
      <c r="AG77" s="8">
        <v>1.5433267952398189E-3</v>
      </c>
      <c r="AH77" s="8">
        <v>1.8706991457452351E-3</v>
      </c>
      <c r="AI77" s="8">
        <v>6.6354799110845686E-3</v>
      </c>
      <c r="AJ77" s="8">
        <v>9.0410889713867209E-4</v>
      </c>
    </row>
    <row r="78" spans="1:36" x14ac:dyDescent="0.2">
      <c r="A78" t="s">
        <v>98</v>
      </c>
      <c r="B78">
        <v>2012</v>
      </c>
      <c r="C78" t="s">
        <v>102</v>
      </c>
      <c r="D78" s="7">
        <v>117</v>
      </c>
      <c r="E78" s="7">
        <v>66</v>
      </c>
      <c r="F78" s="7">
        <v>57</v>
      </c>
      <c r="G78" s="7">
        <v>60</v>
      </c>
      <c r="H78" s="7">
        <v>65</v>
      </c>
      <c r="I78" s="7">
        <v>52</v>
      </c>
      <c r="J78" s="7">
        <v>48</v>
      </c>
      <c r="K78" s="7">
        <v>60</v>
      </c>
      <c r="L78" s="7">
        <v>58</v>
      </c>
      <c r="M78" s="7">
        <v>59</v>
      </c>
      <c r="N78" s="7">
        <v>642</v>
      </c>
      <c r="O78" s="7">
        <v>34528.262999999999</v>
      </c>
      <c r="P78" s="7">
        <v>52095.274000000005</v>
      </c>
      <c r="Q78" s="7">
        <v>101161.753</v>
      </c>
      <c r="R78" s="7">
        <v>125392.113</v>
      </c>
      <c r="S78" s="7">
        <v>82383.224000000002</v>
      </c>
      <c r="T78" s="7">
        <v>75114.116000000009</v>
      </c>
      <c r="U78" s="7">
        <v>64816.213000000003</v>
      </c>
      <c r="V78" s="7">
        <v>37557.058000000005</v>
      </c>
      <c r="W78" s="7">
        <v>21807.324000000001</v>
      </c>
      <c r="X78" s="7">
        <v>10297.903</v>
      </c>
      <c r="Y78" s="7">
        <v>605153.24100000004</v>
      </c>
      <c r="Z78" s="8">
        <v>3.3885284064246153E-3</v>
      </c>
      <c r="AA78" s="8">
        <v>1.2669095473036573E-3</v>
      </c>
      <c r="AB78" s="8">
        <v>5.6345405560538284E-4</v>
      </c>
      <c r="AC78" s="8">
        <v>4.7849899458987503E-4</v>
      </c>
      <c r="AD78" s="8">
        <v>7.8899558482926088E-4</v>
      </c>
      <c r="AE78" s="8">
        <v>6.9227999701148039E-4</v>
      </c>
      <c r="AF78" s="8">
        <v>7.4055545330918972E-4</v>
      </c>
      <c r="AG78" s="8">
        <v>1.5975692238726471E-3</v>
      </c>
      <c r="AH78" s="8">
        <v>2.6596569115953888E-3</v>
      </c>
      <c r="AI78" s="8">
        <v>5.7293217852217096E-3</v>
      </c>
      <c r="AJ78" s="8">
        <v>1.0608883114285427E-3</v>
      </c>
    </row>
    <row r="79" spans="1:36" x14ac:dyDescent="0.2">
      <c r="A79" t="s">
        <v>98</v>
      </c>
      <c r="B79">
        <v>2013</v>
      </c>
      <c r="C79" t="s">
        <v>103</v>
      </c>
      <c r="D79" s="7">
        <v>118</v>
      </c>
      <c r="E79" s="7">
        <v>52</v>
      </c>
      <c r="F79" s="7">
        <v>48</v>
      </c>
      <c r="G79" s="7">
        <v>66</v>
      </c>
      <c r="H79" s="7">
        <v>50</v>
      </c>
      <c r="I79" s="7">
        <v>69</v>
      </c>
      <c r="J79" s="7">
        <v>51</v>
      </c>
      <c r="K79" s="7">
        <v>31</v>
      </c>
      <c r="L79" s="7">
        <v>67</v>
      </c>
      <c r="M79" s="7">
        <v>64</v>
      </c>
      <c r="N79" s="7">
        <v>616</v>
      </c>
      <c r="O79" s="7">
        <v>36542.889000000003</v>
      </c>
      <c r="P79" s="7">
        <v>52027.164000000004</v>
      </c>
      <c r="Q79" s="7">
        <v>99718.731</v>
      </c>
      <c r="R79" s="7">
        <v>133164.76500000001</v>
      </c>
      <c r="S79" s="7">
        <v>84234.456000000006</v>
      </c>
      <c r="T79" s="7">
        <v>76182.633000000002</v>
      </c>
      <c r="U79" s="7">
        <v>65653.326000000001</v>
      </c>
      <c r="V79" s="7">
        <v>38401.002</v>
      </c>
      <c r="W79" s="7">
        <v>21677.985000000001</v>
      </c>
      <c r="X79" s="7">
        <v>9909.9359999999997</v>
      </c>
      <c r="Y79" s="7">
        <v>617512.88699999999</v>
      </c>
      <c r="Z79" s="8">
        <v>3.2290824077975881E-3</v>
      </c>
      <c r="AA79" s="8">
        <v>9.9947788812782489E-4</v>
      </c>
      <c r="AB79" s="8">
        <v>4.8135389929901938E-4</v>
      </c>
      <c r="AC79" s="8">
        <v>4.9562660212707161E-4</v>
      </c>
      <c r="AD79" s="8">
        <v>5.9358132496279195E-4</v>
      </c>
      <c r="AE79" s="8">
        <v>9.0571823633346985E-4</v>
      </c>
      <c r="AF79" s="8">
        <v>7.7680756036640098E-4</v>
      </c>
      <c r="AG79" s="8">
        <v>8.0727060194939703E-4</v>
      </c>
      <c r="AH79" s="8">
        <v>3.09069316174912E-3</v>
      </c>
      <c r="AI79" s="8">
        <v>6.4581648155951762E-3</v>
      </c>
      <c r="AJ79" s="8">
        <v>9.9755003169674748E-4</v>
      </c>
    </row>
    <row r="80" spans="1:36" x14ac:dyDescent="0.2">
      <c r="A80" t="s">
        <v>98</v>
      </c>
      <c r="B80">
        <v>2014</v>
      </c>
      <c r="C80" t="s">
        <v>104</v>
      </c>
      <c r="D80" s="7">
        <v>119</v>
      </c>
      <c r="E80" s="7">
        <v>68</v>
      </c>
      <c r="F80" s="7">
        <v>47</v>
      </c>
      <c r="G80" s="7">
        <v>48</v>
      </c>
      <c r="H80" s="7">
        <v>46</v>
      </c>
      <c r="I80" s="7">
        <v>44</v>
      </c>
      <c r="J80" s="7">
        <v>71</v>
      </c>
      <c r="K80" s="7">
        <v>53</v>
      </c>
      <c r="L80" s="7">
        <v>51</v>
      </c>
      <c r="M80" s="7">
        <v>44</v>
      </c>
      <c r="N80" s="7">
        <v>591</v>
      </c>
      <c r="O80" s="7">
        <v>38657.896000000001</v>
      </c>
      <c r="P80" s="7">
        <v>53233.824000000001</v>
      </c>
      <c r="Q80" s="7">
        <v>98862.815999999992</v>
      </c>
      <c r="R80" s="7">
        <v>140055.65600000002</v>
      </c>
      <c r="S80" s="7">
        <v>87455.567999999999</v>
      </c>
      <c r="T80" s="7">
        <v>76048.320000000007</v>
      </c>
      <c r="U80" s="7">
        <v>67809.752000000008</v>
      </c>
      <c r="V80" s="7">
        <v>39925.368000000002</v>
      </c>
      <c r="W80" s="7">
        <v>21547.023999999998</v>
      </c>
      <c r="X80" s="7">
        <v>10139.776</v>
      </c>
      <c r="Y80" s="7">
        <v>633736</v>
      </c>
      <c r="Z80" s="8">
        <v>3.0782844467272612E-3</v>
      </c>
      <c r="AA80" s="8">
        <v>1.2773833418392036E-3</v>
      </c>
      <c r="AB80" s="8">
        <v>4.7540624373879867E-4</v>
      </c>
      <c r="AC80" s="8">
        <v>3.4272089661270083E-4</v>
      </c>
      <c r="AD80" s="8">
        <v>5.2598137605143675E-4</v>
      </c>
      <c r="AE80" s="8">
        <v>5.7857951365658034E-4</v>
      </c>
      <c r="AF80" s="8">
        <v>1.0470470383080002E-3</v>
      </c>
      <c r="AG80" s="8">
        <v>1.3274768062250546E-3</v>
      </c>
      <c r="AH80" s="8">
        <v>2.3669161922314657E-3</v>
      </c>
      <c r="AI80" s="8">
        <v>4.3393463524243536E-3</v>
      </c>
      <c r="AJ80" s="8">
        <v>9.3256497973919742E-4</v>
      </c>
    </row>
    <row r="81" spans="1:36" x14ac:dyDescent="0.2">
      <c r="A81" t="s">
        <v>98</v>
      </c>
      <c r="B81">
        <v>2015</v>
      </c>
      <c r="C81" t="s">
        <v>105</v>
      </c>
      <c r="D81" s="7">
        <v>99</v>
      </c>
      <c r="E81" s="7">
        <v>45</v>
      </c>
      <c r="F81" s="7">
        <v>42</v>
      </c>
      <c r="G81" s="7">
        <v>46</v>
      </c>
      <c r="H81" s="7">
        <v>51</v>
      </c>
      <c r="I81" s="7">
        <v>42</v>
      </c>
      <c r="J81" s="7">
        <v>54</v>
      </c>
      <c r="K81" s="7">
        <v>50</v>
      </c>
      <c r="L81" s="7">
        <v>56</v>
      </c>
      <c r="M81" s="7">
        <v>67</v>
      </c>
      <c r="N81" s="7">
        <v>552</v>
      </c>
      <c r="O81" s="7">
        <v>40144.008000000002</v>
      </c>
      <c r="P81" s="7">
        <v>55036.14</v>
      </c>
      <c r="Q81" s="7">
        <v>97770.084000000003</v>
      </c>
      <c r="R81" s="7">
        <v>145036.41600000003</v>
      </c>
      <c r="S81" s="7">
        <v>90000.276000000013</v>
      </c>
      <c r="T81" s="7">
        <v>77050.59599999999</v>
      </c>
      <c r="U81" s="7">
        <v>68633.304000000004</v>
      </c>
      <c r="V81" s="7">
        <v>41438.975999999995</v>
      </c>
      <c r="W81" s="7">
        <v>22014.455999999998</v>
      </c>
      <c r="X81" s="7">
        <v>10359.744000000001</v>
      </c>
      <c r="Y81" s="7">
        <v>647484</v>
      </c>
      <c r="Z81" s="8">
        <v>2.466121469485558E-3</v>
      </c>
      <c r="AA81" s="8">
        <v>8.1764455138023853E-4</v>
      </c>
      <c r="AB81" s="8">
        <v>4.2957925657504802E-4</v>
      </c>
      <c r="AC81" s="8">
        <v>3.1716172578340597E-4</v>
      </c>
      <c r="AD81" s="8">
        <v>5.6666492889421798E-4</v>
      </c>
      <c r="AE81" s="8">
        <v>5.4509636758682579E-4</v>
      </c>
      <c r="AF81" s="8">
        <v>7.867900400073993E-4</v>
      </c>
      <c r="AG81" s="8">
        <v>1.2065935220020882E-3</v>
      </c>
      <c r="AH81" s="8">
        <v>2.5437830487385201E-3</v>
      </c>
      <c r="AI81" s="8">
        <v>6.4673412779311917E-3</v>
      </c>
      <c r="AJ81" s="8">
        <v>8.5253071890579535E-4</v>
      </c>
    </row>
    <row r="82" spans="1:36" x14ac:dyDescent="0.2">
      <c r="A82" t="s">
        <v>98</v>
      </c>
      <c r="B82">
        <v>2016</v>
      </c>
      <c r="C82" t="s">
        <v>106</v>
      </c>
      <c r="D82" s="7">
        <v>119</v>
      </c>
      <c r="E82" s="7">
        <v>55</v>
      </c>
      <c r="F82" s="7">
        <v>45</v>
      </c>
      <c r="G82" s="7">
        <v>46</v>
      </c>
      <c r="H82" s="7">
        <v>45</v>
      </c>
      <c r="I82" s="7">
        <v>52</v>
      </c>
      <c r="J82" s="7">
        <v>53</v>
      </c>
      <c r="K82" s="7">
        <v>57</v>
      </c>
      <c r="L82" s="7">
        <v>52</v>
      </c>
      <c r="M82" s="7">
        <v>44</v>
      </c>
      <c r="N82" s="7">
        <v>568</v>
      </c>
      <c r="O82" s="7">
        <v>42176.576000000001</v>
      </c>
      <c r="P82" s="7">
        <v>57333.782999999996</v>
      </c>
      <c r="Q82" s="7">
        <v>96874.323000000004</v>
      </c>
      <c r="R82" s="7">
        <v>149595.04300000001</v>
      </c>
      <c r="S82" s="7">
        <v>92920.269</v>
      </c>
      <c r="T82" s="7">
        <v>77104.053</v>
      </c>
      <c r="U82" s="7">
        <v>69195.945000000007</v>
      </c>
      <c r="V82" s="7">
        <v>42835.584999999999</v>
      </c>
      <c r="W82" s="7">
        <v>21747.296999999999</v>
      </c>
      <c r="X82" s="7">
        <v>10544.144</v>
      </c>
      <c r="Y82" s="7">
        <v>660327.01799999992</v>
      </c>
      <c r="Z82" s="8">
        <v>2.8214713304370652E-3</v>
      </c>
      <c r="AA82" s="8">
        <v>9.5929480180995564E-4</v>
      </c>
      <c r="AB82" s="8">
        <v>4.6451937527346642E-4</v>
      </c>
      <c r="AC82" s="8">
        <v>3.0749681993139306E-4</v>
      </c>
      <c r="AD82" s="8">
        <v>4.8428615719999689E-4</v>
      </c>
      <c r="AE82" s="8">
        <v>6.7441331521184752E-4</v>
      </c>
      <c r="AF82" s="8">
        <v>7.6594083656202679E-4</v>
      </c>
      <c r="AG82" s="8">
        <v>1.3306693488602992E-3</v>
      </c>
      <c r="AH82" s="8">
        <v>2.391101753932914E-3</v>
      </c>
      <c r="AI82" s="8">
        <v>4.1729323878733062E-3</v>
      </c>
      <c r="AJ82" s="8">
        <v>8.6017985712648825E-4</v>
      </c>
    </row>
    <row r="83" spans="1:36" x14ac:dyDescent="0.2">
      <c r="A83" t="s">
        <v>98</v>
      </c>
      <c r="B83">
        <v>2017</v>
      </c>
      <c r="C83" t="s">
        <v>107</v>
      </c>
      <c r="D83" s="7">
        <v>127</v>
      </c>
      <c r="E83" s="7">
        <v>48</v>
      </c>
      <c r="F83" s="7">
        <v>54</v>
      </c>
      <c r="G83" s="7">
        <v>67</v>
      </c>
      <c r="H83" s="7">
        <v>53</v>
      </c>
      <c r="I83" s="7">
        <v>57</v>
      </c>
      <c r="J83" s="7">
        <v>50</v>
      </c>
      <c r="K83" s="7">
        <v>51</v>
      </c>
      <c r="L83" s="7">
        <v>56</v>
      </c>
      <c r="M83" s="7">
        <v>58</v>
      </c>
      <c r="N83" s="7">
        <v>621</v>
      </c>
      <c r="O83" s="7">
        <v>43607</v>
      </c>
      <c r="P83" s="7">
        <v>58900</v>
      </c>
      <c r="Q83" s="7">
        <v>92041</v>
      </c>
      <c r="R83" s="7">
        <v>156390</v>
      </c>
      <c r="S83" s="7">
        <v>95604</v>
      </c>
      <c r="T83" s="7">
        <v>76580</v>
      </c>
      <c r="U83" s="7">
        <v>69500</v>
      </c>
      <c r="V83" s="7">
        <v>45582</v>
      </c>
      <c r="W83" s="7">
        <v>23058</v>
      </c>
      <c r="X83" s="7">
        <v>11129</v>
      </c>
      <c r="Y83" s="7">
        <v>672391</v>
      </c>
      <c r="Z83" s="8">
        <v>2.9123764533217143E-3</v>
      </c>
      <c r="AA83" s="8">
        <v>8.1494057724957551E-4</v>
      </c>
      <c r="AB83" s="8">
        <v>5.8669505981030193E-4</v>
      </c>
      <c r="AC83" s="8">
        <v>4.2841613913933117E-4</v>
      </c>
      <c r="AD83" s="8">
        <v>5.5437011003723691E-4</v>
      </c>
      <c r="AE83" s="8">
        <v>7.4431966570906243E-4</v>
      </c>
      <c r="AF83" s="8">
        <v>7.1942446043165469E-4</v>
      </c>
      <c r="AG83" s="8">
        <v>1.1188627089640647E-3</v>
      </c>
      <c r="AH83" s="8">
        <v>2.4286581663630845E-3</v>
      </c>
      <c r="AI83" s="8">
        <v>5.2116093090124899E-3</v>
      </c>
      <c r="AJ83" s="8">
        <v>9.2356976818547547E-4</v>
      </c>
    </row>
    <row r="84" spans="1:36" x14ac:dyDescent="0.2">
      <c r="A84" t="s">
        <v>108</v>
      </c>
      <c r="B84">
        <v>2009</v>
      </c>
      <c r="C84" t="s">
        <v>109</v>
      </c>
      <c r="D84" s="7">
        <v>102</v>
      </c>
      <c r="E84" s="7">
        <v>32</v>
      </c>
      <c r="F84" s="7">
        <v>57</v>
      </c>
      <c r="G84" s="7">
        <v>78</v>
      </c>
      <c r="H84" s="7">
        <v>72</v>
      </c>
      <c r="I84" s="7">
        <v>168</v>
      </c>
      <c r="J84" s="7">
        <v>201</v>
      </c>
      <c r="K84" s="7">
        <v>284</v>
      </c>
      <c r="L84" s="7">
        <v>604</v>
      </c>
      <c r="M84" s="7">
        <v>973</v>
      </c>
      <c r="N84" s="7">
        <v>2571</v>
      </c>
      <c r="O84" s="7">
        <v>1145650.9979999999</v>
      </c>
      <c r="P84" s="7">
        <v>2200526.0930000003</v>
      </c>
      <c r="Q84" s="7">
        <v>2347623.716</v>
      </c>
      <c r="R84" s="7">
        <v>2290188.2549999999</v>
      </c>
      <c r="S84" s="7">
        <v>2518290.550999999</v>
      </c>
      <c r="T84" s="7">
        <v>2560323.9870000007</v>
      </c>
      <c r="U84" s="7">
        <v>2092147.9109999994</v>
      </c>
      <c r="V84" s="7">
        <v>1478978.5720000002</v>
      </c>
      <c r="W84" s="7">
        <v>1165060.9329999997</v>
      </c>
      <c r="X84" s="7">
        <v>427425.42700000003</v>
      </c>
      <c r="Y84" s="7">
        <v>18226216.442999996</v>
      </c>
      <c r="Z84" s="8">
        <v>8.9032349448535996E-5</v>
      </c>
      <c r="AA84" s="8">
        <v>1.4541977076206383E-5</v>
      </c>
      <c r="AB84" s="8">
        <v>2.4279870582121857E-5</v>
      </c>
      <c r="AC84" s="8">
        <v>3.4058335523164229E-5</v>
      </c>
      <c r="AD84" s="8">
        <v>2.8590823235789534E-5</v>
      </c>
      <c r="AE84" s="8">
        <v>6.5616695720157689E-5</v>
      </c>
      <c r="AF84" s="8">
        <v>9.6073513226857158E-5</v>
      </c>
      <c r="AG84" s="8">
        <v>1.9202441832267463E-4</v>
      </c>
      <c r="AH84" s="8">
        <v>5.184278202898081E-4</v>
      </c>
      <c r="AI84" s="8">
        <v>2.2764204900706572E-3</v>
      </c>
      <c r="AJ84" s="8">
        <v>1.4106054364274953E-4</v>
      </c>
    </row>
    <row r="85" spans="1:36" x14ac:dyDescent="0.2">
      <c r="A85" t="s">
        <v>108</v>
      </c>
      <c r="B85">
        <v>2010</v>
      </c>
      <c r="C85" t="s">
        <v>110</v>
      </c>
      <c r="D85" s="7">
        <v>155</v>
      </c>
      <c r="E85" s="7">
        <v>64</v>
      </c>
      <c r="F85" s="7">
        <v>56</v>
      </c>
      <c r="G85" s="7">
        <v>58</v>
      </c>
      <c r="H85" s="7">
        <v>67</v>
      </c>
      <c r="I85" s="7">
        <v>101</v>
      </c>
      <c r="J85" s="7">
        <v>157</v>
      </c>
      <c r="K85" s="7">
        <v>294</v>
      </c>
      <c r="L85" s="7">
        <v>648</v>
      </c>
      <c r="M85" s="7">
        <v>962</v>
      </c>
      <c r="N85" s="7">
        <v>2562</v>
      </c>
      <c r="O85" s="7">
        <v>1083664.9839999999</v>
      </c>
      <c r="P85" s="7">
        <v>2207634.0710000009</v>
      </c>
      <c r="Q85" s="7">
        <v>2447809.6439999989</v>
      </c>
      <c r="R85" s="7">
        <v>2252455.3450000007</v>
      </c>
      <c r="S85" s="7">
        <v>2511271.9369999995</v>
      </c>
      <c r="T85" s="7">
        <v>2671795.9079999998</v>
      </c>
      <c r="U85" s="7">
        <v>2228963.6939999997</v>
      </c>
      <c r="V85" s="7">
        <v>1637561.4230000002</v>
      </c>
      <c r="W85" s="7">
        <v>1089156.9950000001</v>
      </c>
      <c r="X85" s="7">
        <v>413687.53900000005</v>
      </c>
      <c r="Y85" s="7">
        <v>18544001.539999999</v>
      </c>
      <c r="Z85" s="8">
        <v>1.4303313504499099E-4</v>
      </c>
      <c r="AA85" s="8">
        <v>2.899031177345875E-5</v>
      </c>
      <c r="AB85" s="8">
        <v>2.2877595950839395E-5</v>
      </c>
      <c r="AC85" s="8">
        <v>2.5749678069644477E-5</v>
      </c>
      <c r="AD85" s="8">
        <v>2.6679707208467091E-5</v>
      </c>
      <c r="AE85" s="8">
        <v>3.7802288602052909E-5</v>
      </c>
      <c r="AF85" s="8">
        <v>7.0436319991491083E-5</v>
      </c>
      <c r="AG85" s="8">
        <v>1.7953525032446979E-4</v>
      </c>
      <c r="AH85" s="8">
        <v>5.9495555092128839E-4</v>
      </c>
      <c r="AI85" s="8">
        <v>2.3254265824042622E-3</v>
      </c>
      <c r="AJ85" s="8">
        <v>1.3815788326341998E-4</v>
      </c>
    </row>
    <row r="86" spans="1:36" x14ac:dyDescent="0.2">
      <c r="A86" t="s">
        <v>108</v>
      </c>
      <c r="B86">
        <v>2011</v>
      </c>
      <c r="C86" t="s">
        <v>111</v>
      </c>
      <c r="D86" s="7">
        <v>111</v>
      </c>
      <c r="E86" s="7">
        <v>51</v>
      </c>
      <c r="F86" s="7">
        <v>75</v>
      </c>
      <c r="G86" s="7">
        <v>63</v>
      </c>
      <c r="H86" s="7">
        <v>68</v>
      </c>
      <c r="I86" s="7">
        <v>106</v>
      </c>
      <c r="J86" s="7">
        <v>193</v>
      </c>
      <c r="K86" s="7">
        <v>327</v>
      </c>
      <c r="L86" s="7">
        <v>629</v>
      </c>
      <c r="M86" s="7">
        <v>1078</v>
      </c>
      <c r="N86" s="7">
        <v>2701</v>
      </c>
      <c r="O86" s="7">
        <v>1076278.574</v>
      </c>
      <c r="P86" s="7">
        <v>2198252.3189999997</v>
      </c>
      <c r="Q86" s="7">
        <v>2450814.7779999999</v>
      </c>
      <c r="R86" s="7">
        <v>2269669.4440000001</v>
      </c>
      <c r="S86" s="7">
        <v>2465973.4669999997</v>
      </c>
      <c r="T86" s="7">
        <v>2693234.0309999995</v>
      </c>
      <c r="U86" s="7">
        <v>2282822.878000001</v>
      </c>
      <c r="V86" s="7">
        <v>1677543.2919999999</v>
      </c>
      <c r="W86" s="7">
        <v>1093333.7030000002</v>
      </c>
      <c r="X86" s="7">
        <v>430240.88800000015</v>
      </c>
      <c r="Y86" s="7">
        <v>18638163.374000002</v>
      </c>
      <c r="Z86" s="8">
        <v>1.0313315035852418E-4</v>
      </c>
      <c r="AA86" s="8">
        <v>2.3200248469748121E-5</v>
      </c>
      <c r="AB86" s="8">
        <v>3.0602067799347994E-5</v>
      </c>
      <c r="AC86" s="8">
        <v>2.7757345972359135E-5</v>
      </c>
      <c r="AD86" s="8">
        <v>2.7575316973189479E-5</v>
      </c>
      <c r="AE86" s="8">
        <v>3.9357886756184401E-5</v>
      </c>
      <c r="AF86" s="8">
        <v>8.4544447955195204E-5</v>
      </c>
      <c r="AG86" s="8">
        <v>1.9492790532406719E-4</v>
      </c>
      <c r="AH86" s="8">
        <v>5.753046835326541E-4</v>
      </c>
      <c r="AI86" s="8">
        <v>2.5055731104757289E-3</v>
      </c>
      <c r="AJ86" s="8">
        <v>1.4491771242695835E-4</v>
      </c>
    </row>
    <row r="87" spans="1:36" x14ac:dyDescent="0.2">
      <c r="A87" t="s">
        <v>108</v>
      </c>
      <c r="B87">
        <v>2012</v>
      </c>
      <c r="C87" t="s">
        <v>112</v>
      </c>
      <c r="D87" s="7">
        <v>108</v>
      </c>
      <c r="E87" s="7">
        <v>61</v>
      </c>
      <c r="F87" s="7">
        <v>50</v>
      </c>
      <c r="G87" s="7">
        <v>39</v>
      </c>
      <c r="H87" s="7">
        <v>60</v>
      </c>
      <c r="I87" s="7">
        <v>81</v>
      </c>
      <c r="J87" s="7">
        <v>195</v>
      </c>
      <c r="K87" s="7">
        <v>324</v>
      </c>
      <c r="L87" s="7">
        <v>606</v>
      </c>
      <c r="M87" s="7">
        <v>1055</v>
      </c>
      <c r="N87" s="7">
        <v>2579</v>
      </c>
      <c r="O87" s="7">
        <v>1062753.5740000003</v>
      </c>
      <c r="P87" s="7">
        <v>2185260.2759999996</v>
      </c>
      <c r="Q87" s="7">
        <v>2447663.5260000005</v>
      </c>
      <c r="R87" s="7">
        <v>2286073.11</v>
      </c>
      <c r="S87" s="7">
        <v>2414774.2719999994</v>
      </c>
      <c r="T87" s="7">
        <v>2700344.2289999994</v>
      </c>
      <c r="U87" s="7">
        <v>2328421.781</v>
      </c>
      <c r="V87" s="7">
        <v>1732394.8089999999</v>
      </c>
      <c r="W87" s="7">
        <v>1095270.8570000001</v>
      </c>
      <c r="X87" s="7">
        <v>445257.47200000007</v>
      </c>
      <c r="Y87" s="7">
        <v>18698213.905999999</v>
      </c>
      <c r="Z87" s="8">
        <v>1.0162280573991274E-4</v>
      </c>
      <c r="AA87" s="8">
        <v>2.7914295001809667E-5</v>
      </c>
      <c r="AB87" s="8">
        <v>2.0427644350982574E-5</v>
      </c>
      <c r="AC87" s="8">
        <v>1.7059821853203988E-5</v>
      </c>
      <c r="AD87" s="8">
        <v>2.4847042928905288E-5</v>
      </c>
      <c r="AE87" s="8">
        <v>2.9996175720899181E-5</v>
      </c>
      <c r="AF87" s="8">
        <v>8.374771340450711E-5</v>
      </c>
      <c r="AG87" s="8">
        <v>1.8702434244017641E-4</v>
      </c>
      <c r="AH87" s="8">
        <v>5.5328779737631598E-4</v>
      </c>
      <c r="AI87" s="8">
        <v>2.3694155996106447E-3</v>
      </c>
      <c r="AJ87" s="8">
        <v>1.3792761238935416E-4</v>
      </c>
    </row>
    <row r="88" spans="1:36" x14ac:dyDescent="0.2">
      <c r="A88" t="s">
        <v>108</v>
      </c>
      <c r="B88">
        <v>2013</v>
      </c>
      <c r="C88" t="s">
        <v>113</v>
      </c>
      <c r="D88" s="7">
        <v>104</v>
      </c>
      <c r="E88" s="7">
        <v>51</v>
      </c>
      <c r="F88" s="7">
        <v>57</v>
      </c>
      <c r="G88" s="7">
        <v>40</v>
      </c>
      <c r="H88" s="7">
        <v>67</v>
      </c>
      <c r="I88" s="7">
        <v>131</v>
      </c>
      <c r="J88" s="7">
        <v>278</v>
      </c>
      <c r="K88" s="7">
        <v>374</v>
      </c>
      <c r="L88" s="7">
        <v>609</v>
      </c>
      <c r="M88" s="7">
        <v>1153</v>
      </c>
      <c r="N88" s="7">
        <v>2864</v>
      </c>
      <c r="O88" s="7">
        <v>1063059.5109999992</v>
      </c>
      <c r="P88" s="7">
        <v>2191710.176</v>
      </c>
      <c r="Q88" s="7">
        <v>2451029.6340000001</v>
      </c>
      <c r="R88" s="7">
        <v>2322338.1360000004</v>
      </c>
      <c r="S88" s="7">
        <v>2390987.6549999993</v>
      </c>
      <c r="T88" s="7">
        <v>2703347.9390000002</v>
      </c>
      <c r="U88" s="7">
        <v>2370885.452</v>
      </c>
      <c r="V88" s="7">
        <v>1780374.5109999997</v>
      </c>
      <c r="W88" s="7">
        <v>1093985.9009999998</v>
      </c>
      <c r="X88" s="7">
        <v>458530.58799999987</v>
      </c>
      <c r="Y88" s="7">
        <v>18826249.502999999</v>
      </c>
      <c r="Z88" s="8">
        <v>9.7830835361389359E-5</v>
      </c>
      <c r="AA88" s="8">
        <v>2.3269500027178775E-5</v>
      </c>
      <c r="AB88" s="8">
        <v>2.3255532780718716E-5</v>
      </c>
      <c r="AC88" s="8">
        <v>1.7224020645372544E-5</v>
      </c>
      <c r="AD88" s="8">
        <v>2.8021892902663281E-5</v>
      </c>
      <c r="AE88" s="8">
        <v>4.8458431158683337E-5</v>
      </c>
      <c r="AF88" s="8">
        <v>1.1725577031378233E-4</v>
      </c>
      <c r="AG88" s="8">
        <v>2.1006816132743437E-4</v>
      </c>
      <c r="AH88" s="8">
        <v>5.5667993476270596E-4</v>
      </c>
      <c r="AI88" s="8">
        <v>2.5145541653591938E-3</v>
      </c>
      <c r="AJ88" s="8">
        <v>1.5212801676423211E-4</v>
      </c>
    </row>
    <row r="89" spans="1:36" x14ac:dyDescent="0.2">
      <c r="A89" t="s">
        <v>108</v>
      </c>
      <c r="B89">
        <v>2014</v>
      </c>
      <c r="C89" t="s">
        <v>114</v>
      </c>
      <c r="D89" s="7">
        <v>123</v>
      </c>
      <c r="E89" s="7">
        <v>39</v>
      </c>
      <c r="F89" s="7">
        <v>66</v>
      </c>
      <c r="G89" s="7">
        <v>63</v>
      </c>
      <c r="H89" s="7">
        <v>87</v>
      </c>
      <c r="I89" s="7">
        <v>168</v>
      </c>
      <c r="J89" s="7">
        <v>277</v>
      </c>
      <c r="K89" s="7">
        <v>388</v>
      </c>
      <c r="L89" s="7">
        <v>671</v>
      </c>
      <c r="M89" s="7">
        <v>1084</v>
      </c>
      <c r="N89" s="7">
        <v>2966</v>
      </c>
      <c r="O89" s="7">
        <v>1070704.605</v>
      </c>
      <c r="P89" s="7">
        <v>2221061.8509999989</v>
      </c>
      <c r="Q89" s="7">
        <v>2474681.6660000016</v>
      </c>
      <c r="R89" s="7">
        <v>2392226.9990000003</v>
      </c>
      <c r="S89" s="7">
        <v>2399871.9749999996</v>
      </c>
      <c r="T89" s="7">
        <v>2725974.1489999997</v>
      </c>
      <c r="U89" s="7">
        <v>2446347.9810000001</v>
      </c>
      <c r="V89" s="7">
        <v>1871177.4499999997</v>
      </c>
      <c r="W89" s="7">
        <v>1124170.5029999998</v>
      </c>
      <c r="X89" s="7">
        <v>476813.78299999994</v>
      </c>
      <c r="Y89" s="7">
        <v>19203030.962000001</v>
      </c>
      <c r="Z89" s="8">
        <v>1.1487762303964313E-4</v>
      </c>
      <c r="AA89" s="8">
        <v>1.7559168819382877E-5</v>
      </c>
      <c r="AB89" s="8">
        <v>2.6670096969150924E-5</v>
      </c>
      <c r="AC89" s="8">
        <v>2.633529344261029E-5</v>
      </c>
      <c r="AD89" s="8">
        <v>3.6251933814094399E-5</v>
      </c>
      <c r="AE89" s="8">
        <v>6.1629344526847171E-5</v>
      </c>
      <c r="AF89" s="8">
        <v>1.1323000740343161E-4</v>
      </c>
      <c r="AG89" s="8">
        <v>2.0735606876835761E-4</v>
      </c>
      <c r="AH89" s="8">
        <v>5.9688454572446659E-4</v>
      </c>
      <c r="AI89" s="8">
        <v>2.2734242143331671E-3</v>
      </c>
      <c r="AJ89" s="8">
        <v>1.5445478403223334E-4</v>
      </c>
    </row>
    <row r="90" spans="1:36" x14ac:dyDescent="0.2">
      <c r="A90" t="s">
        <v>108</v>
      </c>
      <c r="B90">
        <v>2015</v>
      </c>
      <c r="C90" t="s">
        <v>115</v>
      </c>
      <c r="D90" s="7">
        <v>104</v>
      </c>
      <c r="E90" s="7">
        <v>66</v>
      </c>
      <c r="F90" s="7">
        <v>68</v>
      </c>
      <c r="G90" s="7">
        <v>60</v>
      </c>
      <c r="H90" s="7">
        <v>66</v>
      </c>
      <c r="I90" s="7">
        <v>91</v>
      </c>
      <c r="J90" s="7">
        <v>224</v>
      </c>
      <c r="K90" s="7">
        <v>441</v>
      </c>
      <c r="L90" s="7">
        <v>733</v>
      </c>
      <c r="M90" s="7">
        <v>1097</v>
      </c>
      <c r="N90" s="7">
        <v>2950</v>
      </c>
      <c r="O90" s="7">
        <v>1064943.575</v>
      </c>
      <c r="P90" s="7">
        <v>2210282.1259999997</v>
      </c>
      <c r="Q90" s="7">
        <v>2448874.5329999998</v>
      </c>
      <c r="R90" s="7">
        <v>2426553.2090000007</v>
      </c>
      <c r="S90" s="7">
        <v>2388301.2420000001</v>
      </c>
      <c r="T90" s="7">
        <v>2709205.4820000008</v>
      </c>
      <c r="U90" s="7">
        <v>2498189.9999999991</v>
      </c>
      <c r="V90" s="7">
        <v>1961767.3490000004</v>
      </c>
      <c r="W90" s="7">
        <v>1157635.5219999996</v>
      </c>
      <c r="X90" s="7">
        <v>494974.69099999999</v>
      </c>
      <c r="Y90" s="7">
        <v>19360727.728999998</v>
      </c>
      <c r="Z90" s="8">
        <v>9.7657756186753843E-5</v>
      </c>
      <c r="AA90" s="8">
        <v>2.9860441444840245E-5</v>
      </c>
      <c r="AB90" s="8">
        <v>2.7767857880696088E-5</v>
      </c>
      <c r="AC90" s="8">
        <v>2.472643079799862E-5</v>
      </c>
      <c r="AD90" s="8">
        <v>2.7634704885356332E-5</v>
      </c>
      <c r="AE90" s="8">
        <v>3.3589183472647339E-5</v>
      </c>
      <c r="AF90" s="8">
        <v>8.9664917400197774E-5</v>
      </c>
      <c r="AG90" s="8">
        <v>2.2479729832632661E-4</v>
      </c>
      <c r="AH90" s="8">
        <v>6.3318720449561348E-4</v>
      </c>
      <c r="AI90" s="8">
        <v>2.2162749327318638E-3</v>
      </c>
      <c r="AJ90" s="8">
        <v>1.5237030556352805E-4</v>
      </c>
    </row>
    <row r="91" spans="1:36" x14ac:dyDescent="0.2">
      <c r="A91" t="s">
        <v>108</v>
      </c>
      <c r="B91">
        <v>2016</v>
      </c>
      <c r="C91" t="s">
        <v>116</v>
      </c>
      <c r="D91" s="7">
        <v>109</v>
      </c>
      <c r="E91" s="7">
        <v>55</v>
      </c>
      <c r="F91" s="7">
        <v>53</v>
      </c>
      <c r="G91" s="7">
        <v>48</v>
      </c>
      <c r="H91" s="7">
        <v>71</v>
      </c>
      <c r="I91" s="7">
        <v>135</v>
      </c>
      <c r="J91" s="7">
        <v>274</v>
      </c>
      <c r="K91" s="7">
        <v>471</v>
      </c>
      <c r="L91" s="7">
        <v>701</v>
      </c>
      <c r="M91" s="7">
        <v>1088</v>
      </c>
      <c r="N91" s="7">
        <v>3005</v>
      </c>
      <c r="O91" s="7">
        <v>1100233.4720000001</v>
      </c>
      <c r="P91" s="7">
        <v>2277652.929</v>
      </c>
      <c r="Q91" s="7">
        <v>2496728.9919999992</v>
      </c>
      <c r="R91" s="7">
        <v>2539950.6469999994</v>
      </c>
      <c r="S91" s="7">
        <v>2444310.5619999999</v>
      </c>
      <c r="T91" s="7">
        <v>2759872.6089999997</v>
      </c>
      <c r="U91" s="7">
        <v>2595851.11</v>
      </c>
      <c r="V91" s="7">
        <v>2094603.5249999999</v>
      </c>
      <c r="W91" s="7">
        <v>1203592.6179999998</v>
      </c>
      <c r="X91" s="7">
        <v>517464.64500000008</v>
      </c>
      <c r="Y91" s="7">
        <v>20030261.108999997</v>
      </c>
      <c r="Z91" s="8">
        <v>9.9069881778692147E-5</v>
      </c>
      <c r="AA91" s="8">
        <v>2.4147665036985097E-5</v>
      </c>
      <c r="AB91" s="8">
        <v>2.1227774488069074E-5</v>
      </c>
      <c r="AC91" s="8">
        <v>1.8898004989464667E-5</v>
      </c>
      <c r="AD91" s="8">
        <v>2.9047045454774745E-5</v>
      </c>
      <c r="AE91" s="8">
        <v>4.891530122070211E-5</v>
      </c>
      <c r="AF91" s="8">
        <v>1.055530492270799E-4</v>
      </c>
      <c r="AG91" s="8">
        <v>2.2486355741237475E-4</v>
      </c>
      <c r="AH91" s="8">
        <v>5.824229805969117E-4</v>
      </c>
      <c r="AI91" s="8">
        <v>2.1025591033373881E-3</v>
      </c>
      <c r="AJ91" s="8">
        <v>1.5002300687182721E-4</v>
      </c>
    </row>
    <row r="92" spans="1:36" x14ac:dyDescent="0.2">
      <c r="A92" t="s">
        <v>108</v>
      </c>
      <c r="B92">
        <v>2017</v>
      </c>
      <c r="C92" t="s">
        <v>117</v>
      </c>
      <c r="D92" s="7">
        <v>86</v>
      </c>
      <c r="E92" s="7">
        <v>58</v>
      </c>
      <c r="F92" s="7">
        <v>74</v>
      </c>
      <c r="G92" s="7">
        <v>60</v>
      </c>
      <c r="H92" s="7">
        <v>64</v>
      </c>
      <c r="I92" s="7">
        <v>75</v>
      </c>
      <c r="J92" s="7">
        <v>300</v>
      </c>
      <c r="K92" s="7">
        <v>516</v>
      </c>
      <c r="L92" s="7">
        <v>744</v>
      </c>
      <c r="M92" s="7">
        <v>1294</v>
      </c>
      <c r="N92" s="7">
        <v>3271</v>
      </c>
      <c r="O92" s="7">
        <v>1115082</v>
      </c>
      <c r="P92" s="7">
        <v>2308358</v>
      </c>
      <c r="Q92" s="7">
        <v>2515016</v>
      </c>
      <c r="R92" s="7">
        <v>2617967</v>
      </c>
      <c r="S92" s="7">
        <v>2482411</v>
      </c>
      <c r="T92" s="7">
        <v>2775781</v>
      </c>
      <c r="U92" s="7">
        <v>2671831</v>
      </c>
      <c r="V92" s="7">
        <v>2184197</v>
      </c>
      <c r="W92" s="7">
        <v>1241746</v>
      </c>
      <c r="X92" s="7">
        <v>526343</v>
      </c>
      <c r="Y92" s="7">
        <v>20438732</v>
      </c>
      <c r="Z92" s="8">
        <v>7.7124372916072536E-5</v>
      </c>
      <c r="AA92" s="8">
        <v>2.5126085295261827E-5</v>
      </c>
      <c r="AB92" s="8">
        <v>2.9423272058706583E-5</v>
      </c>
      <c r="AC92" s="8">
        <v>2.2918547101625041E-5</v>
      </c>
      <c r="AD92" s="8">
        <v>2.578138753010682E-5</v>
      </c>
      <c r="AE92" s="8">
        <v>2.701942264177181E-5</v>
      </c>
      <c r="AF92" s="8">
        <v>1.1228255080504718E-4</v>
      </c>
      <c r="AG92" s="8">
        <v>2.3624242685069157E-4</v>
      </c>
      <c r="AH92" s="8">
        <v>5.9915634920507089E-4</v>
      </c>
      <c r="AI92" s="8">
        <v>2.4584728969512274E-3</v>
      </c>
      <c r="AJ92" s="8">
        <v>1.6003928228032932E-4</v>
      </c>
    </row>
    <row r="93" spans="1:36" x14ac:dyDescent="0.2">
      <c r="A93" t="s">
        <v>118</v>
      </c>
      <c r="B93">
        <v>2009</v>
      </c>
      <c r="C93" t="s">
        <v>119</v>
      </c>
      <c r="D93" s="7">
        <v>96</v>
      </c>
      <c r="E93" s="7">
        <v>66</v>
      </c>
      <c r="F93" s="7">
        <v>47</v>
      </c>
      <c r="G93" s="7">
        <v>59</v>
      </c>
      <c r="H93" s="7">
        <v>50</v>
      </c>
      <c r="I93" s="7">
        <v>71</v>
      </c>
      <c r="J93" s="7">
        <v>130</v>
      </c>
      <c r="K93" s="7">
        <v>192</v>
      </c>
      <c r="L93" s="7">
        <v>410</v>
      </c>
      <c r="M93" s="7">
        <v>562</v>
      </c>
      <c r="N93" s="7">
        <v>1683</v>
      </c>
      <c r="O93" s="7">
        <v>739624.83200000029</v>
      </c>
      <c r="P93" s="7">
        <v>1392671.2689999999</v>
      </c>
      <c r="Q93" s="7">
        <v>1417353.1870000004</v>
      </c>
      <c r="R93" s="7">
        <v>1376408.6700000009</v>
      </c>
      <c r="S93" s="7">
        <v>1467137.1529999992</v>
      </c>
      <c r="T93" s="7">
        <v>1355167.8039999995</v>
      </c>
      <c r="U93" s="7">
        <v>983688.55400000012</v>
      </c>
      <c r="V93" s="7">
        <v>547344.3330000001</v>
      </c>
      <c r="W93" s="7">
        <v>315195.20999999996</v>
      </c>
      <c r="X93" s="7">
        <v>116393.38099999999</v>
      </c>
      <c r="Y93" s="7">
        <v>9710984.3930000011</v>
      </c>
      <c r="Z93" s="8">
        <v>1.297955339606553E-4</v>
      </c>
      <c r="AA93" s="8">
        <v>4.7390939605863301E-5</v>
      </c>
      <c r="AB93" s="8">
        <v>3.3160400972097289E-5</v>
      </c>
      <c r="AC93" s="8">
        <v>4.2865176081751912E-5</v>
      </c>
      <c r="AD93" s="8">
        <v>3.4079976706853955E-5</v>
      </c>
      <c r="AE93" s="8">
        <v>5.2392035724603169E-5</v>
      </c>
      <c r="AF93" s="8">
        <v>1.3215564974440068E-4</v>
      </c>
      <c r="AG93" s="8">
        <v>3.5078466775685055E-4</v>
      </c>
      <c r="AH93" s="8">
        <v>1.3007811889019507E-3</v>
      </c>
      <c r="AI93" s="8">
        <v>4.8284532605853249E-3</v>
      </c>
      <c r="AJ93" s="8">
        <v>1.7330889762454587E-4</v>
      </c>
    </row>
    <row r="94" spans="1:36" x14ac:dyDescent="0.2">
      <c r="A94" t="s">
        <v>118</v>
      </c>
      <c r="B94">
        <v>2010</v>
      </c>
      <c r="C94" t="s">
        <v>120</v>
      </c>
      <c r="D94" s="7">
        <v>120</v>
      </c>
      <c r="E94" s="7">
        <v>61</v>
      </c>
      <c r="F94" s="7">
        <v>41</v>
      </c>
      <c r="G94" s="7">
        <v>51</v>
      </c>
      <c r="H94" s="7">
        <v>76</v>
      </c>
      <c r="I94" s="7">
        <v>54</v>
      </c>
      <c r="J94" s="7">
        <v>107</v>
      </c>
      <c r="K94" s="7">
        <v>223</v>
      </c>
      <c r="L94" s="7">
        <v>392</v>
      </c>
      <c r="M94" s="7">
        <v>557</v>
      </c>
      <c r="N94" s="7">
        <v>1682</v>
      </c>
      <c r="O94" s="7">
        <v>695925.40600000054</v>
      </c>
      <c r="P94" s="7">
        <v>1371186.5069999998</v>
      </c>
      <c r="Q94" s="7">
        <v>1390282.4679999999</v>
      </c>
      <c r="R94" s="7">
        <v>1333440.0680000002</v>
      </c>
      <c r="S94" s="7">
        <v>1437063.3609999998</v>
      </c>
      <c r="T94" s="7">
        <v>1362741.0070000002</v>
      </c>
      <c r="U94" s="7">
        <v>1016218.9640000003</v>
      </c>
      <c r="V94" s="7">
        <v>571854.83100000012</v>
      </c>
      <c r="W94" s="7">
        <v>307713.27800000011</v>
      </c>
      <c r="X94" s="7">
        <v>111861.603</v>
      </c>
      <c r="Y94" s="7">
        <v>9598287.4930000007</v>
      </c>
      <c r="Z94" s="8">
        <v>1.7243227358191879E-4</v>
      </c>
      <c r="AA94" s="8">
        <v>4.4487018861833078E-5</v>
      </c>
      <c r="AB94" s="8">
        <v>2.9490410002062978E-5</v>
      </c>
      <c r="AC94" s="8">
        <v>3.8246938294342593E-5</v>
      </c>
      <c r="AD94" s="8">
        <v>5.2885629167467175E-5</v>
      </c>
      <c r="AE94" s="8">
        <v>3.9626018240162923E-5</v>
      </c>
      <c r="AF94" s="8">
        <v>1.0529226848791612E-4</v>
      </c>
      <c r="AG94" s="8">
        <v>3.8995910834580314E-4</v>
      </c>
      <c r="AH94" s="8">
        <v>1.2739131783581982E-3</v>
      </c>
      <c r="AI94" s="8">
        <v>4.9793672275552855E-3</v>
      </c>
      <c r="AJ94" s="8">
        <v>1.7523959364904178E-4</v>
      </c>
    </row>
    <row r="95" spans="1:36" x14ac:dyDescent="0.2">
      <c r="A95" t="s">
        <v>118</v>
      </c>
      <c r="B95">
        <v>2011</v>
      </c>
      <c r="C95" t="s">
        <v>121</v>
      </c>
      <c r="D95" s="7">
        <v>113</v>
      </c>
      <c r="E95" s="7">
        <v>54</v>
      </c>
      <c r="F95" s="7">
        <v>53</v>
      </c>
      <c r="G95" s="7">
        <v>56</v>
      </c>
      <c r="H95" s="7">
        <v>59</v>
      </c>
      <c r="I95" s="7">
        <v>60</v>
      </c>
      <c r="J95" s="7">
        <v>147</v>
      </c>
      <c r="K95" s="7">
        <v>253</v>
      </c>
      <c r="L95" s="7">
        <v>376</v>
      </c>
      <c r="M95" s="7">
        <v>544</v>
      </c>
      <c r="N95" s="7">
        <v>1715</v>
      </c>
      <c r="O95" s="7">
        <v>690598.10899999982</v>
      </c>
      <c r="P95" s="7">
        <v>1374777.9829999991</v>
      </c>
      <c r="Q95" s="7">
        <v>1391755.5709999995</v>
      </c>
      <c r="R95" s="7">
        <v>1329501.9569999999</v>
      </c>
      <c r="S95" s="7">
        <v>1415733.0629999992</v>
      </c>
      <c r="T95" s="7">
        <v>1371910.0569999993</v>
      </c>
      <c r="U95" s="7">
        <v>1041014.9040000002</v>
      </c>
      <c r="V95" s="7">
        <v>588939.09499999997</v>
      </c>
      <c r="W95" s="7">
        <v>310828.94800000009</v>
      </c>
      <c r="X95" s="7">
        <v>113346.60299999996</v>
      </c>
      <c r="Y95" s="7">
        <v>9628406.2899999991</v>
      </c>
      <c r="Z95" s="8">
        <v>1.6362628065058897E-4</v>
      </c>
      <c r="AA95" s="8">
        <v>3.9279069542678326E-5</v>
      </c>
      <c r="AB95" s="8">
        <v>3.8081399567826854E-5</v>
      </c>
      <c r="AC95" s="8">
        <v>4.2121036155797098E-5</v>
      </c>
      <c r="AD95" s="8">
        <v>4.1674522932293795E-5</v>
      </c>
      <c r="AE95" s="8">
        <v>4.3734645499431621E-5</v>
      </c>
      <c r="AF95" s="8">
        <v>1.4120835295937316E-4</v>
      </c>
      <c r="AG95" s="8">
        <v>4.2958601686987684E-4</v>
      </c>
      <c r="AH95" s="8">
        <v>1.209668540910803E-3</v>
      </c>
      <c r="AI95" s="8">
        <v>4.799438056383571E-3</v>
      </c>
      <c r="AJ95" s="8">
        <v>1.7811878189863964E-4</v>
      </c>
    </row>
    <row r="96" spans="1:36" x14ac:dyDescent="0.2">
      <c r="A96" t="s">
        <v>118</v>
      </c>
      <c r="B96">
        <v>2012</v>
      </c>
      <c r="C96" t="s">
        <v>122</v>
      </c>
      <c r="D96" s="7">
        <v>76</v>
      </c>
      <c r="E96" s="7">
        <v>51</v>
      </c>
      <c r="F96" s="7">
        <v>57</v>
      </c>
      <c r="G96" s="7">
        <v>59</v>
      </c>
      <c r="H96" s="7">
        <v>61</v>
      </c>
      <c r="I96" s="7">
        <v>68</v>
      </c>
      <c r="J96" s="7">
        <v>134</v>
      </c>
      <c r="K96" s="7">
        <v>164</v>
      </c>
      <c r="L96" s="7">
        <v>419</v>
      </c>
      <c r="M96" s="7">
        <v>533</v>
      </c>
      <c r="N96" s="7">
        <v>1622</v>
      </c>
      <c r="O96" s="7">
        <v>700954.23400000029</v>
      </c>
      <c r="P96" s="7">
        <v>1412764.26</v>
      </c>
      <c r="Q96" s="7">
        <v>1434462.6470000013</v>
      </c>
      <c r="R96" s="7">
        <v>1370175.8809999991</v>
      </c>
      <c r="S96" s="7">
        <v>1433627.746999999</v>
      </c>
      <c r="T96" s="7">
        <v>1418795.5050000004</v>
      </c>
      <c r="U96" s="7">
        <v>1103370.0780000007</v>
      </c>
      <c r="V96" s="7">
        <v>636876.42900000047</v>
      </c>
      <c r="W96" s="7">
        <v>327595.29299999983</v>
      </c>
      <c r="X96" s="7">
        <v>121861.17800000003</v>
      </c>
      <c r="Y96" s="7">
        <v>9960483.2520000022</v>
      </c>
      <c r="Z96" s="8">
        <v>1.0842362641324735E-4</v>
      </c>
      <c r="AA96" s="8">
        <v>3.6099440964057228E-5</v>
      </c>
      <c r="AB96" s="8">
        <v>3.9736134028451945E-5</v>
      </c>
      <c r="AC96" s="8">
        <v>4.3060165354056495E-5</v>
      </c>
      <c r="AD96" s="8">
        <v>4.2549399680390003E-5</v>
      </c>
      <c r="AE96" s="8">
        <v>4.79279781761079E-5</v>
      </c>
      <c r="AF96" s="8">
        <v>1.21446106498458E-4</v>
      </c>
      <c r="AG96" s="8">
        <v>2.5750678237143533E-4</v>
      </c>
      <c r="AH96" s="8">
        <v>1.2790171560859399E-3</v>
      </c>
      <c r="AI96" s="8">
        <v>4.3738293749302163E-3</v>
      </c>
      <c r="AJ96" s="8">
        <v>1.6284350457336622E-4</v>
      </c>
    </row>
    <row r="97" spans="1:36" x14ac:dyDescent="0.2">
      <c r="A97" t="s">
        <v>118</v>
      </c>
      <c r="B97">
        <v>2013</v>
      </c>
      <c r="C97" t="s">
        <v>123</v>
      </c>
      <c r="D97" s="7">
        <v>128</v>
      </c>
      <c r="E97" s="7">
        <v>44</v>
      </c>
      <c r="F97" s="7">
        <v>45</v>
      </c>
      <c r="G97" s="7">
        <v>56</v>
      </c>
      <c r="H97" s="7">
        <v>70</v>
      </c>
      <c r="I97" s="7">
        <v>92</v>
      </c>
      <c r="J97" s="7">
        <v>138</v>
      </c>
      <c r="K97" s="7">
        <v>229</v>
      </c>
      <c r="L97" s="7">
        <v>398</v>
      </c>
      <c r="M97" s="7">
        <v>531</v>
      </c>
      <c r="N97" s="7">
        <v>1731</v>
      </c>
      <c r="O97" s="7">
        <v>691444.81099999999</v>
      </c>
      <c r="P97" s="7">
        <v>1426313.2659999996</v>
      </c>
      <c r="Q97" s="7">
        <v>1446631.723</v>
      </c>
      <c r="R97" s="7">
        <v>1362817.3760000002</v>
      </c>
      <c r="S97" s="7">
        <v>1412578.6849999994</v>
      </c>
      <c r="T97" s="7">
        <v>1419745.4540000001</v>
      </c>
      <c r="U97" s="7">
        <v>1132038.4889999996</v>
      </c>
      <c r="V97" s="7">
        <v>670954.59800000023</v>
      </c>
      <c r="W97" s="7">
        <v>335349.01900000009</v>
      </c>
      <c r="X97" s="7">
        <v>124659.00000000007</v>
      </c>
      <c r="Y97" s="7">
        <v>10022532.420999998</v>
      </c>
      <c r="Z97" s="8">
        <v>1.8511961904071618E-4</v>
      </c>
      <c r="AA97" s="8">
        <v>3.0848763065490562E-5</v>
      </c>
      <c r="AB97" s="8">
        <v>3.1106742154582212E-5</v>
      </c>
      <c r="AC97" s="8">
        <v>4.1091345756366399E-5</v>
      </c>
      <c r="AD97" s="8">
        <v>4.9554761616695377E-5</v>
      </c>
      <c r="AE97" s="8">
        <v>6.4800348358784029E-5</v>
      </c>
      <c r="AF97" s="8">
        <v>1.2190398236539116E-4</v>
      </c>
      <c r="AG97" s="8">
        <v>3.4130476291929356E-4</v>
      </c>
      <c r="AH97" s="8">
        <v>1.1868232123857798E-3</v>
      </c>
      <c r="AI97" s="8">
        <v>4.2596202440256994E-3</v>
      </c>
      <c r="AJ97" s="8">
        <v>1.7271084066269247E-4</v>
      </c>
    </row>
    <row r="98" spans="1:36" x14ac:dyDescent="0.2">
      <c r="A98" t="s">
        <v>118</v>
      </c>
      <c r="B98">
        <v>2014</v>
      </c>
      <c r="C98" t="s">
        <v>124</v>
      </c>
      <c r="D98" s="7">
        <v>96</v>
      </c>
      <c r="E98" s="7">
        <v>56</v>
      </c>
      <c r="F98" s="7">
        <v>37</v>
      </c>
      <c r="G98" s="7">
        <v>50</v>
      </c>
      <c r="H98" s="7">
        <v>55</v>
      </c>
      <c r="I98" s="7">
        <v>94</v>
      </c>
      <c r="J98" s="7">
        <v>194</v>
      </c>
      <c r="K98" s="7">
        <v>257</v>
      </c>
      <c r="L98" s="7">
        <v>348</v>
      </c>
      <c r="M98" s="7">
        <v>528</v>
      </c>
      <c r="N98" s="7">
        <v>1715</v>
      </c>
      <c r="O98" s="7">
        <v>666762.4520000004</v>
      </c>
      <c r="P98" s="7">
        <v>1392597.8999999997</v>
      </c>
      <c r="Q98" s="7">
        <v>1407174.9589999998</v>
      </c>
      <c r="R98" s="7">
        <v>1343698.8329999999</v>
      </c>
      <c r="S98" s="7">
        <v>1372438.8870000001</v>
      </c>
      <c r="T98" s="7">
        <v>1383792.284</v>
      </c>
      <c r="U98" s="7">
        <v>1123092.8639999998</v>
      </c>
      <c r="V98" s="7">
        <v>673031.41200000013</v>
      </c>
      <c r="W98" s="7">
        <v>329927.53299999988</v>
      </c>
      <c r="X98" s="7">
        <v>121363.59899999996</v>
      </c>
      <c r="Y98" s="7">
        <v>9813880.7229999993</v>
      </c>
      <c r="Z98" s="8">
        <v>1.4397931334021781E-4</v>
      </c>
      <c r="AA98" s="8">
        <v>4.0212612700335116E-5</v>
      </c>
      <c r="AB98" s="8">
        <v>2.6293816389607887E-5</v>
      </c>
      <c r="AC98" s="8">
        <v>3.7210719226694455E-5</v>
      </c>
      <c r="AD98" s="8">
        <v>4.0074644139692028E-5</v>
      </c>
      <c r="AE98" s="8">
        <v>6.7929270228536697E-5</v>
      </c>
      <c r="AF98" s="8">
        <v>1.7273727419925982E-4</v>
      </c>
      <c r="AG98" s="8">
        <v>3.8185439106963993E-4</v>
      </c>
      <c r="AH98" s="8">
        <v>1.0547770803960158E-3</v>
      </c>
      <c r="AI98" s="8">
        <v>4.3505631371396642E-3</v>
      </c>
      <c r="AJ98" s="8">
        <v>1.747524805330773E-4</v>
      </c>
    </row>
    <row r="99" spans="1:36" x14ac:dyDescent="0.2">
      <c r="A99" t="s">
        <v>118</v>
      </c>
      <c r="B99">
        <v>2015</v>
      </c>
      <c r="C99" t="s">
        <v>125</v>
      </c>
      <c r="D99" s="7">
        <v>118</v>
      </c>
      <c r="E99" s="7">
        <v>41</v>
      </c>
      <c r="F99" s="7">
        <v>42</v>
      </c>
      <c r="G99" s="7">
        <v>40</v>
      </c>
      <c r="H99" s="7">
        <v>58</v>
      </c>
      <c r="I99" s="7">
        <v>55</v>
      </c>
      <c r="J99" s="7">
        <v>168</v>
      </c>
      <c r="K99" s="7">
        <v>241</v>
      </c>
      <c r="L99" s="7">
        <v>419</v>
      </c>
      <c r="M99" s="7">
        <v>499</v>
      </c>
      <c r="N99" s="7">
        <v>1681</v>
      </c>
      <c r="O99" s="7">
        <v>683342.71300000011</v>
      </c>
      <c r="P99" s="7">
        <v>1449543.5089999996</v>
      </c>
      <c r="Q99" s="7">
        <v>1460426.2569999993</v>
      </c>
      <c r="R99" s="7">
        <v>1398410.3309999995</v>
      </c>
      <c r="S99" s="7">
        <v>1415569.2259999996</v>
      </c>
      <c r="T99" s="7">
        <v>1443849.1720000003</v>
      </c>
      <c r="U99" s="7">
        <v>1210474.0179999997</v>
      </c>
      <c r="V99" s="7">
        <v>753918.33599999978</v>
      </c>
      <c r="W99" s="7">
        <v>362474.38200000004</v>
      </c>
      <c r="X99" s="7">
        <v>130460.00300000003</v>
      </c>
      <c r="Y99" s="7">
        <v>10308467.946999997</v>
      </c>
      <c r="Z99" s="8">
        <v>1.7268055655698489E-4</v>
      </c>
      <c r="AA99" s="8">
        <v>2.8284766718237231E-5</v>
      </c>
      <c r="AB99" s="8">
        <v>2.875872698035175E-5</v>
      </c>
      <c r="AC99" s="8">
        <v>2.8603907675221555E-5</v>
      </c>
      <c r="AD99" s="8">
        <v>4.097291671414169E-5</v>
      </c>
      <c r="AE99" s="8">
        <v>3.8092621491630424E-5</v>
      </c>
      <c r="AF99" s="8">
        <v>1.3878860471336449E-4</v>
      </c>
      <c r="AG99" s="8">
        <v>3.196632692058574E-4</v>
      </c>
      <c r="AH99" s="8">
        <v>1.1559437599096313E-3</v>
      </c>
      <c r="AI99" s="8">
        <v>3.8249270927887369E-3</v>
      </c>
      <c r="AJ99" s="8">
        <v>1.6306981877837725E-4</v>
      </c>
    </row>
    <row r="100" spans="1:36" x14ac:dyDescent="0.2">
      <c r="A100" t="s">
        <v>118</v>
      </c>
      <c r="B100">
        <v>2016</v>
      </c>
      <c r="C100" t="s">
        <v>126</v>
      </c>
      <c r="D100" s="7">
        <v>124</v>
      </c>
      <c r="E100" s="7">
        <v>49</v>
      </c>
      <c r="F100" s="7">
        <v>51</v>
      </c>
      <c r="G100" s="7">
        <v>57</v>
      </c>
      <c r="H100" s="7">
        <v>55</v>
      </c>
      <c r="I100" s="7">
        <v>71</v>
      </c>
      <c r="J100" s="7">
        <v>194</v>
      </c>
      <c r="K100" s="7">
        <v>266</v>
      </c>
      <c r="L100" s="7">
        <v>351</v>
      </c>
      <c r="M100" s="7">
        <v>451</v>
      </c>
      <c r="N100" s="7">
        <v>1669</v>
      </c>
      <c r="O100" s="7">
        <v>662316.90699999966</v>
      </c>
      <c r="P100" s="7">
        <v>1411119.2490000001</v>
      </c>
      <c r="Q100" s="7">
        <v>1426914.0810000007</v>
      </c>
      <c r="R100" s="7">
        <v>1377267.844</v>
      </c>
      <c r="S100" s="7">
        <v>1371909.422000001</v>
      </c>
      <c r="T100" s="7">
        <v>1400263.1359999995</v>
      </c>
      <c r="U100" s="7">
        <v>1185185.5219999999</v>
      </c>
      <c r="V100" s="7">
        <v>759477.07200000051</v>
      </c>
      <c r="W100" s="7">
        <v>355823.61499999982</v>
      </c>
      <c r="X100" s="7">
        <v>129717.45100000007</v>
      </c>
      <c r="Y100" s="7">
        <v>10079994.299000001</v>
      </c>
      <c r="Z100" s="8">
        <v>1.8722155314087439E-4</v>
      </c>
      <c r="AA100" s="8">
        <v>3.4724209194031057E-5</v>
      </c>
      <c r="AB100" s="8">
        <v>3.5741465221408782E-5</v>
      </c>
      <c r="AC100" s="8">
        <v>4.1386285353511816E-5</v>
      </c>
      <c r="AD100" s="8">
        <v>4.0090110263853817E-5</v>
      </c>
      <c r="AE100" s="8">
        <v>5.070475553817624E-5</v>
      </c>
      <c r="AF100" s="8">
        <v>1.6368745348207183E-4</v>
      </c>
      <c r="AG100" s="8">
        <v>3.502409879201723E-4</v>
      </c>
      <c r="AH100" s="8">
        <v>9.8644380306236903E-4</v>
      </c>
      <c r="AI100" s="8">
        <v>3.4767874061910125E-3</v>
      </c>
      <c r="AJ100" s="8">
        <v>1.6557549047082053E-4</v>
      </c>
    </row>
    <row r="101" spans="1:36" x14ac:dyDescent="0.2">
      <c r="A101" t="s">
        <v>118</v>
      </c>
      <c r="B101">
        <v>2017</v>
      </c>
      <c r="C101" t="s">
        <v>127</v>
      </c>
      <c r="D101" s="7">
        <v>103</v>
      </c>
      <c r="E101" s="7">
        <v>51</v>
      </c>
      <c r="F101" s="7">
        <v>30</v>
      </c>
      <c r="G101" s="7">
        <v>60</v>
      </c>
      <c r="H101" s="7">
        <v>45</v>
      </c>
      <c r="I101" s="7">
        <v>74</v>
      </c>
      <c r="J101" s="7">
        <v>157</v>
      </c>
      <c r="K101" s="7">
        <v>274</v>
      </c>
      <c r="L101" s="7">
        <v>391</v>
      </c>
      <c r="M101" s="7">
        <v>452</v>
      </c>
      <c r="N101" s="7">
        <v>1637</v>
      </c>
      <c r="O101" s="7">
        <v>664105</v>
      </c>
      <c r="P101" s="7">
        <v>1427856</v>
      </c>
      <c r="Q101" s="7">
        <v>1446984</v>
      </c>
      <c r="R101" s="7">
        <v>1415370</v>
      </c>
      <c r="S101" s="7">
        <v>1390455</v>
      </c>
      <c r="T101" s="7">
        <v>1427589</v>
      </c>
      <c r="U101" s="7">
        <v>1240644</v>
      </c>
      <c r="V101" s="7">
        <v>819673</v>
      </c>
      <c r="W101" s="7">
        <v>379593</v>
      </c>
      <c r="X101" s="7">
        <v>134083</v>
      </c>
      <c r="Y101" s="7">
        <v>10346352</v>
      </c>
      <c r="Z101" s="8">
        <v>1.5509595621174363E-4</v>
      </c>
      <c r="AA101" s="8">
        <v>3.5717887518069051E-5</v>
      </c>
      <c r="AB101" s="8">
        <v>2.0732779353469009E-5</v>
      </c>
      <c r="AC101" s="8">
        <v>4.2391742088641135E-5</v>
      </c>
      <c r="AD101" s="8">
        <v>3.2363506909608725E-5</v>
      </c>
      <c r="AE101" s="8">
        <v>5.1835647374699584E-5</v>
      </c>
      <c r="AF101" s="8">
        <v>1.265471803353742E-4</v>
      </c>
      <c r="AG101" s="8">
        <v>3.342796456635756E-4</v>
      </c>
      <c r="AH101" s="8">
        <v>1.0300506068341619E-3</v>
      </c>
      <c r="AI101" s="8">
        <v>3.3710462922219818E-3</v>
      </c>
      <c r="AJ101" s="8">
        <v>1.5822001803147623E-4</v>
      </c>
    </row>
    <row r="102" spans="1:36" x14ac:dyDescent="0.2">
      <c r="A102" t="s">
        <v>128</v>
      </c>
      <c r="B102">
        <v>2009</v>
      </c>
      <c r="C102" t="s">
        <v>129</v>
      </c>
      <c r="D102" s="7">
        <v>93</v>
      </c>
      <c r="E102" s="7">
        <v>57</v>
      </c>
      <c r="F102" s="7">
        <v>42</v>
      </c>
      <c r="G102" s="7">
        <v>45</v>
      </c>
      <c r="H102" s="7">
        <v>55</v>
      </c>
      <c r="I102" s="7">
        <v>38</v>
      </c>
      <c r="J102" s="7">
        <v>58</v>
      </c>
      <c r="K102" s="7">
        <v>52</v>
      </c>
      <c r="L102" s="7">
        <v>82</v>
      </c>
      <c r="M102" s="7">
        <v>132</v>
      </c>
      <c r="N102" s="7">
        <v>654</v>
      </c>
      <c r="O102" s="7">
        <v>86680.740999999995</v>
      </c>
      <c r="P102" s="7">
        <v>154047.16699999999</v>
      </c>
      <c r="Q102" s="7">
        <v>174733.16500000001</v>
      </c>
      <c r="R102" s="7">
        <v>183511.85700000002</v>
      </c>
      <c r="S102" s="7">
        <v>175700.70799999998</v>
      </c>
      <c r="T102" s="7">
        <v>180058.22700000001</v>
      </c>
      <c r="U102" s="7">
        <v>147014.962</v>
      </c>
      <c r="V102" s="7">
        <v>86906.005000000005</v>
      </c>
      <c r="W102" s="7">
        <v>67847.144</v>
      </c>
      <c r="X102" s="7">
        <v>25893.421000000002</v>
      </c>
      <c r="Y102" s="7">
        <v>1282393.3970000001</v>
      </c>
      <c r="Z102" s="8">
        <v>1.0729026878069721E-3</v>
      </c>
      <c r="AA102" s="8">
        <v>3.7001654175178702E-4</v>
      </c>
      <c r="AB102" s="8">
        <v>2.403665039776507E-4</v>
      </c>
      <c r="AC102" s="8">
        <v>2.4521576281580538E-4</v>
      </c>
      <c r="AD102" s="8">
        <v>3.1303231857210276E-4</v>
      </c>
      <c r="AE102" s="8">
        <v>2.1104284226901779E-4</v>
      </c>
      <c r="AF102" s="8">
        <v>3.9451766820849162E-4</v>
      </c>
      <c r="AG102" s="8">
        <v>5.9834760555383944E-4</v>
      </c>
      <c r="AH102" s="8">
        <v>1.2085991416234117E-3</v>
      </c>
      <c r="AI102" s="8">
        <v>5.0978200215413784E-3</v>
      </c>
      <c r="AJ102" s="8">
        <v>5.0998391096675297E-4</v>
      </c>
    </row>
    <row r="103" spans="1:36" x14ac:dyDescent="0.2">
      <c r="A103" t="s">
        <v>128</v>
      </c>
      <c r="B103">
        <v>2010</v>
      </c>
      <c r="C103" t="s">
        <v>130</v>
      </c>
      <c r="D103" s="7">
        <v>124</v>
      </c>
      <c r="E103" s="7">
        <v>51</v>
      </c>
      <c r="F103" s="7">
        <v>59</v>
      </c>
      <c r="G103" s="7">
        <v>73</v>
      </c>
      <c r="H103" s="7">
        <v>53</v>
      </c>
      <c r="I103" s="7">
        <v>49</v>
      </c>
      <c r="J103" s="7">
        <v>45</v>
      </c>
      <c r="K103" s="7">
        <v>56</v>
      </c>
      <c r="L103" s="7">
        <v>65</v>
      </c>
      <c r="M103" s="7">
        <v>133</v>
      </c>
      <c r="N103" s="7">
        <v>708</v>
      </c>
      <c r="O103" s="7">
        <v>86252.421000000002</v>
      </c>
      <c r="P103" s="7">
        <v>162175.20699999997</v>
      </c>
      <c r="Q103" s="7">
        <v>180941.44699999999</v>
      </c>
      <c r="R103" s="7">
        <v>179787.30600000004</v>
      </c>
      <c r="S103" s="7">
        <v>179139.769</v>
      </c>
      <c r="T103" s="7">
        <v>194286.103</v>
      </c>
      <c r="U103" s="7">
        <v>165165.84499999997</v>
      </c>
      <c r="V103" s="7">
        <v>93984.443999999989</v>
      </c>
      <c r="W103" s="7">
        <v>64883.703000000001</v>
      </c>
      <c r="X103" s="7">
        <v>27040.289000000001</v>
      </c>
      <c r="Y103" s="7">
        <v>1333656.534</v>
      </c>
      <c r="Z103" s="8">
        <v>1.4376408054679415E-3</v>
      </c>
      <c r="AA103" s="8">
        <v>3.1447470265908161E-4</v>
      </c>
      <c r="AB103" s="8">
        <v>3.2607233432813213E-4</v>
      </c>
      <c r="AC103" s="8">
        <v>4.0603534044834059E-4</v>
      </c>
      <c r="AD103" s="8">
        <v>2.9585836967334708E-4</v>
      </c>
      <c r="AE103" s="8">
        <v>2.5220537775674052E-4</v>
      </c>
      <c r="AF103" s="8">
        <v>2.7245342401148378E-4</v>
      </c>
      <c r="AG103" s="8">
        <v>5.9584328657623386E-4</v>
      </c>
      <c r="AH103" s="8">
        <v>1.0017923915347433E-3</v>
      </c>
      <c r="AI103" s="8">
        <v>4.918586484042386E-3</v>
      </c>
      <c r="AJ103" s="8">
        <v>5.3087131652743808E-4</v>
      </c>
    </row>
    <row r="104" spans="1:36" x14ac:dyDescent="0.2">
      <c r="A104" t="s">
        <v>128</v>
      </c>
      <c r="B104">
        <v>2011</v>
      </c>
      <c r="C104" t="s">
        <v>131</v>
      </c>
      <c r="D104" s="7">
        <v>116</v>
      </c>
      <c r="E104" s="7">
        <v>55</v>
      </c>
      <c r="F104" s="7">
        <v>44</v>
      </c>
      <c r="G104" s="7">
        <v>48</v>
      </c>
      <c r="H104" s="7">
        <v>66</v>
      </c>
      <c r="I104" s="7">
        <v>38</v>
      </c>
      <c r="J104" s="7">
        <v>58</v>
      </c>
      <c r="K104" s="7">
        <v>63</v>
      </c>
      <c r="L104" s="7">
        <v>62</v>
      </c>
      <c r="M104" s="7">
        <v>183</v>
      </c>
      <c r="N104" s="7">
        <v>733</v>
      </c>
      <c r="O104" s="7">
        <v>87273.002000000008</v>
      </c>
      <c r="P104" s="7">
        <v>163361.682</v>
      </c>
      <c r="Q104" s="7">
        <v>181829.715</v>
      </c>
      <c r="R104" s="7">
        <v>183269.86200000002</v>
      </c>
      <c r="S104" s="7">
        <v>177677.43799999999</v>
      </c>
      <c r="T104" s="7">
        <v>192700.54499999998</v>
      </c>
      <c r="U104" s="7">
        <v>170625.44500000001</v>
      </c>
      <c r="V104" s="7">
        <v>97991.892000000007</v>
      </c>
      <c r="W104" s="7">
        <v>65051.873999999996</v>
      </c>
      <c r="X104" s="7">
        <v>28777.923999999999</v>
      </c>
      <c r="Y104" s="7">
        <v>1348559.3790000002</v>
      </c>
      <c r="Z104" s="8">
        <v>1.3291624825739349E-3</v>
      </c>
      <c r="AA104" s="8">
        <v>3.3667625924664515E-4</v>
      </c>
      <c r="AB104" s="8">
        <v>2.4198465030866929E-4</v>
      </c>
      <c r="AC104" s="8">
        <v>2.6190885656911771E-4</v>
      </c>
      <c r="AD104" s="8">
        <v>3.7145965600877251E-4</v>
      </c>
      <c r="AE104" s="8">
        <v>1.97197158939016E-4</v>
      </c>
      <c r="AF104" s="8">
        <v>3.3992585338019191E-4</v>
      </c>
      <c r="AG104" s="8">
        <v>6.4291033384680438E-4</v>
      </c>
      <c r="AH104" s="8">
        <v>9.5308553293945082E-4</v>
      </c>
      <c r="AI104" s="8">
        <v>6.3590410482701953E-3</v>
      </c>
      <c r="AJ104" s="8">
        <v>5.4354299218440261E-4</v>
      </c>
    </row>
    <row r="105" spans="1:36" x14ac:dyDescent="0.2">
      <c r="A105" t="s">
        <v>128</v>
      </c>
      <c r="B105">
        <v>2012</v>
      </c>
      <c r="C105" t="s">
        <v>132</v>
      </c>
      <c r="D105" s="7">
        <v>132</v>
      </c>
      <c r="E105" s="7">
        <v>62</v>
      </c>
      <c r="F105" s="7">
        <v>67</v>
      </c>
      <c r="G105" s="7">
        <v>44</v>
      </c>
      <c r="H105" s="7">
        <v>45</v>
      </c>
      <c r="I105" s="7">
        <v>53</v>
      </c>
      <c r="J105" s="7">
        <v>51</v>
      </c>
      <c r="K105" s="7">
        <v>65</v>
      </c>
      <c r="L105" s="7">
        <v>65</v>
      </c>
      <c r="M105" s="7">
        <v>239</v>
      </c>
      <c r="N105" s="7">
        <v>823</v>
      </c>
      <c r="O105" s="7">
        <v>88387.760999999999</v>
      </c>
      <c r="P105" s="7">
        <v>163162.182</v>
      </c>
      <c r="Q105" s="7">
        <v>182441.715</v>
      </c>
      <c r="R105" s="7">
        <v>188610.20899999997</v>
      </c>
      <c r="S105" s="7">
        <v>176124.67700000003</v>
      </c>
      <c r="T105" s="7">
        <v>191607.36</v>
      </c>
      <c r="U105" s="7">
        <v>174620.43299999999</v>
      </c>
      <c r="V105" s="7">
        <v>102127.91000000002</v>
      </c>
      <c r="W105" s="7">
        <v>63200.142000000007</v>
      </c>
      <c r="X105" s="7">
        <v>31781.493000000002</v>
      </c>
      <c r="Y105" s="7">
        <v>1362063.882</v>
      </c>
      <c r="Z105" s="8">
        <v>1.4934194339417649E-3</v>
      </c>
      <c r="AA105" s="8">
        <v>3.7999001508817775E-4</v>
      </c>
      <c r="AB105" s="8">
        <v>3.6724057324280252E-4</v>
      </c>
      <c r="AC105" s="8">
        <v>2.332853573159447E-4</v>
      </c>
      <c r="AD105" s="8">
        <v>2.5550082343089262E-4</v>
      </c>
      <c r="AE105" s="8">
        <v>2.7660732865376366E-4</v>
      </c>
      <c r="AF105" s="8">
        <v>2.9206204064331922E-4</v>
      </c>
      <c r="AG105" s="8">
        <v>6.3645677268828855E-4</v>
      </c>
      <c r="AH105" s="8">
        <v>1.0284787018358279E-3</v>
      </c>
      <c r="AI105" s="8">
        <v>7.520099826650686E-3</v>
      </c>
      <c r="AJ105" s="8">
        <v>6.0423010321038672E-4</v>
      </c>
    </row>
    <row r="106" spans="1:36" x14ac:dyDescent="0.2">
      <c r="A106" t="s">
        <v>128</v>
      </c>
      <c r="B106">
        <v>2013</v>
      </c>
      <c r="C106" t="s">
        <v>133</v>
      </c>
      <c r="D106" s="7">
        <v>148</v>
      </c>
      <c r="E106" s="7">
        <v>38</v>
      </c>
      <c r="F106" s="7">
        <v>56</v>
      </c>
      <c r="G106" s="7">
        <v>51</v>
      </c>
      <c r="H106" s="7">
        <v>63</v>
      </c>
      <c r="I106" s="7">
        <v>43</v>
      </c>
      <c r="J106" s="7">
        <v>58</v>
      </c>
      <c r="K106" s="7">
        <v>65</v>
      </c>
      <c r="L106" s="7">
        <v>92</v>
      </c>
      <c r="M106" s="7">
        <v>252</v>
      </c>
      <c r="N106" s="7">
        <v>866</v>
      </c>
      <c r="O106" s="7">
        <v>88924.034</v>
      </c>
      <c r="P106" s="7">
        <v>165870.53600000002</v>
      </c>
      <c r="Q106" s="7">
        <v>182628.31600000002</v>
      </c>
      <c r="R106" s="7">
        <v>192634.27100000001</v>
      </c>
      <c r="S106" s="7">
        <v>174196.14199999999</v>
      </c>
      <c r="T106" s="7">
        <v>188485.30199999997</v>
      </c>
      <c r="U106" s="7">
        <v>177111.15400000001</v>
      </c>
      <c r="V106" s="7">
        <v>106876.09300000001</v>
      </c>
      <c r="W106" s="7">
        <v>62754.050999999999</v>
      </c>
      <c r="X106" s="7">
        <v>32578.109000000004</v>
      </c>
      <c r="Y106" s="7">
        <v>1372058.0080000001</v>
      </c>
      <c r="Z106" s="8">
        <v>1.6643419483196185E-3</v>
      </c>
      <c r="AA106" s="8">
        <v>2.2909433414985766E-4</v>
      </c>
      <c r="AB106" s="8">
        <v>3.0663372047957775E-4</v>
      </c>
      <c r="AC106" s="8">
        <v>2.6475039843766948E-4</v>
      </c>
      <c r="AD106" s="8">
        <v>3.6166128179807797E-4</v>
      </c>
      <c r="AE106" s="8">
        <v>2.281344993149652E-4</v>
      </c>
      <c r="AF106" s="8">
        <v>3.2747796335853586E-4</v>
      </c>
      <c r="AG106" s="8">
        <v>6.0818091469717179E-4</v>
      </c>
      <c r="AH106" s="8">
        <v>1.466040813843237E-3</v>
      </c>
      <c r="AI106" s="8">
        <v>7.7352555975547868E-3</v>
      </c>
      <c r="AJ106" s="8">
        <v>6.3116864954007102E-4</v>
      </c>
    </row>
    <row r="107" spans="1:36" x14ac:dyDescent="0.2">
      <c r="A107" t="s">
        <v>128</v>
      </c>
      <c r="B107">
        <v>2014</v>
      </c>
      <c r="C107" t="s">
        <v>134</v>
      </c>
      <c r="D107" s="7">
        <v>129</v>
      </c>
      <c r="E107" s="7">
        <v>64</v>
      </c>
      <c r="F107" s="7">
        <v>47</v>
      </c>
      <c r="G107" s="7">
        <v>42</v>
      </c>
      <c r="H107" s="7">
        <v>66</v>
      </c>
      <c r="I107" s="7">
        <v>75</v>
      </c>
      <c r="J107" s="7">
        <v>46</v>
      </c>
      <c r="K107" s="7">
        <v>46</v>
      </c>
      <c r="L107" s="7">
        <v>92</v>
      </c>
      <c r="M107" s="7">
        <v>224</v>
      </c>
      <c r="N107" s="7">
        <v>831</v>
      </c>
      <c r="O107" s="7">
        <v>89518.225999999995</v>
      </c>
      <c r="P107" s="7">
        <v>168002.12400000001</v>
      </c>
      <c r="Q107" s="7">
        <v>186077.82000000004</v>
      </c>
      <c r="R107" s="7">
        <v>199121.39999999997</v>
      </c>
      <c r="S107" s="7">
        <v>174280.28600000002</v>
      </c>
      <c r="T107" s="7">
        <v>184341.89500000002</v>
      </c>
      <c r="U107" s="7">
        <v>177204.234</v>
      </c>
      <c r="V107" s="7">
        <v>112912.48300000001</v>
      </c>
      <c r="W107" s="7">
        <v>64472.092000000004</v>
      </c>
      <c r="X107" s="7">
        <v>35489.490000000005</v>
      </c>
      <c r="Y107" s="7">
        <v>1391420.05</v>
      </c>
      <c r="Z107" s="8">
        <v>1.4410473237036669E-3</v>
      </c>
      <c r="AA107" s="8">
        <v>3.8094756468674167E-4</v>
      </c>
      <c r="AB107" s="8">
        <v>2.5258249478632107E-4</v>
      </c>
      <c r="AC107" s="8">
        <v>2.109266005562436E-4</v>
      </c>
      <c r="AD107" s="8">
        <v>3.7870031955306748E-4</v>
      </c>
      <c r="AE107" s="8">
        <v>4.0685271245584185E-4</v>
      </c>
      <c r="AF107" s="8">
        <v>2.5958747689967723E-4</v>
      </c>
      <c r="AG107" s="8">
        <v>4.0739516816754441E-4</v>
      </c>
      <c r="AH107" s="8">
        <v>1.4269740153615613E-3</v>
      </c>
      <c r="AI107" s="8">
        <v>6.3117277819433291E-3</v>
      </c>
      <c r="AJ107" s="8">
        <v>5.9723158366159804E-4</v>
      </c>
    </row>
    <row r="108" spans="1:36" x14ac:dyDescent="0.2">
      <c r="A108" t="s">
        <v>128</v>
      </c>
      <c r="B108">
        <v>2015</v>
      </c>
      <c r="C108" t="s">
        <v>135</v>
      </c>
      <c r="D108" s="7">
        <v>102</v>
      </c>
      <c r="E108" s="7">
        <v>31</v>
      </c>
      <c r="F108" s="7">
        <v>44</v>
      </c>
      <c r="G108" s="7">
        <v>46</v>
      </c>
      <c r="H108" s="7">
        <v>34</v>
      </c>
      <c r="I108" s="7">
        <v>43</v>
      </c>
      <c r="J108" s="7">
        <v>67</v>
      </c>
      <c r="K108" s="7">
        <v>21</v>
      </c>
      <c r="L108" s="7">
        <v>88</v>
      </c>
      <c r="M108" s="7">
        <v>326</v>
      </c>
      <c r="N108" s="7">
        <v>802</v>
      </c>
      <c r="O108" s="7">
        <v>91491.915999999997</v>
      </c>
      <c r="P108" s="7">
        <v>168365.158</v>
      </c>
      <c r="Q108" s="7">
        <v>184446.45100000003</v>
      </c>
      <c r="R108" s="7">
        <v>204911.745</v>
      </c>
      <c r="S108" s="7">
        <v>175432.212</v>
      </c>
      <c r="T108" s="7">
        <v>181558.927</v>
      </c>
      <c r="U108" s="7">
        <v>179121.21399999998</v>
      </c>
      <c r="V108" s="7">
        <v>119782.58900000001</v>
      </c>
      <c r="W108" s="7">
        <v>63347.564000000006</v>
      </c>
      <c r="X108" s="7">
        <v>36780.498999999996</v>
      </c>
      <c r="Y108" s="7">
        <v>1405238.2750000001</v>
      </c>
      <c r="Z108" s="8">
        <v>1.1148525952828444E-3</v>
      </c>
      <c r="AA108" s="8">
        <v>1.8412360590663301E-4</v>
      </c>
      <c r="AB108" s="8">
        <v>2.3855162168449635E-4</v>
      </c>
      <c r="AC108" s="8">
        <v>2.2448688824547368E-4</v>
      </c>
      <c r="AD108" s="8">
        <v>1.9380705294874808E-4</v>
      </c>
      <c r="AE108" s="8">
        <v>2.3683770724201294E-4</v>
      </c>
      <c r="AF108" s="8">
        <v>3.7404838044476411E-4</v>
      </c>
      <c r="AG108" s="8">
        <v>1.7531763318289937E-4</v>
      </c>
      <c r="AH108" s="8">
        <v>1.3891615469223094E-3</v>
      </c>
      <c r="AI108" s="8">
        <v>8.8633925276543971E-3</v>
      </c>
      <c r="AJ108" s="8">
        <v>5.7072171621570724E-4</v>
      </c>
    </row>
    <row r="109" spans="1:36" x14ac:dyDescent="0.2">
      <c r="A109" t="s">
        <v>128</v>
      </c>
      <c r="B109">
        <v>2016</v>
      </c>
      <c r="C109" t="s">
        <v>136</v>
      </c>
      <c r="D109" s="7">
        <v>99</v>
      </c>
      <c r="E109" s="7">
        <v>62</v>
      </c>
      <c r="F109" s="7">
        <v>62</v>
      </c>
      <c r="G109" s="7">
        <v>73</v>
      </c>
      <c r="H109" s="7">
        <v>59</v>
      </c>
      <c r="I109" s="7">
        <v>46</v>
      </c>
      <c r="J109" s="7">
        <v>58</v>
      </c>
      <c r="K109" s="7">
        <v>45</v>
      </c>
      <c r="L109" s="7">
        <v>72</v>
      </c>
      <c r="M109" s="7">
        <v>303</v>
      </c>
      <c r="N109" s="7">
        <v>879</v>
      </c>
      <c r="O109" s="7">
        <v>92158.558000000019</v>
      </c>
      <c r="P109" s="7">
        <v>167987.815</v>
      </c>
      <c r="Q109" s="7">
        <v>180209.18800000002</v>
      </c>
      <c r="R109" s="7">
        <v>203187.95700000002</v>
      </c>
      <c r="S109" s="7">
        <v>176254.22400000002</v>
      </c>
      <c r="T109" s="7">
        <v>181785.24799999996</v>
      </c>
      <c r="U109" s="7">
        <v>184036.68400000001</v>
      </c>
      <c r="V109" s="7">
        <v>126288.821</v>
      </c>
      <c r="W109" s="7">
        <v>63877.96699999999</v>
      </c>
      <c r="X109" s="7">
        <v>37988.300000000003</v>
      </c>
      <c r="Y109" s="7">
        <v>1413774.7620000001</v>
      </c>
      <c r="Z109" s="8">
        <v>1.0742355582430009E-3</v>
      </c>
      <c r="AA109" s="8">
        <v>3.6907438792510041E-4</v>
      </c>
      <c r="AB109" s="8">
        <v>3.4404461108830919E-4</v>
      </c>
      <c r="AC109" s="8">
        <v>3.5927326145614028E-4</v>
      </c>
      <c r="AD109" s="8">
        <v>3.3474375059516299E-4</v>
      </c>
      <c r="AE109" s="8">
        <v>2.5304583571049731E-4</v>
      </c>
      <c r="AF109" s="8">
        <v>3.1515455907692836E-4</v>
      </c>
      <c r="AG109" s="8">
        <v>3.5632607576564519E-4</v>
      </c>
      <c r="AH109" s="8">
        <v>1.1271492093666664E-3</v>
      </c>
      <c r="AI109" s="8">
        <v>7.9761400220594234E-3</v>
      </c>
      <c r="AJ109" s="8">
        <v>6.2173977328363141E-4</v>
      </c>
    </row>
    <row r="110" spans="1:36" x14ac:dyDescent="0.2">
      <c r="A110" t="s">
        <v>128</v>
      </c>
      <c r="B110">
        <v>2017</v>
      </c>
      <c r="C110" t="s">
        <v>137</v>
      </c>
      <c r="D110" s="7">
        <v>111</v>
      </c>
      <c r="E110" s="7">
        <v>51</v>
      </c>
      <c r="F110" s="7">
        <v>62</v>
      </c>
      <c r="G110" s="7">
        <v>54</v>
      </c>
      <c r="H110" s="7">
        <v>40</v>
      </c>
      <c r="I110" s="7">
        <v>45</v>
      </c>
      <c r="J110" s="7">
        <v>53</v>
      </c>
      <c r="K110" s="7">
        <v>50</v>
      </c>
      <c r="L110" s="7">
        <v>102</v>
      </c>
      <c r="M110" s="7">
        <v>382</v>
      </c>
      <c r="N110" s="7">
        <v>950</v>
      </c>
      <c r="O110" s="7">
        <v>91417</v>
      </c>
      <c r="P110" s="7">
        <v>168645</v>
      </c>
      <c r="Q110" s="7">
        <v>177286</v>
      </c>
      <c r="R110" s="7">
        <v>205405</v>
      </c>
      <c r="S110" s="7">
        <v>177415</v>
      </c>
      <c r="T110" s="7">
        <v>179768</v>
      </c>
      <c r="U110" s="7">
        <v>183652</v>
      </c>
      <c r="V110" s="7">
        <v>133689</v>
      </c>
      <c r="W110" s="7">
        <v>66602</v>
      </c>
      <c r="X110" s="7">
        <v>37853</v>
      </c>
      <c r="Y110" s="7">
        <v>1421732</v>
      </c>
      <c r="Z110" s="8">
        <v>1.2142161742345516E-3</v>
      </c>
      <c r="AA110" s="8">
        <v>3.0241038868629368E-4</v>
      </c>
      <c r="AB110" s="8">
        <v>3.4971740577372158E-4</v>
      </c>
      <c r="AC110" s="8">
        <v>2.6289525571432051E-4</v>
      </c>
      <c r="AD110" s="8">
        <v>2.25460079474678E-4</v>
      </c>
      <c r="AE110" s="8">
        <v>2.5032263806684169E-4</v>
      </c>
      <c r="AF110" s="8">
        <v>2.8858928843682619E-4</v>
      </c>
      <c r="AG110" s="8">
        <v>3.7400234873475008E-4</v>
      </c>
      <c r="AH110" s="8">
        <v>1.5314855409747454E-3</v>
      </c>
      <c r="AI110" s="8">
        <v>1.0091670409214593E-2</v>
      </c>
      <c r="AJ110" s="8">
        <v>6.6819906986689478E-4</v>
      </c>
    </row>
    <row r="111" spans="1:36" x14ac:dyDescent="0.2">
      <c r="A111" t="s">
        <v>138</v>
      </c>
      <c r="B111">
        <v>2009</v>
      </c>
      <c r="C111" t="s">
        <v>139</v>
      </c>
      <c r="D111" s="7">
        <v>111</v>
      </c>
      <c r="E111" s="7">
        <v>52</v>
      </c>
      <c r="F111" s="7">
        <v>61</v>
      </c>
      <c r="G111" s="7">
        <v>52</v>
      </c>
      <c r="H111" s="7">
        <v>58</v>
      </c>
      <c r="I111" s="7">
        <v>55</v>
      </c>
      <c r="J111" s="7">
        <v>58</v>
      </c>
      <c r="K111" s="7">
        <v>37</v>
      </c>
      <c r="L111" s="7">
        <v>33</v>
      </c>
      <c r="M111" s="7">
        <v>61</v>
      </c>
      <c r="N111" s="7">
        <v>578</v>
      </c>
      <c r="O111" s="7">
        <v>118760.60999999997</v>
      </c>
      <c r="P111" s="7">
        <v>220896.01099999997</v>
      </c>
      <c r="Q111" s="7">
        <v>227909.16900000002</v>
      </c>
      <c r="R111" s="7">
        <v>199464.77699999997</v>
      </c>
      <c r="S111" s="7">
        <v>191812.43000000005</v>
      </c>
      <c r="T111" s="7">
        <v>203232.60300000006</v>
      </c>
      <c r="U111" s="7">
        <v>159866.85100000005</v>
      </c>
      <c r="V111" s="7">
        <v>94100.931000000026</v>
      </c>
      <c r="W111" s="7">
        <v>58708.122000000018</v>
      </c>
      <c r="X111" s="7">
        <v>23731.290999999997</v>
      </c>
      <c r="Y111" s="7">
        <v>1498482.7950000002</v>
      </c>
      <c r="Z111" s="8">
        <v>9.34653333289548E-4</v>
      </c>
      <c r="AA111" s="8">
        <v>2.3540488469934393E-4</v>
      </c>
      <c r="AB111" s="8">
        <v>2.6765048667260947E-4</v>
      </c>
      <c r="AC111" s="8">
        <v>2.6069765691012206E-4</v>
      </c>
      <c r="AD111" s="8">
        <v>3.0237873530928098E-4</v>
      </c>
      <c r="AE111" s="8">
        <v>2.7062587000374139E-4</v>
      </c>
      <c r="AF111" s="8">
        <v>3.6280191695275201E-4</v>
      </c>
      <c r="AG111" s="8">
        <v>3.9319483459733241E-4</v>
      </c>
      <c r="AH111" s="8">
        <v>5.6210280410604844E-4</v>
      </c>
      <c r="AI111" s="8">
        <v>2.5704459146365026E-3</v>
      </c>
      <c r="AJ111" s="8">
        <v>3.8572348106272382E-4</v>
      </c>
    </row>
    <row r="112" spans="1:36" x14ac:dyDescent="0.2">
      <c r="A112" t="s">
        <v>138</v>
      </c>
      <c r="B112">
        <v>2010</v>
      </c>
      <c r="C112" t="s">
        <v>140</v>
      </c>
      <c r="D112" s="7">
        <v>106</v>
      </c>
      <c r="E112" s="7">
        <v>50</v>
      </c>
      <c r="F112" s="7">
        <v>72</v>
      </c>
      <c r="G112" s="7">
        <v>48</v>
      </c>
      <c r="H112" s="7">
        <v>60</v>
      </c>
      <c r="I112" s="7">
        <v>45</v>
      </c>
      <c r="J112" s="7">
        <v>53</v>
      </c>
      <c r="K112" s="7">
        <v>51</v>
      </c>
      <c r="L112" s="7">
        <v>55</v>
      </c>
      <c r="M112" s="7">
        <v>99</v>
      </c>
      <c r="N112" s="7">
        <v>639</v>
      </c>
      <c r="O112" s="7">
        <v>119524.94499999998</v>
      </c>
      <c r="P112" s="7">
        <v>231517.07100000003</v>
      </c>
      <c r="Q112" s="7">
        <v>224908.00599999999</v>
      </c>
      <c r="R112" s="7">
        <v>202326.26300000006</v>
      </c>
      <c r="S112" s="7">
        <v>194189.31600000002</v>
      </c>
      <c r="T112" s="7">
        <v>209128.40899999999</v>
      </c>
      <c r="U112" s="7">
        <v>169778.25600000008</v>
      </c>
      <c r="V112" s="7">
        <v>100706.37500000004</v>
      </c>
      <c r="W112" s="7">
        <v>58472.378000000004</v>
      </c>
      <c r="X112" s="7">
        <v>23979.518000000004</v>
      </c>
      <c r="Y112" s="7">
        <v>1534530.537</v>
      </c>
      <c r="Z112" s="8">
        <v>8.8684416462187052E-4</v>
      </c>
      <c r="AA112" s="8">
        <v>2.1596679581351475E-4</v>
      </c>
      <c r="AB112" s="8">
        <v>3.2013088942685304E-4</v>
      </c>
      <c r="AC112" s="8">
        <v>2.372405800822802E-4</v>
      </c>
      <c r="AD112" s="8">
        <v>3.089768337203474E-4</v>
      </c>
      <c r="AE112" s="8">
        <v>2.151787995479849E-4</v>
      </c>
      <c r="AF112" s="8">
        <v>3.121718955576972E-4</v>
      </c>
      <c r="AG112" s="8">
        <v>5.0642275625550003E-4</v>
      </c>
      <c r="AH112" s="8">
        <v>9.4061507127348224E-4</v>
      </c>
      <c r="AI112" s="8">
        <v>4.1285233506361549E-3</v>
      </c>
      <c r="AJ112" s="8">
        <v>4.1641400062930123E-4</v>
      </c>
    </row>
    <row r="113" spans="1:36" x14ac:dyDescent="0.2">
      <c r="A113" t="s">
        <v>138</v>
      </c>
      <c r="B113">
        <v>2011</v>
      </c>
      <c r="C113" t="s">
        <v>141</v>
      </c>
      <c r="D113" s="7">
        <v>115</v>
      </c>
      <c r="E113" s="7">
        <v>70</v>
      </c>
      <c r="F113" s="7">
        <v>61</v>
      </c>
      <c r="G113" s="7">
        <v>33</v>
      </c>
      <c r="H113" s="7">
        <v>39</v>
      </c>
      <c r="I113" s="7">
        <v>40</v>
      </c>
      <c r="J113" s="7">
        <v>55</v>
      </c>
      <c r="K113" s="7">
        <v>51</v>
      </c>
      <c r="L113" s="7">
        <v>52</v>
      </c>
      <c r="M113" s="7">
        <v>104</v>
      </c>
      <c r="N113" s="7">
        <v>620</v>
      </c>
      <c r="O113" s="7">
        <v>121450.36799999999</v>
      </c>
      <c r="P113" s="7">
        <v>238213.03</v>
      </c>
      <c r="Q113" s="7">
        <v>229197.72599999997</v>
      </c>
      <c r="R113" s="7">
        <v>209056.80600000007</v>
      </c>
      <c r="S113" s="7">
        <v>196419.45399999997</v>
      </c>
      <c r="T113" s="7">
        <v>213641.52900000001</v>
      </c>
      <c r="U113" s="7">
        <v>180963.60900000003</v>
      </c>
      <c r="V113" s="7">
        <v>109783.45600000001</v>
      </c>
      <c r="W113" s="7">
        <v>62874.728000000025</v>
      </c>
      <c r="X113" s="7">
        <v>25403.285</v>
      </c>
      <c r="Y113" s="7">
        <v>1587003.9910000002</v>
      </c>
      <c r="Z113" s="8">
        <v>9.4688885586579708E-4</v>
      </c>
      <c r="AA113" s="8">
        <v>2.9385462247803995E-4</v>
      </c>
      <c r="AB113" s="8">
        <v>2.6614574701321427E-4</v>
      </c>
      <c r="AC113" s="8">
        <v>1.5785183286498689E-4</v>
      </c>
      <c r="AD113" s="8">
        <v>1.9855467065904789E-4</v>
      </c>
      <c r="AE113" s="8">
        <v>1.872295156621913E-4</v>
      </c>
      <c r="AF113" s="8">
        <v>3.0392850973700458E-4</v>
      </c>
      <c r="AG113" s="8">
        <v>4.6455087003273058E-4</v>
      </c>
      <c r="AH113" s="8">
        <v>8.2704135117689858E-4</v>
      </c>
      <c r="AI113" s="8">
        <v>4.0939587143946146E-3</v>
      </c>
      <c r="AJ113" s="8">
        <v>3.9067324563520897E-4</v>
      </c>
    </row>
    <row r="114" spans="1:36" x14ac:dyDescent="0.2">
      <c r="A114" t="s">
        <v>138</v>
      </c>
      <c r="B114">
        <v>2012</v>
      </c>
      <c r="C114" t="s">
        <v>142</v>
      </c>
      <c r="D114" s="7">
        <v>114</v>
      </c>
      <c r="E114" s="7">
        <v>48</v>
      </c>
      <c r="F114" s="7">
        <v>59</v>
      </c>
      <c r="G114" s="7">
        <v>53</v>
      </c>
      <c r="H114" s="7">
        <v>61</v>
      </c>
      <c r="I114" s="7">
        <v>48</v>
      </c>
      <c r="J114" s="7">
        <v>41</v>
      </c>
      <c r="K114" s="7">
        <v>44</v>
      </c>
      <c r="L114" s="7">
        <v>36</v>
      </c>
      <c r="M114" s="7">
        <v>92</v>
      </c>
      <c r="N114" s="7">
        <v>596</v>
      </c>
      <c r="O114" s="7">
        <v>119971.77999999998</v>
      </c>
      <c r="P114" s="7">
        <v>236973.13399999999</v>
      </c>
      <c r="Q114" s="7">
        <v>227110.834</v>
      </c>
      <c r="R114" s="7">
        <v>208567.74200000006</v>
      </c>
      <c r="S114" s="7">
        <v>192581.84099999996</v>
      </c>
      <c r="T114" s="7">
        <v>207517.12000000005</v>
      </c>
      <c r="U114" s="7">
        <v>181335.54700000005</v>
      </c>
      <c r="V114" s="7">
        <v>111777.64800000002</v>
      </c>
      <c r="W114" s="7">
        <v>61361.46</v>
      </c>
      <c r="X114" s="7">
        <v>24736.277999999998</v>
      </c>
      <c r="Y114" s="7">
        <v>1571933.3840000001</v>
      </c>
      <c r="Z114" s="8">
        <v>9.502234608838847E-4</v>
      </c>
      <c r="AA114" s="8">
        <v>2.0255460688636543E-4</v>
      </c>
      <c r="AB114" s="8">
        <v>2.5978505279056831E-4</v>
      </c>
      <c r="AC114" s="8">
        <v>2.541140805944957E-4</v>
      </c>
      <c r="AD114" s="8">
        <v>3.1674845189583585E-4</v>
      </c>
      <c r="AE114" s="8">
        <v>2.3130621704850178E-4</v>
      </c>
      <c r="AF114" s="8">
        <v>2.2610018100863584E-4</v>
      </c>
      <c r="AG114" s="8">
        <v>3.9363862800190604E-4</v>
      </c>
      <c r="AH114" s="8">
        <v>5.8668747451576285E-4</v>
      </c>
      <c r="AI114" s="8">
        <v>3.7192337505262516E-3</v>
      </c>
      <c r="AJ114" s="8">
        <v>3.7915092717440499E-4</v>
      </c>
    </row>
    <row r="115" spans="1:36" x14ac:dyDescent="0.2">
      <c r="A115" t="s">
        <v>138</v>
      </c>
      <c r="B115">
        <v>2013</v>
      </c>
      <c r="C115" t="s">
        <v>143</v>
      </c>
      <c r="D115" s="7">
        <v>103</v>
      </c>
      <c r="E115" s="7">
        <v>60</v>
      </c>
      <c r="F115" s="7">
        <v>53</v>
      </c>
      <c r="G115" s="7">
        <v>61</v>
      </c>
      <c r="H115" s="7">
        <v>53</v>
      </c>
      <c r="I115" s="7">
        <v>53</v>
      </c>
      <c r="J115" s="7">
        <v>44</v>
      </c>
      <c r="K115" s="7">
        <v>64</v>
      </c>
      <c r="L115" s="7">
        <v>48</v>
      </c>
      <c r="M115" s="7">
        <v>120</v>
      </c>
      <c r="N115" s="7">
        <v>659</v>
      </c>
      <c r="O115" s="7">
        <v>126635.63900000002</v>
      </c>
      <c r="P115" s="7">
        <v>257873.815</v>
      </c>
      <c r="Q115" s="7">
        <v>240509.09000000008</v>
      </c>
      <c r="R115" s="7">
        <v>224381.85200000001</v>
      </c>
      <c r="S115" s="7">
        <v>208619.37300000002</v>
      </c>
      <c r="T115" s="7">
        <v>221892.35400000005</v>
      </c>
      <c r="U115" s="7">
        <v>202218.32199999996</v>
      </c>
      <c r="V115" s="7">
        <v>127454.47100000009</v>
      </c>
      <c r="W115" s="7">
        <v>67936.468000000008</v>
      </c>
      <c r="X115" s="7">
        <v>27286.062000000009</v>
      </c>
      <c r="Y115" s="7">
        <v>1704807.4460000005</v>
      </c>
      <c r="Z115" s="8">
        <v>8.1335713084686992E-4</v>
      </c>
      <c r="AA115" s="8">
        <v>2.3267193685407725E-4</v>
      </c>
      <c r="AB115" s="8">
        <v>2.2036589136818064E-4</v>
      </c>
      <c r="AC115" s="8">
        <v>2.7185799322130563E-4</v>
      </c>
      <c r="AD115" s="8">
        <v>2.5405119015480882E-4</v>
      </c>
      <c r="AE115" s="8">
        <v>2.388545573769522E-4</v>
      </c>
      <c r="AF115" s="8">
        <v>2.175866141347964E-4</v>
      </c>
      <c r="AG115" s="8">
        <v>5.0214009361821408E-4</v>
      </c>
      <c r="AH115" s="8">
        <v>7.0654247141608824E-4</v>
      </c>
      <c r="AI115" s="8">
        <v>4.3978497153601701E-3</v>
      </c>
      <c r="AJ115" s="8">
        <v>3.8655391935682562E-4</v>
      </c>
    </row>
    <row r="116" spans="1:36" x14ac:dyDescent="0.2">
      <c r="A116" t="s">
        <v>138</v>
      </c>
      <c r="B116">
        <v>2014</v>
      </c>
      <c r="C116" t="s">
        <v>144</v>
      </c>
      <c r="D116" s="7">
        <v>92</v>
      </c>
      <c r="E116" s="7">
        <v>47</v>
      </c>
      <c r="F116" s="7">
        <v>65</v>
      </c>
      <c r="G116" s="7">
        <v>60</v>
      </c>
      <c r="H116" s="7">
        <v>46</v>
      </c>
      <c r="I116" s="7">
        <v>56</v>
      </c>
      <c r="J116" s="7">
        <v>49</v>
      </c>
      <c r="K116" s="7">
        <v>62</v>
      </c>
      <c r="L116" s="7">
        <v>80</v>
      </c>
      <c r="M116" s="7">
        <v>91</v>
      </c>
      <c r="N116" s="7">
        <v>648</v>
      </c>
      <c r="O116" s="7">
        <v>118000.12700000002</v>
      </c>
      <c r="P116" s="7">
        <v>246015.89199999996</v>
      </c>
      <c r="Q116" s="7">
        <v>232542.245</v>
      </c>
      <c r="R116" s="7">
        <v>219069.53399999996</v>
      </c>
      <c r="S116" s="7">
        <v>202050.82199999999</v>
      </c>
      <c r="T116" s="7">
        <v>210869.43399999995</v>
      </c>
      <c r="U116" s="7">
        <v>198149.22500000003</v>
      </c>
      <c r="V116" s="7">
        <v>128949.448</v>
      </c>
      <c r="W116" s="7">
        <v>67509.631999999983</v>
      </c>
      <c r="X116" s="7">
        <v>26774.83500000001</v>
      </c>
      <c r="Y116" s="7">
        <v>1649931.1939999999</v>
      </c>
      <c r="Z116" s="8">
        <v>7.7966017782336774E-4</v>
      </c>
      <c r="AA116" s="8">
        <v>1.91044568779321E-4</v>
      </c>
      <c r="AB116" s="8">
        <v>2.7951910415245195E-4</v>
      </c>
      <c r="AC116" s="8">
        <v>2.7388564217240729E-4</v>
      </c>
      <c r="AD116" s="8">
        <v>2.2766549299165932E-4</v>
      </c>
      <c r="AE116" s="8">
        <v>2.6556717556324458E-4</v>
      </c>
      <c r="AF116" s="8">
        <v>2.4728837571784596E-4</v>
      </c>
      <c r="AG116" s="8">
        <v>4.8080857236395457E-4</v>
      </c>
      <c r="AH116" s="8">
        <v>1.1850160877784079E-3</v>
      </c>
      <c r="AI116" s="8">
        <v>3.3987137549120272E-3</v>
      </c>
      <c r="AJ116" s="8">
        <v>3.9274365037551985E-4</v>
      </c>
    </row>
    <row r="117" spans="1:36" x14ac:dyDescent="0.2">
      <c r="A117" t="s">
        <v>138</v>
      </c>
      <c r="B117">
        <v>2015</v>
      </c>
      <c r="C117" t="s">
        <v>145</v>
      </c>
      <c r="D117" s="7">
        <v>81</v>
      </c>
      <c r="E117" s="7">
        <v>65</v>
      </c>
      <c r="F117" s="7">
        <v>67</v>
      </c>
      <c r="G117" s="7">
        <v>30</v>
      </c>
      <c r="H117" s="7">
        <v>56</v>
      </c>
      <c r="I117" s="7">
        <v>70</v>
      </c>
      <c r="J117" s="7">
        <v>53</v>
      </c>
      <c r="K117" s="7">
        <v>54</v>
      </c>
      <c r="L117" s="7">
        <v>62</v>
      </c>
      <c r="M117" s="7">
        <v>106</v>
      </c>
      <c r="N117" s="7">
        <v>644</v>
      </c>
      <c r="O117" s="7">
        <v>118259.13900000004</v>
      </c>
      <c r="P117" s="7">
        <v>249937.36300000004</v>
      </c>
      <c r="Q117" s="7">
        <v>238658.63999999998</v>
      </c>
      <c r="R117" s="7">
        <v>225331.579</v>
      </c>
      <c r="S117" s="7">
        <v>211799.14400000006</v>
      </c>
      <c r="T117" s="7">
        <v>217510.70900000003</v>
      </c>
      <c r="U117" s="7">
        <v>207801.67899999989</v>
      </c>
      <c r="V117" s="7">
        <v>136951.065</v>
      </c>
      <c r="W117" s="7">
        <v>70093.112999999983</v>
      </c>
      <c r="X117" s="7">
        <v>28387.567999999996</v>
      </c>
      <c r="Y117" s="7">
        <v>1704729.9989999998</v>
      </c>
      <c r="Z117" s="8">
        <v>6.84936493576196E-4</v>
      </c>
      <c r="AA117" s="8">
        <v>2.6006515880540836E-4</v>
      </c>
      <c r="AB117" s="8">
        <v>2.8073569848550213E-4</v>
      </c>
      <c r="AC117" s="8">
        <v>1.3313713121408517E-4</v>
      </c>
      <c r="AD117" s="8">
        <v>2.6440144630612855E-4</v>
      </c>
      <c r="AE117" s="8">
        <v>3.2182323491943557E-4</v>
      </c>
      <c r="AF117" s="8">
        <v>2.5505087473330775E-4</v>
      </c>
      <c r="AG117" s="8">
        <v>3.943014243810371E-4</v>
      </c>
      <c r="AH117" s="8">
        <v>8.8453768632019546E-4</v>
      </c>
      <c r="AI117" s="8">
        <v>3.7340289242107677E-3</v>
      </c>
      <c r="AJ117" s="8">
        <v>3.7777243339283785E-4</v>
      </c>
    </row>
    <row r="118" spans="1:36" x14ac:dyDescent="0.2">
      <c r="A118" t="s">
        <v>138</v>
      </c>
      <c r="B118">
        <v>2016</v>
      </c>
      <c r="C118" t="s">
        <v>146</v>
      </c>
      <c r="D118" s="7">
        <v>114</v>
      </c>
      <c r="E118" s="7">
        <v>52</v>
      </c>
      <c r="F118" s="7">
        <v>64</v>
      </c>
      <c r="G118" s="7">
        <v>56</v>
      </c>
      <c r="H118" s="7">
        <v>40</v>
      </c>
      <c r="I118" s="7">
        <v>57</v>
      </c>
      <c r="J118" s="7">
        <v>57</v>
      </c>
      <c r="K118" s="7">
        <v>65</v>
      </c>
      <c r="L118" s="7">
        <v>40</v>
      </c>
      <c r="M118" s="7">
        <v>88</v>
      </c>
      <c r="N118" s="7">
        <v>633</v>
      </c>
      <c r="O118" s="7">
        <v>107824.39800000002</v>
      </c>
      <c r="P118" s="7">
        <v>232667.24399999998</v>
      </c>
      <c r="Q118" s="7">
        <v>217072.69399999999</v>
      </c>
      <c r="R118" s="7">
        <v>204428.49000000002</v>
      </c>
      <c r="S118" s="7">
        <v>190891.83899999998</v>
      </c>
      <c r="T118" s="7">
        <v>190171.68700000001</v>
      </c>
      <c r="U118" s="7">
        <v>188818.258</v>
      </c>
      <c r="V118" s="7">
        <v>131599.65100000004</v>
      </c>
      <c r="W118" s="7">
        <v>64682.336999999978</v>
      </c>
      <c r="X118" s="7">
        <v>25437.776999999998</v>
      </c>
      <c r="Y118" s="7">
        <v>1553594.375</v>
      </c>
      <c r="Z118" s="8">
        <v>1.0572746253589098E-3</v>
      </c>
      <c r="AA118" s="8">
        <v>2.2349514743037917E-4</v>
      </c>
      <c r="AB118" s="8">
        <v>2.9483210817847039E-4</v>
      </c>
      <c r="AC118" s="8">
        <v>2.7393442078450022E-4</v>
      </c>
      <c r="AD118" s="8">
        <v>2.0954274530300901E-4</v>
      </c>
      <c r="AE118" s="8">
        <v>2.9972915999845967E-4</v>
      </c>
      <c r="AF118" s="8">
        <v>3.0187758643552361E-4</v>
      </c>
      <c r="AG118" s="8">
        <v>4.9392228251425975E-4</v>
      </c>
      <c r="AH118" s="8">
        <v>6.184068457514146E-4</v>
      </c>
      <c r="AI118" s="8">
        <v>3.4594217883111406E-3</v>
      </c>
      <c r="AJ118" s="8">
        <v>4.0744225789308747E-4</v>
      </c>
    </row>
    <row r="119" spans="1:36" x14ac:dyDescent="0.2">
      <c r="A119" t="s">
        <v>138</v>
      </c>
      <c r="B119">
        <v>2017</v>
      </c>
      <c r="C119" t="s">
        <v>147</v>
      </c>
      <c r="D119" s="7">
        <v>104</v>
      </c>
      <c r="E119" s="7">
        <v>58</v>
      </c>
      <c r="F119" s="7">
        <v>56</v>
      </c>
      <c r="G119" s="7">
        <v>60</v>
      </c>
      <c r="H119" s="7">
        <v>58</v>
      </c>
      <c r="I119" s="7">
        <v>56</v>
      </c>
      <c r="J119" s="7">
        <v>46</v>
      </c>
      <c r="K119" s="7">
        <v>51</v>
      </c>
      <c r="L119" s="7">
        <v>87</v>
      </c>
      <c r="M119" s="7">
        <v>115</v>
      </c>
      <c r="N119" s="7">
        <v>691</v>
      </c>
      <c r="O119" s="7">
        <v>105307</v>
      </c>
      <c r="P119" s="7">
        <v>231853</v>
      </c>
      <c r="Q119" s="7">
        <v>213523</v>
      </c>
      <c r="R119" s="7">
        <v>206868</v>
      </c>
      <c r="S119" s="7">
        <v>196246</v>
      </c>
      <c r="T119" s="7">
        <v>193162</v>
      </c>
      <c r="U119" s="7">
        <v>194898</v>
      </c>
      <c r="V119" s="7">
        <v>140110</v>
      </c>
      <c r="W119" s="7">
        <v>67751</v>
      </c>
      <c r="X119" s="7">
        <v>26601</v>
      </c>
      <c r="Y119" s="7">
        <v>1576319</v>
      </c>
      <c r="Z119" s="8">
        <v>9.8758866931922848E-4</v>
      </c>
      <c r="AA119" s="8">
        <v>2.5015850560484445E-4</v>
      </c>
      <c r="AB119" s="8">
        <v>2.6226682839787752E-4</v>
      </c>
      <c r="AC119" s="8">
        <v>2.9004002552352224E-4</v>
      </c>
      <c r="AD119" s="8">
        <v>2.9554742517044931E-4</v>
      </c>
      <c r="AE119" s="8">
        <v>2.8991209451134279E-4</v>
      </c>
      <c r="AF119" s="8">
        <v>2.3602089297991769E-4</v>
      </c>
      <c r="AG119" s="8">
        <v>3.6399971451002785E-4</v>
      </c>
      <c r="AH119" s="8">
        <v>1.2841138876178949E-3</v>
      </c>
      <c r="AI119" s="8">
        <v>4.3231457464005113E-3</v>
      </c>
      <c r="AJ119" s="8">
        <v>4.383630470735936E-4</v>
      </c>
    </row>
    <row r="120" spans="1:36" x14ac:dyDescent="0.2">
      <c r="A120" t="s">
        <v>148</v>
      </c>
      <c r="B120">
        <v>2009</v>
      </c>
      <c r="C120" t="s">
        <v>149</v>
      </c>
      <c r="D120" s="7">
        <v>119</v>
      </c>
      <c r="E120" s="7">
        <v>64</v>
      </c>
      <c r="F120" s="7">
        <v>55</v>
      </c>
      <c r="G120" s="7">
        <v>55</v>
      </c>
      <c r="H120" s="7">
        <v>65</v>
      </c>
      <c r="I120" s="7">
        <v>112</v>
      </c>
      <c r="J120" s="7">
        <v>173</v>
      </c>
      <c r="K120" s="7">
        <v>263</v>
      </c>
      <c r="L120" s="7">
        <v>589</v>
      </c>
      <c r="M120" s="7">
        <v>1154</v>
      </c>
      <c r="N120" s="7">
        <v>2649</v>
      </c>
      <c r="O120" s="7">
        <v>898968.31600000046</v>
      </c>
      <c r="P120" s="7">
        <v>1769246.6900000009</v>
      </c>
      <c r="Q120" s="7">
        <v>1845653.7050000001</v>
      </c>
      <c r="R120" s="7">
        <v>1770474.816000001</v>
      </c>
      <c r="S120" s="7">
        <v>1829792.743</v>
      </c>
      <c r="T120" s="7">
        <v>1867044.4869999995</v>
      </c>
      <c r="U120" s="7">
        <v>1342706.284</v>
      </c>
      <c r="V120" s="7">
        <v>804823.98000000033</v>
      </c>
      <c r="W120" s="7">
        <v>539871.78899999987</v>
      </c>
      <c r="X120" s="7">
        <v>223035.83400000003</v>
      </c>
      <c r="Y120" s="7">
        <v>12891618.644000003</v>
      </c>
      <c r="Z120" s="8">
        <v>1.3237396455694433E-4</v>
      </c>
      <c r="AA120" s="8">
        <v>3.6173587528373426E-5</v>
      </c>
      <c r="AB120" s="8">
        <v>2.9799739707942665E-5</v>
      </c>
      <c r="AC120" s="8">
        <v>3.1065112874217787E-5</v>
      </c>
      <c r="AD120" s="8">
        <v>3.5523148864078757E-5</v>
      </c>
      <c r="AE120" s="8">
        <v>5.9987858232539283E-5</v>
      </c>
      <c r="AF120" s="8">
        <v>1.2884426181772454E-4</v>
      </c>
      <c r="AG120" s="8">
        <v>3.2677952761795179E-4</v>
      </c>
      <c r="AH120" s="8">
        <v>1.0909997743927312E-3</v>
      </c>
      <c r="AI120" s="8">
        <v>5.1740564702262145E-3</v>
      </c>
      <c r="AJ120" s="8">
        <v>2.054823426872694E-4</v>
      </c>
    </row>
    <row r="121" spans="1:36" x14ac:dyDescent="0.2">
      <c r="A121" t="s">
        <v>148</v>
      </c>
      <c r="B121">
        <v>2010</v>
      </c>
      <c r="C121" t="s">
        <v>150</v>
      </c>
      <c r="D121" s="7">
        <v>120</v>
      </c>
      <c r="E121" s="7">
        <v>67</v>
      </c>
      <c r="F121" s="7">
        <v>58</v>
      </c>
      <c r="G121" s="7">
        <v>55</v>
      </c>
      <c r="H121" s="7">
        <v>39</v>
      </c>
      <c r="I121" s="7">
        <v>55</v>
      </c>
      <c r="J121" s="7">
        <v>149</v>
      </c>
      <c r="K121" s="7">
        <v>247</v>
      </c>
      <c r="L121" s="7">
        <v>597</v>
      </c>
      <c r="M121" s="7">
        <v>1068</v>
      </c>
      <c r="N121" s="7">
        <v>2455</v>
      </c>
      <c r="O121" s="7">
        <v>855937.99299999967</v>
      </c>
      <c r="P121" s="7">
        <v>1766228.7700000005</v>
      </c>
      <c r="Q121" s="7">
        <v>1827369.9670000002</v>
      </c>
      <c r="R121" s="7">
        <v>1773201.8840000001</v>
      </c>
      <c r="S121" s="7">
        <v>1799088.5200000003</v>
      </c>
      <c r="T121" s="7">
        <v>1878514.0919999997</v>
      </c>
      <c r="U121" s="7">
        <v>1410095.5449999997</v>
      </c>
      <c r="V121" s="7">
        <v>825436.33800000022</v>
      </c>
      <c r="W121" s="7">
        <v>534431.69700000004</v>
      </c>
      <c r="X121" s="7">
        <v>228987.07499999995</v>
      </c>
      <c r="Y121" s="7">
        <v>12899291.880999999</v>
      </c>
      <c r="Z121" s="8">
        <v>1.4019707149510777E-4</v>
      </c>
      <c r="AA121" s="8">
        <v>3.7933930835018606E-5</v>
      </c>
      <c r="AB121" s="8">
        <v>3.1739604484809832E-5</v>
      </c>
      <c r="AC121" s="8">
        <v>3.1017336771564132E-5</v>
      </c>
      <c r="AD121" s="8">
        <v>2.1677643743733073E-5</v>
      </c>
      <c r="AE121" s="8">
        <v>2.927846015860498E-5</v>
      </c>
      <c r="AF121" s="8">
        <v>1.056665986417254E-4</v>
      </c>
      <c r="AG121" s="8">
        <v>2.9923567527747962E-4</v>
      </c>
      <c r="AH121" s="8">
        <v>1.1170744612477579E-3</v>
      </c>
      <c r="AI121" s="8">
        <v>4.6640187006188024E-3</v>
      </c>
      <c r="AJ121" s="8">
        <v>1.9032052477361877E-4</v>
      </c>
    </row>
    <row r="122" spans="1:36" x14ac:dyDescent="0.2">
      <c r="A122" t="s">
        <v>148</v>
      </c>
      <c r="B122">
        <v>2011</v>
      </c>
      <c r="C122" t="s">
        <v>151</v>
      </c>
      <c r="D122" s="7">
        <v>114</v>
      </c>
      <c r="E122" s="7">
        <v>65</v>
      </c>
      <c r="F122" s="7">
        <v>61</v>
      </c>
      <c r="G122" s="7">
        <v>55</v>
      </c>
      <c r="H122" s="7">
        <v>40</v>
      </c>
      <c r="I122" s="7">
        <v>65</v>
      </c>
      <c r="J122" s="7">
        <v>201</v>
      </c>
      <c r="K122" s="7">
        <v>256</v>
      </c>
      <c r="L122" s="7">
        <v>625</v>
      </c>
      <c r="M122" s="7">
        <v>1168</v>
      </c>
      <c r="N122" s="7">
        <v>2650</v>
      </c>
      <c r="O122" s="7">
        <v>835803.59300000034</v>
      </c>
      <c r="P122" s="7">
        <v>1735350.4260000004</v>
      </c>
      <c r="Q122" s="7">
        <v>1796793.002000001</v>
      </c>
      <c r="R122" s="7">
        <v>1758490.1930000004</v>
      </c>
      <c r="S122" s="7">
        <v>1746109.4530000002</v>
      </c>
      <c r="T122" s="7">
        <v>1850667.7210000001</v>
      </c>
      <c r="U122" s="7">
        <v>1427019.1689999998</v>
      </c>
      <c r="V122" s="7">
        <v>830555.33499999985</v>
      </c>
      <c r="W122" s="7">
        <v>525188.15099999995</v>
      </c>
      <c r="X122" s="7">
        <v>228196.36399999991</v>
      </c>
      <c r="Y122" s="7">
        <v>12734173.407000002</v>
      </c>
      <c r="Z122" s="8">
        <v>1.3639568070150657E-4</v>
      </c>
      <c r="AA122" s="8">
        <v>3.7456411699984788E-5</v>
      </c>
      <c r="AB122" s="8">
        <v>3.3949375321531873E-5</v>
      </c>
      <c r="AC122" s="8">
        <v>3.1276830669251269E-5</v>
      </c>
      <c r="AD122" s="8">
        <v>2.2908071387664604E-5</v>
      </c>
      <c r="AE122" s="8">
        <v>3.5122458376740658E-5</v>
      </c>
      <c r="AF122" s="8">
        <v>1.4085304834472062E-4</v>
      </c>
      <c r="AG122" s="8">
        <v>3.082275065995453E-4</v>
      </c>
      <c r="AH122" s="8">
        <v>1.1900496970656143E-3</v>
      </c>
      <c r="AI122" s="8">
        <v>5.1183988190101068E-3</v>
      </c>
      <c r="AJ122" s="8">
        <v>2.081014538833977E-4</v>
      </c>
    </row>
    <row r="123" spans="1:36" x14ac:dyDescent="0.2">
      <c r="A123" t="s">
        <v>148</v>
      </c>
      <c r="B123">
        <v>2012</v>
      </c>
      <c r="C123" t="s">
        <v>152</v>
      </c>
      <c r="D123" s="7">
        <v>113</v>
      </c>
      <c r="E123" s="7">
        <v>57</v>
      </c>
      <c r="F123" s="7">
        <v>34</v>
      </c>
      <c r="G123" s="7">
        <v>42</v>
      </c>
      <c r="H123" s="7">
        <v>66</v>
      </c>
      <c r="I123" s="7">
        <v>71</v>
      </c>
      <c r="J123" s="7">
        <v>185</v>
      </c>
      <c r="K123" s="7">
        <v>292</v>
      </c>
      <c r="L123" s="7">
        <v>559</v>
      </c>
      <c r="M123" s="7">
        <v>1132</v>
      </c>
      <c r="N123" s="7">
        <v>2551</v>
      </c>
      <c r="O123" s="7">
        <v>835363.44100000022</v>
      </c>
      <c r="P123" s="7">
        <v>1733534.223</v>
      </c>
      <c r="Q123" s="7">
        <v>1803572.7579999992</v>
      </c>
      <c r="R123" s="7">
        <v>1778849.7599999991</v>
      </c>
      <c r="S123" s="7">
        <v>1734867.0759999992</v>
      </c>
      <c r="T123" s="7">
        <v>1859384.5529999996</v>
      </c>
      <c r="U123" s="7">
        <v>1483611.2219999998</v>
      </c>
      <c r="V123" s="7">
        <v>863296.20400000003</v>
      </c>
      <c r="W123" s="7">
        <v>531834.76800000004</v>
      </c>
      <c r="X123" s="7">
        <v>236388.23699999999</v>
      </c>
      <c r="Y123" s="7">
        <v>12860702.241999995</v>
      </c>
      <c r="Z123" s="8">
        <v>1.3527046367354731E-4</v>
      </c>
      <c r="AA123" s="8">
        <v>3.2880804568921391E-5</v>
      </c>
      <c r="AB123" s="8">
        <v>1.8851471252927417E-5</v>
      </c>
      <c r="AC123" s="8">
        <v>2.3610762946051174E-5</v>
      </c>
      <c r="AD123" s="8">
        <v>3.8043260439395203E-5</v>
      </c>
      <c r="AE123" s="8">
        <v>3.8184677766331867E-5</v>
      </c>
      <c r="AF123" s="8">
        <v>1.2469574053949832E-4</v>
      </c>
      <c r="AG123" s="8">
        <v>3.3823848482947803E-4</v>
      </c>
      <c r="AH123" s="8">
        <v>1.0510783304035511E-3</v>
      </c>
      <c r="AI123" s="8">
        <v>4.7887323598085809E-3</v>
      </c>
      <c r="AJ123" s="8">
        <v>1.9835619797409202E-4</v>
      </c>
    </row>
    <row r="124" spans="1:36" x14ac:dyDescent="0.2">
      <c r="A124" t="s">
        <v>148</v>
      </c>
      <c r="B124">
        <v>2013</v>
      </c>
      <c r="C124" t="s">
        <v>153</v>
      </c>
      <c r="D124" s="7">
        <v>104</v>
      </c>
      <c r="E124" s="7">
        <v>61</v>
      </c>
      <c r="F124" s="7">
        <v>55</v>
      </c>
      <c r="G124" s="7">
        <v>63</v>
      </c>
      <c r="H124" s="7">
        <v>44</v>
      </c>
      <c r="I124" s="7">
        <v>51</v>
      </c>
      <c r="J124" s="7">
        <v>182</v>
      </c>
      <c r="K124" s="7">
        <v>315</v>
      </c>
      <c r="L124" s="7">
        <v>600</v>
      </c>
      <c r="M124" s="7">
        <v>1207</v>
      </c>
      <c r="N124" s="7">
        <v>2682</v>
      </c>
      <c r="O124" s="7">
        <v>819664.05100000033</v>
      </c>
      <c r="P124" s="7">
        <v>1718823.3050000009</v>
      </c>
      <c r="Q124" s="7">
        <v>1788125.8360000004</v>
      </c>
      <c r="R124" s="7">
        <v>1774293.6040000003</v>
      </c>
      <c r="S124" s="7">
        <v>1704390.6010000005</v>
      </c>
      <c r="T124" s="7">
        <v>1832098.0699999996</v>
      </c>
      <c r="U124" s="7">
        <v>1508443.5910000002</v>
      </c>
      <c r="V124" s="7">
        <v>884396.28399999987</v>
      </c>
      <c r="W124" s="7">
        <v>515918.90700000006</v>
      </c>
      <c r="X124" s="7">
        <v>238497.253</v>
      </c>
      <c r="Y124" s="7">
        <v>12784651.502000002</v>
      </c>
      <c r="Z124" s="8">
        <v>1.2688125076745614E-4</v>
      </c>
      <c r="AA124" s="8">
        <v>3.5489395461740013E-5</v>
      </c>
      <c r="AB124" s="8">
        <v>3.075846167685482E-5</v>
      </c>
      <c r="AC124" s="8">
        <v>3.5507088487481235E-5</v>
      </c>
      <c r="AD124" s="8">
        <v>2.5815678620959485E-5</v>
      </c>
      <c r="AE124" s="8">
        <v>2.7836937790126054E-5</v>
      </c>
      <c r="AF124" s="8">
        <v>1.2065416372603353E-4</v>
      </c>
      <c r="AG124" s="8">
        <v>3.5617517361707961E-4</v>
      </c>
      <c r="AH124" s="8">
        <v>1.1629734670685367E-3</v>
      </c>
      <c r="AI124" s="8">
        <v>5.0608549357170161E-3</v>
      </c>
      <c r="AJ124" s="8">
        <v>2.0978280085150807E-4</v>
      </c>
    </row>
    <row r="125" spans="1:36" x14ac:dyDescent="0.2">
      <c r="A125" t="s">
        <v>148</v>
      </c>
      <c r="B125">
        <v>2014</v>
      </c>
      <c r="C125" t="s">
        <v>154</v>
      </c>
      <c r="D125" s="7">
        <v>109</v>
      </c>
      <c r="E125" s="7">
        <v>44</v>
      </c>
      <c r="F125" s="7">
        <v>53</v>
      </c>
      <c r="G125" s="7">
        <v>65</v>
      </c>
      <c r="H125" s="7">
        <v>56</v>
      </c>
      <c r="I125" s="7">
        <v>96</v>
      </c>
      <c r="J125" s="7">
        <v>192</v>
      </c>
      <c r="K125" s="7">
        <v>333</v>
      </c>
      <c r="L125" s="7">
        <v>577</v>
      </c>
      <c r="M125" s="7">
        <v>1215</v>
      </c>
      <c r="N125" s="7">
        <v>2740</v>
      </c>
      <c r="O125" s="7">
        <v>809143.67199999967</v>
      </c>
      <c r="P125" s="7">
        <v>1703469.4940000009</v>
      </c>
      <c r="Q125" s="7">
        <v>1789891.4499999997</v>
      </c>
      <c r="R125" s="7">
        <v>1780434.4489999986</v>
      </c>
      <c r="S125" s="7">
        <v>1692588.361</v>
      </c>
      <c r="T125" s="7">
        <v>1808465.763</v>
      </c>
      <c r="U125" s="7">
        <v>1552111.8549999988</v>
      </c>
      <c r="V125" s="7">
        <v>914954.05</v>
      </c>
      <c r="W125" s="7">
        <v>515544.80899999978</v>
      </c>
      <c r="X125" s="7">
        <v>239301.68100000007</v>
      </c>
      <c r="Y125" s="7">
        <v>12805905.583999999</v>
      </c>
      <c r="Z125" s="8">
        <v>1.3471031631574082E-4</v>
      </c>
      <c r="AA125" s="8">
        <v>2.5829637780410982E-5</v>
      </c>
      <c r="AB125" s="8">
        <v>2.9610734215195009E-5</v>
      </c>
      <c r="AC125" s="8">
        <v>3.6507943348606846E-5</v>
      </c>
      <c r="AD125" s="8">
        <v>3.308542188421677E-5</v>
      </c>
      <c r="AE125" s="8">
        <v>5.3083670127516811E-5</v>
      </c>
      <c r="AF125" s="8">
        <v>1.2370242478432726E-4</v>
      </c>
      <c r="AG125" s="8">
        <v>3.6395270341718253E-4</v>
      </c>
      <c r="AH125" s="8">
        <v>1.1192043638635497E-3</v>
      </c>
      <c r="AI125" s="8">
        <v>5.0772731512905653E-3</v>
      </c>
      <c r="AJ125" s="8">
        <v>2.1396378272719898E-4</v>
      </c>
    </row>
    <row r="126" spans="1:36" x14ac:dyDescent="0.2">
      <c r="A126" t="s">
        <v>148</v>
      </c>
      <c r="B126">
        <v>2015</v>
      </c>
      <c r="C126" t="s">
        <v>155</v>
      </c>
      <c r="D126" s="7">
        <v>94</v>
      </c>
      <c r="E126" s="7">
        <v>74</v>
      </c>
      <c r="F126" s="7">
        <v>58</v>
      </c>
      <c r="G126" s="7">
        <v>51</v>
      </c>
      <c r="H126" s="7">
        <v>91</v>
      </c>
      <c r="I126" s="7">
        <v>70</v>
      </c>
      <c r="J126" s="7">
        <v>190</v>
      </c>
      <c r="K126" s="7">
        <v>315</v>
      </c>
      <c r="L126" s="7">
        <v>541</v>
      </c>
      <c r="M126" s="7">
        <v>1141</v>
      </c>
      <c r="N126" s="7">
        <v>2625</v>
      </c>
      <c r="O126" s="7">
        <v>825459.26699999999</v>
      </c>
      <c r="P126" s="7">
        <v>1749936.8999999997</v>
      </c>
      <c r="Q126" s="7">
        <v>1828992.6499999994</v>
      </c>
      <c r="R126" s="7">
        <v>1826270.7339999995</v>
      </c>
      <c r="S126" s="7">
        <v>1733837.5449999997</v>
      </c>
      <c r="T126" s="7">
        <v>1846431.8189999994</v>
      </c>
      <c r="U126" s="7">
        <v>1631434.4549999996</v>
      </c>
      <c r="V126" s="7">
        <v>984161.16100000043</v>
      </c>
      <c r="W126" s="7">
        <v>544044.48399999994</v>
      </c>
      <c r="X126" s="7">
        <v>246810.31799999997</v>
      </c>
      <c r="Y126" s="7">
        <v>13217379.332999997</v>
      </c>
      <c r="Z126" s="8">
        <v>1.1387600061918015E-4</v>
      </c>
      <c r="AA126" s="8">
        <v>4.2287239042733494E-5</v>
      </c>
      <c r="AB126" s="8">
        <v>3.1711445095200363E-5</v>
      </c>
      <c r="AC126" s="8">
        <v>2.7925760978656748E-5</v>
      </c>
      <c r="AD126" s="8">
        <v>5.2484732645468247E-5</v>
      </c>
      <c r="AE126" s="8">
        <v>3.7910958465778053E-5</v>
      </c>
      <c r="AF126" s="8">
        <v>1.1646192675267487E-4</v>
      </c>
      <c r="AG126" s="8">
        <v>3.2006952975052413E-4</v>
      </c>
      <c r="AH126" s="8">
        <v>9.9440397965692832E-4</v>
      </c>
      <c r="AI126" s="8">
        <v>4.62298338759079E-3</v>
      </c>
      <c r="AJ126" s="8">
        <v>1.9860215356353809E-4</v>
      </c>
    </row>
    <row r="127" spans="1:36" x14ac:dyDescent="0.2">
      <c r="A127" t="s">
        <v>148</v>
      </c>
      <c r="B127">
        <v>2016</v>
      </c>
      <c r="C127" t="s">
        <v>156</v>
      </c>
      <c r="D127" s="7">
        <v>118</v>
      </c>
      <c r="E127" s="7">
        <v>44</v>
      </c>
      <c r="F127" s="7">
        <v>61</v>
      </c>
      <c r="G127" s="7">
        <v>54</v>
      </c>
      <c r="H127" s="7">
        <v>47</v>
      </c>
      <c r="I127" s="7">
        <v>66</v>
      </c>
      <c r="J127" s="7">
        <v>217</v>
      </c>
      <c r="K127" s="7">
        <v>333</v>
      </c>
      <c r="L127" s="7">
        <v>519</v>
      </c>
      <c r="M127" s="7">
        <v>947</v>
      </c>
      <c r="N127" s="7">
        <v>2406</v>
      </c>
      <c r="O127" s="7">
        <v>790068.90799999994</v>
      </c>
      <c r="P127" s="7">
        <v>1677065.0480000002</v>
      </c>
      <c r="Q127" s="7">
        <v>1765652.6929999997</v>
      </c>
      <c r="R127" s="7">
        <v>1774104.5020000001</v>
      </c>
      <c r="S127" s="7">
        <v>1669832.5229999998</v>
      </c>
      <c r="T127" s="7">
        <v>1772172.6800000004</v>
      </c>
      <c r="U127" s="7">
        <v>1620208.7929999996</v>
      </c>
      <c r="V127" s="7">
        <v>1004440.1870000004</v>
      </c>
      <c r="W127" s="7">
        <v>535155.03800000018</v>
      </c>
      <c r="X127" s="7">
        <v>246756.52200000003</v>
      </c>
      <c r="Y127" s="7">
        <v>12855456.894000001</v>
      </c>
      <c r="Z127" s="8">
        <v>1.49354061152347E-4</v>
      </c>
      <c r="AA127" s="8">
        <v>2.623631090068487E-5</v>
      </c>
      <c r="AB127" s="8">
        <v>3.4548130695145721E-5</v>
      </c>
      <c r="AC127" s="8">
        <v>3.0437891307487364E-5</v>
      </c>
      <c r="AD127" s="8">
        <v>2.8146535267836559E-5</v>
      </c>
      <c r="AE127" s="8">
        <v>3.7242420416953943E-5</v>
      </c>
      <c r="AF127" s="8">
        <v>1.3393335534131993E-4</v>
      </c>
      <c r="AG127" s="8">
        <v>3.315279538890053E-4</v>
      </c>
      <c r="AH127" s="8">
        <v>9.6981241536961828E-4</v>
      </c>
      <c r="AI127" s="8">
        <v>3.8377911648471035E-3</v>
      </c>
      <c r="AJ127" s="8">
        <v>1.8715787543287918E-4</v>
      </c>
    </row>
    <row r="128" spans="1:36" x14ac:dyDescent="0.2">
      <c r="A128" t="s">
        <v>148</v>
      </c>
      <c r="B128">
        <v>2017</v>
      </c>
      <c r="C128" t="s">
        <v>157</v>
      </c>
      <c r="D128" s="7">
        <v>127</v>
      </c>
      <c r="E128" s="7">
        <v>47</v>
      </c>
      <c r="F128" s="7">
        <v>49</v>
      </c>
      <c r="G128" s="7">
        <v>54</v>
      </c>
      <c r="H128" s="7">
        <v>60</v>
      </c>
      <c r="I128" s="7">
        <v>58</v>
      </c>
      <c r="J128" s="7">
        <v>202</v>
      </c>
      <c r="K128" s="7">
        <v>370</v>
      </c>
      <c r="L128" s="7">
        <v>587</v>
      </c>
      <c r="M128" s="7">
        <v>1069</v>
      </c>
      <c r="N128" s="7">
        <v>2623</v>
      </c>
      <c r="O128" s="7">
        <v>796749</v>
      </c>
      <c r="P128" s="7">
        <v>1681593</v>
      </c>
      <c r="Q128" s="7">
        <v>1770125</v>
      </c>
      <c r="R128" s="7">
        <v>1805074</v>
      </c>
      <c r="S128" s="7">
        <v>1683736</v>
      </c>
      <c r="T128" s="7">
        <v>1762858</v>
      </c>
      <c r="U128" s="7">
        <v>1659375</v>
      </c>
      <c r="V128" s="7">
        <v>1062651</v>
      </c>
      <c r="W128" s="7">
        <v>556719</v>
      </c>
      <c r="X128" s="7">
        <v>252109</v>
      </c>
      <c r="Y128" s="7">
        <v>13030989</v>
      </c>
      <c r="Z128" s="8">
        <v>1.5939775261719814E-4</v>
      </c>
      <c r="AA128" s="8">
        <v>2.7949688182574501E-5</v>
      </c>
      <c r="AB128" s="8">
        <v>2.7681660899653978E-5</v>
      </c>
      <c r="AC128" s="8">
        <v>2.9915671047281165E-5</v>
      </c>
      <c r="AD128" s="8">
        <v>3.5635040172568621E-5</v>
      </c>
      <c r="AE128" s="8">
        <v>3.2901118524577701E-5</v>
      </c>
      <c r="AF128" s="8">
        <v>1.2173258003766478E-4</v>
      </c>
      <c r="AG128" s="8">
        <v>3.4818581076948122E-4</v>
      </c>
      <c r="AH128" s="8">
        <v>1.0543918924987292E-3</v>
      </c>
      <c r="AI128" s="8">
        <v>4.2402294245742914E-3</v>
      </c>
      <c r="AJ128" s="8">
        <v>2.0128940328320436E-4</v>
      </c>
    </row>
    <row r="129" spans="1:36" x14ac:dyDescent="0.2">
      <c r="A129" t="s">
        <v>158</v>
      </c>
      <c r="B129">
        <v>2009</v>
      </c>
      <c r="C129" t="s">
        <v>159</v>
      </c>
      <c r="D129" s="7">
        <v>85</v>
      </c>
      <c r="E129" s="7">
        <v>61</v>
      </c>
      <c r="F129" s="7">
        <v>58</v>
      </c>
      <c r="G129" s="7">
        <v>62</v>
      </c>
      <c r="H129" s="7">
        <v>63</v>
      </c>
      <c r="I129" s="7">
        <v>48</v>
      </c>
      <c r="J129" s="7">
        <v>73</v>
      </c>
      <c r="K129" s="7">
        <v>109</v>
      </c>
      <c r="L129" s="7">
        <v>296</v>
      </c>
      <c r="M129" s="7">
        <v>537</v>
      </c>
      <c r="N129" s="7">
        <v>1392</v>
      </c>
      <c r="O129" s="7">
        <v>445484.03899999993</v>
      </c>
      <c r="P129" s="7">
        <v>880407.478</v>
      </c>
      <c r="Q129" s="7">
        <v>916661.60699999984</v>
      </c>
      <c r="R129" s="7">
        <v>833692.16899999999</v>
      </c>
      <c r="S129" s="7">
        <v>886763.32000000018</v>
      </c>
      <c r="T129" s="7">
        <v>933523.06499999994</v>
      </c>
      <c r="U129" s="7">
        <v>694889.69800000032</v>
      </c>
      <c r="V129" s="7">
        <v>416763.57300000003</v>
      </c>
      <c r="W129" s="7">
        <v>280877.46899999987</v>
      </c>
      <c r="X129" s="7">
        <v>109598.07300000003</v>
      </c>
      <c r="Y129" s="7">
        <v>6398660.4909999995</v>
      </c>
      <c r="Z129" s="8">
        <v>1.9080369341807106E-4</v>
      </c>
      <c r="AA129" s="8">
        <v>6.9286099362277345E-5</v>
      </c>
      <c r="AB129" s="8">
        <v>6.3273076517101265E-5</v>
      </c>
      <c r="AC129" s="8">
        <v>7.436797694089892E-5</v>
      </c>
      <c r="AD129" s="8">
        <v>7.1044887152075698E-5</v>
      </c>
      <c r="AE129" s="8">
        <v>5.1418118951351246E-5</v>
      </c>
      <c r="AF129" s="8">
        <v>1.0505264390896175E-4</v>
      </c>
      <c r="AG129" s="8">
        <v>2.6153917247465384E-4</v>
      </c>
      <c r="AH129" s="8">
        <v>1.0538403135496787E-3</v>
      </c>
      <c r="AI129" s="8">
        <v>4.8997211839664359E-3</v>
      </c>
      <c r="AJ129" s="8">
        <v>2.1754553190592155E-4</v>
      </c>
    </row>
    <row r="130" spans="1:36" x14ac:dyDescent="0.2">
      <c r="A130" t="s">
        <v>158</v>
      </c>
      <c r="B130">
        <v>2010</v>
      </c>
      <c r="C130" t="s">
        <v>160</v>
      </c>
      <c r="D130" s="7">
        <v>116</v>
      </c>
      <c r="E130" s="7">
        <v>64</v>
      </c>
      <c r="F130" s="7">
        <v>60</v>
      </c>
      <c r="G130" s="7">
        <v>72</v>
      </c>
      <c r="H130" s="7">
        <v>47</v>
      </c>
      <c r="I130" s="7">
        <v>76</v>
      </c>
      <c r="J130" s="7">
        <v>76</v>
      </c>
      <c r="K130" s="7">
        <v>125</v>
      </c>
      <c r="L130" s="7">
        <v>311</v>
      </c>
      <c r="M130" s="7">
        <v>549</v>
      </c>
      <c r="N130" s="7">
        <v>1496</v>
      </c>
      <c r="O130" s="7">
        <v>438409.83199999999</v>
      </c>
      <c r="P130" s="7">
        <v>901705.74999999977</v>
      </c>
      <c r="Q130" s="7">
        <v>933794.42100000032</v>
      </c>
      <c r="R130" s="7">
        <v>829369.94</v>
      </c>
      <c r="S130" s="7">
        <v>876615.32399999991</v>
      </c>
      <c r="T130" s="7">
        <v>947511.21699999983</v>
      </c>
      <c r="U130" s="7">
        <v>730096.92200000014</v>
      </c>
      <c r="V130" s="7">
        <v>434372.40200000018</v>
      </c>
      <c r="W130" s="7">
        <v>281983.99</v>
      </c>
      <c r="X130" s="7">
        <v>108963.40199999996</v>
      </c>
      <c r="Y130" s="7">
        <v>6482823.2000000002</v>
      </c>
      <c r="Z130" s="8">
        <v>2.6459260612567647E-4</v>
      </c>
      <c r="AA130" s="8">
        <v>7.0976590755909028E-5</v>
      </c>
      <c r="AB130" s="8">
        <v>6.4253971378139108E-5</v>
      </c>
      <c r="AC130" s="8">
        <v>8.6812888347508722E-5</v>
      </c>
      <c r="AD130" s="8">
        <v>5.3615307322644981E-5</v>
      </c>
      <c r="AE130" s="8">
        <v>8.021013222474601E-5</v>
      </c>
      <c r="AF130" s="8">
        <v>1.0409576826020366E-4</v>
      </c>
      <c r="AG130" s="8">
        <v>2.8777150533610546E-4</v>
      </c>
      <c r="AH130" s="8">
        <v>1.1028994944003736E-3</v>
      </c>
      <c r="AI130" s="8">
        <v>5.0383889445742543E-3</v>
      </c>
      <c r="AJ130" s="8">
        <v>2.3076365864797916E-4</v>
      </c>
    </row>
    <row r="131" spans="1:36" x14ac:dyDescent="0.2">
      <c r="A131" t="s">
        <v>158</v>
      </c>
      <c r="B131">
        <v>2011</v>
      </c>
      <c r="C131" t="s">
        <v>161</v>
      </c>
      <c r="D131" s="7">
        <v>112</v>
      </c>
      <c r="E131" s="7">
        <v>47</v>
      </c>
      <c r="F131" s="7">
        <v>61</v>
      </c>
      <c r="G131" s="7">
        <v>43</v>
      </c>
      <c r="H131" s="7">
        <v>52</v>
      </c>
      <c r="I131" s="7">
        <v>43</v>
      </c>
      <c r="J131" s="7">
        <v>51</v>
      </c>
      <c r="K131" s="7">
        <v>111</v>
      </c>
      <c r="L131" s="7">
        <v>250</v>
      </c>
      <c r="M131" s="7">
        <v>458</v>
      </c>
      <c r="N131" s="7">
        <v>1228</v>
      </c>
      <c r="O131" s="7">
        <v>421952.53599999985</v>
      </c>
      <c r="P131" s="7">
        <v>865214.68500000006</v>
      </c>
      <c r="Q131" s="7">
        <v>904038.2629999998</v>
      </c>
      <c r="R131" s="7">
        <v>803250.14299999992</v>
      </c>
      <c r="S131" s="7">
        <v>828416.52399999998</v>
      </c>
      <c r="T131" s="7">
        <v>910538.80699999991</v>
      </c>
      <c r="U131" s="7">
        <v>725267.67899999954</v>
      </c>
      <c r="V131" s="7">
        <v>425792.96900000004</v>
      </c>
      <c r="W131" s="7">
        <v>268978.83299999987</v>
      </c>
      <c r="X131" s="7">
        <v>106506.72300000001</v>
      </c>
      <c r="Y131" s="7">
        <v>6259957.1619999986</v>
      </c>
      <c r="Z131" s="8">
        <v>2.6543269786154347E-4</v>
      </c>
      <c r="AA131" s="8">
        <v>5.4321777952717014E-5</v>
      </c>
      <c r="AB131" s="8">
        <v>6.7475020136398815E-5</v>
      </c>
      <c r="AC131" s="8">
        <v>5.3532514590538958E-5</v>
      </c>
      <c r="AD131" s="8">
        <v>6.277035584577499E-5</v>
      </c>
      <c r="AE131" s="8">
        <v>4.7224785664736645E-5</v>
      </c>
      <c r="AF131" s="8">
        <v>7.0318864988329403E-5</v>
      </c>
      <c r="AG131" s="8">
        <v>2.6069007259722971E-4</v>
      </c>
      <c r="AH131" s="8">
        <v>9.2944116535742473E-4</v>
      </c>
      <c r="AI131" s="8">
        <v>4.300198025996912E-3</v>
      </c>
      <c r="AJ131" s="8">
        <v>1.9616747658504188E-4</v>
      </c>
    </row>
    <row r="132" spans="1:36" x14ac:dyDescent="0.2">
      <c r="A132" t="s">
        <v>158</v>
      </c>
      <c r="B132">
        <v>2012</v>
      </c>
      <c r="C132" t="s">
        <v>162</v>
      </c>
      <c r="D132" s="7">
        <v>80</v>
      </c>
      <c r="E132" s="7">
        <v>66</v>
      </c>
      <c r="F132" s="7">
        <v>66</v>
      </c>
      <c r="G132" s="7">
        <v>42</v>
      </c>
      <c r="H132" s="7">
        <v>47</v>
      </c>
      <c r="I132" s="7">
        <v>54</v>
      </c>
      <c r="J132" s="7">
        <v>67</v>
      </c>
      <c r="K132" s="7">
        <v>73</v>
      </c>
      <c r="L132" s="7">
        <v>244</v>
      </c>
      <c r="M132" s="7">
        <v>472</v>
      </c>
      <c r="N132" s="7">
        <v>1211</v>
      </c>
      <c r="O132" s="7">
        <v>433364.79300000018</v>
      </c>
      <c r="P132" s="7">
        <v>895853.04499999993</v>
      </c>
      <c r="Q132" s="7">
        <v>937277.76699999976</v>
      </c>
      <c r="R132" s="7">
        <v>833144.76199999999</v>
      </c>
      <c r="S132" s="7">
        <v>846372.7860000002</v>
      </c>
      <c r="T132" s="7">
        <v>941507.91300000006</v>
      </c>
      <c r="U132" s="7">
        <v>777406.2790000001</v>
      </c>
      <c r="V132" s="7">
        <v>462373.93999999983</v>
      </c>
      <c r="W132" s="7">
        <v>281626.21399999998</v>
      </c>
      <c r="X132" s="7">
        <v>113917.7</v>
      </c>
      <c r="Y132" s="7">
        <v>6522845.1989999991</v>
      </c>
      <c r="Z132" s="8">
        <v>1.8460198265344543E-4</v>
      </c>
      <c r="AA132" s="8">
        <v>7.3672797528974185E-5</v>
      </c>
      <c r="AB132" s="8">
        <v>7.0416692173601962E-5</v>
      </c>
      <c r="AC132" s="8">
        <v>5.0411407375564823E-5</v>
      </c>
      <c r="AD132" s="8">
        <v>5.5531086038487052E-5</v>
      </c>
      <c r="AE132" s="8">
        <v>5.7354802072704403E-5</v>
      </c>
      <c r="AF132" s="8">
        <v>8.6184022190024002E-5</v>
      </c>
      <c r="AG132" s="8">
        <v>1.5788087018918069E-4</v>
      </c>
      <c r="AH132" s="8">
        <v>8.66396620308932E-4</v>
      </c>
      <c r="AI132" s="8">
        <v>4.1433420794134718E-3</v>
      </c>
      <c r="AJ132" s="8">
        <v>1.8565518007167414E-4</v>
      </c>
    </row>
    <row r="133" spans="1:36" x14ac:dyDescent="0.2">
      <c r="A133" t="s">
        <v>158</v>
      </c>
      <c r="B133">
        <v>2013</v>
      </c>
      <c r="C133" t="s">
        <v>163</v>
      </c>
      <c r="D133" s="7">
        <v>114</v>
      </c>
      <c r="E133" s="7">
        <v>64</v>
      </c>
      <c r="F133" s="7">
        <v>52</v>
      </c>
      <c r="G133" s="7">
        <v>42</v>
      </c>
      <c r="H133" s="7">
        <v>55</v>
      </c>
      <c r="I133" s="7">
        <v>75</v>
      </c>
      <c r="J133" s="7">
        <v>94</v>
      </c>
      <c r="K133" s="7">
        <v>116</v>
      </c>
      <c r="L133" s="7">
        <v>265</v>
      </c>
      <c r="M133" s="7">
        <v>532</v>
      </c>
      <c r="N133" s="7">
        <v>1409</v>
      </c>
      <c r="O133" s="7">
        <v>432238.38300000003</v>
      </c>
      <c r="P133" s="7">
        <v>905048.11699999997</v>
      </c>
      <c r="Q133" s="7">
        <v>940396.4049999998</v>
      </c>
      <c r="R133" s="7">
        <v>841070.85999999987</v>
      </c>
      <c r="S133" s="7">
        <v>842580.99799999991</v>
      </c>
      <c r="T133" s="7">
        <v>936246.79099999962</v>
      </c>
      <c r="U133" s="7">
        <v>801339.7139999998</v>
      </c>
      <c r="V133" s="7">
        <v>475461.81999999995</v>
      </c>
      <c r="W133" s="7">
        <v>276490.31200000009</v>
      </c>
      <c r="X133" s="7">
        <v>117880.46500000007</v>
      </c>
      <c r="Y133" s="7">
        <v>6568753.8649999984</v>
      </c>
      <c r="Z133" s="8">
        <v>2.6374335201045761E-4</v>
      </c>
      <c r="AA133" s="8">
        <v>7.0714472300261144E-5</v>
      </c>
      <c r="AB133" s="8">
        <v>5.5295830272766742E-5</v>
      </c>
      <c r="AC133" s="8">
        <v>4.993633948987367E-5</v>
      </c>
      <c r="AD133" s="8">
        <v>6.5275623507474358E-5</v>
      </c>
      <c r="AE133" s="8">
        <v>8.01070836460683E-5</v>
      </c>
      <c r="AF133" s="8">
        <v>1.173035584755756E-4</v>
      </c>
      <c r="AG133" s="8">
        <v>2.4397332261084605E-4</v>
      </c>
      <c r="AH133" s="8">
        <v>9.5844226180337162E-4</v>
      </c>
      <c r="AI133" s="8">
        <v>4.5130463304500854E-3</v>
      </c>
      <c r="AJ133" s="8">
        <v>2.1450034952710172E-4</v>
      </c>
    </row>
    <row r="134" spans="1:36" x14ac:dyDescent="0.2">
      <c r="A134" t="s">
        <v>158</v>
      </c>
      <c r="B134">
        <v>2014</v>
      </c>
      <c r="C134" t="s">
        <v>164</v>
      </c>
      <c r="D134" s="7">
        <v>85</v>
      </c>
      <c r="E134" s="7">
        <v>66</v>
      </c>
      <c r="F134" s="7">
        <v>60</v>
      </c>
      <c r="G134" s="7">
        <v>55</v>
      </c>
      <c r="H134" s="7">
        <v>59</v>
      </c>
      <c r="I134" s="7">
        <v>35</v>
      </c>
      <c r="J134" s="7">
        <v>111</v>
      </c>
      <c r="K134" s="7">
        <v>124</v>
      </c>
      <c r="L134" s="7">
        <v>250</v>
      </c>
      <c r="M134" s="7">
        <v>455</v>
      </c>
      <c r="N134" s="7">
        <v>1300</v>
      </c>
      <c r="O134" s="7">
        <v>414555.74900000024</v>
      </c>
      <c r="P134" s="7">
        <v>871886.13899999997</v>
      </c>
      <c r="Q134" s="7">
        <v>912987.75300000014</v>
      </c>
      <c r="R134" s="7">
        <v>815604.92200000002</v>
      </c>
      <c r="S134" s="7">
        <v>809099.40799999982</v>
      </c>
      <c r="T134" s="7">
        <v>891635.68700000015</v>
      </c>
      <c r="U134" s="7">
        <v>789339.071</v>
      </c>
      <c r="V134" s="7">
        <v>479407.09299999988</v>
      </c>
      <c r="W134" s="7">
        <v>269532.28200000001</v>
      </c>
      <c r="X134" s="7">
        <v>117989.35100000002</v>
      </c>
      <c r="Y134" s="7">
        <v>6372037.4550000001</v>
      </c>
      <c r="Z134" s="8">
        <v>2.0503876789801785E-4</v>
      </c>
      <c r="AA134" s="8">
        <v>7.5697957620587893E-5</v>
      </c>
      <c r="AB134" s="8">
        <v>6.5718296661532535E-5</v>
      </c>
      <c r="AC134" s="8">
        <v>6.7434610209475904E-5</v>
      </c>
      <c r="AD134" s="8">
        <v>7.2920582337145912E-5</v>
      </c>
      <c r="AE134" s="8">
        <v>3.9253700261550872E-5</v>
      </c>
      <c r="AF134" s="8">
        <v>1.4062397780383027E-4</v>
      </c>
      <c r="AG134" s="8">
        <v>2.5865282723299223E-4</v>
      </c>
      <c r="AH134" s="8">
        <v>9.2753268048240687E-4</v>
      </c>
      <c r="AI134" s="8">
        <v>3.8562802163391841E-3</v>
      </c>
      <c r="AJ134" s="8">
        <v>2.0401637767837006E-4</v>
      </c>
    </row>
    <row r="135" spans="1:36" x14ac:dyDescent="0.2">
      <c r="A135" t="s">
        <v>158</v>
      </c>
      <c r="B135">
        <v>2015</v>
      </c>
      <c r="C135" t="s">
        <v>165</v>
      </c>
      <c r="D135" s="7">
        <v>97</v>
      </c>
      <c r="E135" s="7">
        <v>36</v>
      </c>
      <c r="F135" s="7">
        <v>73</v>
      </c>
      <c r="G135" s="7">
        <v>66</v>
      </c>
      <c r="H135" s="7">
        <v>64</v>
      </c>
      <c r="I135" s="7">
        <v>59</v>
      </c>
      <c r="J135" s="7">
        <v>60</v>
      </c>
      <c r="K135" s="7">
        <v>131</v>
      </c>
      <c r="L135" s="7">
        <v>273</v>
      </c>
      <c r="M135" s="7">
        <v>480</v>
      </c>
      <c r="N135" s="7">
        <v>1339</v>
      </c>
      <c r="O135" s="7">
        <v>417307.3930000001</v>
      </c>
      <c r="P135" s="7">
        <v>886905.64199999999</v>
      </c>
      <c r="Q135" s="7">
        <v>932692.18500000052</v>
      </c>
      <c r="R135" s="7">
        <v>840201.98099999956</v>
      </c>
      <c r="S135" s="7">
        <v>825370.87899999972</v>
      </c>
      <c r="T135" s="7">
        <v>900074.82200000004</v>
      </c>
      <c r="U135" s="7">
        <v>826076.70700000017</v>
      </c>
      <c r="V135" s="7">
        <v>514590.47200000001</v>
      </c>
      <c r="W135" s="7">
        <v>276055.10800000007</v>
      </c>
      <c r="X135" s="7">
        <v>120984.08499999999</v>
      </c>
      <c r="Y135" s="7">
        <v>6540259.2740000002</v>
      </c>
      <c r="Z135" s="8">
        <v>2.3244256302931105E-4</v>
      </c>
      <c r="AA135" s="8">
        <v>4.0590563747930244E-5</v>
      </c>
      <c r="AB135" s="8">
        <v>7.8268051532993127E-5</v>
      </c>
      <c r="AC135" s="8">
        <v>7.8552540332560856E-5</v>
      </c>
      <c r="AD135" s="8">
        <v>7.7540899041096431E-5</v>
      </c>
      <c r="AE135" s="8">
        <v>6.555010601107559E-5</v>
      </c>
      <c r="AF135" s="8">
        <v>7.2632480121485841E-5</v>
      </c>
      <c r="AG135" s="8">
        <v>2.5457136719002447E-4</v>
      </c>
      <c r="AH135" s="8">
        <v>9.8893297783136805E-4</v>
      </c>
      <c r="AI135" s="8">
        <v>3.967463985035718E-3</v>
      </c>
      <c r="AJ135" s="8">
        <v>2.0473194469874161E-4</v>
      </c>
    </row>
    <row r="136" spans="1:36" x14ac:dyDescent="0.2">
      <c r="A136" t="s">
        <v>158</v>
      </c>
      <c r="B136">
        <v>2016</v>
      </c>
      <c r="C136" t="s">
        <v>166</v>
      </c>
      <c r="D136" s="7">
        <v>123</v>
      </c>
      <c r="E136" s="7">
        <v>52</v>
      </c>
      <c r="F136" s="7">
        <v>69</v>
      </c>
      <c r="G136" s="7">
        <v>70</v>
      </c>
      <c r="H136" s="7">
        <v>48</v>
      </c>
      <c r="I136" s="7">
        <v>66</v>
      </c>
      <c r="J136" s="7">
        <v>90</v>
      </c>
      <c r="K136" s="7">
        <v>152</v>
      </c>
      <c r="L136" s="7">
        <v>229</v>
      </c>
      <c r="M136" s="7">
        <v>387</v>
      </c>
      <c r="N136" s="7">
        <v>1286</v>
      </c>
      <c r="O136" s="7">
        <v>429570.88999999996</v>
      </c>
      <c r="P136" s="7">
        <v>905272.04400000034</v>
      </c>
      <c r="Q136" s="7">
        <v>953548.07800000021</v>
      </c>
      <c r="R136" s="7">
        <v>861193.03100000031</v>
      </c>
      <c r="S136" s="7">
        <v>829666.7270000003</v>
      </c>
      <c r="T136" s="7">
        <v>897804.91099999973</v>
      </c>
      <c r="U136" s="7">
        <v>851302.17999999959</v>
      </c>
      <c r="V136" s="7">
        <v>544931.18799999997</v>
      </c>
      <c r="W136" s="7">
        <v>286426.09500000015</v>
      </c>
      <c r="X136" s="7">
        <v>125731.03899999999</v>
      </c>
      <c r="Y136" s="7">
        <v>6685446.1830000002</v>
      </c>
      <c r="Z136" s="8">
        <v>2.8633225123797382E-4</v>
      </c>
      <c r="AA136" s="8">
        <v>5.7441296618676962E-5</v>
      </c>
      <c r="AB136" s="8">
        <v>7.2361322509005132E-5</v>
      </c>
      <c r="AC136" s="8">
        <v>8.1282589942370276E-5</v>
      </c>
      <c r="AD136" s="8">
        <v>5.7854555857101381E-5</v>
      </c>
      <c r="AE136" s="8">
        <v>7.3512629738778536E-5</v>
      </c>
      <c r="AF136" s="8">
        <v>1.0572039178849517E-4</v>
      </c>
      <c r="AG136" s="8">
        <v>2.7893430096718932E-4</v>
      </c>
      <c r="AH136" s="8">
        <v>7.995081593386241E-4</v>
      </c>
      <c r="AI136" s="8">
        <v>3.0779989020849499E-3</v>
      </c>
      <c r="AJ136" s="8">
        <v>1.923581410721828E-4</v>
      </c>
    </row>
    <row r="137" spans="1:36" x14ac:dyDescent="0.2">
      <c r="A137" t="s">
        <v>158</v>
      </c>
      <c r="B137">
        <v>2017</v>
      </c>
      <c r="C137" t="s">
        <v>167</v>
      </c>
      <c r="D137" s="7">
        <v>111</v>
      </c>
      <c r="E137" s="7">
        <v>52</v>
      </c>
      <c r="F137" s="7">
        <v>52</v>
      </c>
      <c r="G137" s="7">
        <v>56</v>
      </c>
      <c r="H137" s="7">
        <v>60</v>
      </c>
      <c r="I137" s="7">
        <v>72</v>
      </c>
      <c r="J137" s="7">
        <v>84</v>
      </c>
      <c r="K137" s="7">
        <v>162</v>
      </c>
      <c r="L137" s="7">
        <v>276</v>
      </c>
      <c r="M137" s="7">
        <v>456</v>
      </c>
      <c r="N137" s="7">
        <v>1381</v>
      </c>
      <c r="O137" s="7">
        <v>426094</v>
      </c>
      <c r="P137" s="7">
        <v>901295</v>
      </c>
      <c r="Q137" s="7">
        <v>964868</v>
      </c>
      <c r="R137" s="7">
        <v>867615</v>
      </c>
      <c r="S137" s="7">
        <v>837078</v>
      </c>
      <c r="T137" s="7">
        <v>893061</v>
      </c>
      <c r="U137" s="7">
        <v>872338</v>
      </c>
      <c r="V137" s="7">
        <v>575878</v>
      </c>
      <c r="W137" s="7">
        <v>292902</v>
      </c>
      <c r="X137" s="7">
        <v>130689</v>
      </c>
      <c r="Y137" s="7">
        <v>6761818</v>
      </c>
      <c r="Z137" s="8">
        <v>2.605058977596493E-4</v>
      </c>
      <c r="AA137" s="8">
        <v>5.7694761426613926E-5</v>
      </c>
      <c r="AB137" s="8">
        <v>5.3893382307217155E-5</v>
      </c>
      <c r="AC137" s="8">
        <v>6.4544757755456049E-5</v>
      </c>
      <c r="AD137" s="8">
        <v>7.1677908151928494E-5</v>
      </c>
      <c r="AE137" s="8">
        <v>8.0621592478005418E-5</v>
      </c>
      <c r="AF137" s="8">
        <v>9.6292950668204293E-5</v>
      </c>
      <c r="AG137" s="8">
        <v>2.813095829324961E-4</v>
      </c>
      <c r="AH137" s="8">
        <v>9.4229469242272158E-4</v>
      </c>
      <c r="AI137" s="8">
        <v>3.4891995500768999E-3</v>
      </c>
      <c r="AJ137" s="8">
        <v>2.0423501490279686E-4</v>
      </c>
    </row>
    <row r="138" spans="1:36" x14ac:dyDescent="0.2">
      <c r="A138" t="s">
        <v>168</v>
      </c>
      <c r="B138">
        <v>2009</v>
      </c>
      <c r="C138" t="s">
        <v>169</v>
      </c>
      <c r="D138" s="7">
        <v>109</v>
      </c>
      <c r="E138" s="7">
        <v>38</v>
      </c>
      <c r="F138" s="7">
        <v>49</v>
      </c>
      <c r="G138" s="7">
        <v>56</v>
      </c>
      <c r="H138" s="7">
        <v>44</v>
      </c>
      <c r="I138" s="7">
        <v>65</v>
      </c>
      <c r="J138" s="7">
        <v>63</v>
      </c>
      <c r="K138" s="7">
        <v>45</v>
      </c>
      <c r="L138" s="7">
        <v>154</v>
      </c>
      <c r="M138" s="7">
        <v>342</v>
      </c>
      <c r="N138" s="7">
        <v>965</v>
      </c>
      <c r="O138" s="7">
        <v>196545.04900000003</v>
      </c>
      <c r="P138" s="7">
        <v>385311.25599999988</v>
      </c>
      <c r="Q138" s="7">
        <v>446171.63399999996</v>
      </c>
      <c r="R138" s="7">
        <v>354216.826</v>
      </c>
      <c r="S138" s="7">
        <v>385067.09399999992</v>
      </c>
      <c r="T138" s="7">
        <v>437434.56499999989</v>
      </c>
      <c r="U138" s="7">
        <v>330397.81699999992</v>
      </c>
      <c r="V138" s="7">
        <v>209369.71100000004</v>
      </c>
      <c r="W138" s="7">
        <v>156828.28199999998</v>
      </c>
      <c r="X138" s="7">
        <v>70791.900000000009</v>
      </c>
      <c r="Y138" s="7">
        <v>2972134.1339999996</v>
      </c>
      <c r="Z138" s="8">
        <v>5.5458023773470881E-4</v>
      </c>
      <c r="AA138" s="8">
        <v>9.8621567390701957E-5</v>
      </c>
      <c r="AB138" s="8">
        <v>1.0982320763134844E-4</v>
      </c>
      <c r="AC138" s="8">
        <v>1.5809525660421338E-4</v>
      </c>
      <c r="AD138" s="8">
        <v>1.1426580116970475E-4</v>
      </c>
      <c r="AE138" s="8">
        <v>1.4859365308729093E-4</v>
      </c>
      <c r="AF138" s="8">
        <v>1.9067922594658067E-4</v>
      </c>
      <c r="AG138" s="8">
        <v>2.1493080247887429E-4</v>
      </c>
      <c r="AH138" s="8">
        <v>9.8196574008251915E-4</v>
      </c>
      <c r="AI138" s="8">
        <v>4.8310611807283032E-3</v>
      </c>
      <c r="AJ138" s="8">
        <v>3.2468251986368798E-4</v>
      </c>
    </row>
    <row r="139" spans="1:36" x14ac:dyDescent="0.2">
      <c r="A139" t="s">
        <v>168</v>
      </c>
      <c r="B139">
        <v>2010</v>
      </c>
      <c r="C139" t="s">
        <v>170</v>
      </c>
      <c r="D139" s="7">
        <v>91</v>
      </c>
      <c r="E139" s="7">
        <v>40</v>
      </c>
      <c r="F139" s="7">
        <v>59</v>
      </c>
      <c r="G139" s="7">
        <v>49</v>
      </c>
      <c r="H139" s="7">
        <v>27</v>
      </c>
      <c r="I139" s="7">
        <v>54</v>
      </c>
      <c r="J139" s="7">
        <v>42</v>
      </c>
      <c r="K139" s="7">
        <v>47</v>
      </c>
      <c r="L139" s="7">
        <v>140</v>
      </c>
      <c r="M139" s="7">
        <v>319</v>
      </c>
      <c r="N139" s="7">
        <v>868</v>
      </c>
      <c r="O139" s="7">
        <v>196477.15600000002</v>
      </c>
      <c r="P139" s="7">
        <v>395437.03700000001</v>
      </c>
      <c r="Q139" s="7">
        <v>433378.59100000001</v>
      </c>
      <c r="R139" s="7">
        <v>366562.55500000005</v>
      </c>
      <c r="S139" s="7">
        <v>376342.14499999979</v>
      </c>
      <c r="T139" s="7">
        <v>437033.40599999996</v>
      </c>
      <c r="U139" s="7">
        <v>347935.12500000012</v>
      </c>
      <c r="V139" s="7">
        <v>216771.86199999999</v>
      </c>
      <c r="W139" s="7">
        <v>155978.04400000002</v>
      </c>
      <c r="X139" s="7">
        <v>69943.637000000002</v>
      </c>
      <c r="Y139" s="7">
        <v>2995859.5580000002</v>
      </c>
      <c r="Z139" s="8">
        <v>4.6315816989940544E-4</v>
      </c>
      <c r="AA139" s="8">
        <v>1.0115390380087234E-4</v>
      </c>
      <c r="AB139" s="8">
        <v>1.3613962762641405E-4</v>
      </c>
      <c r="AC139" s="8">
        <v>1.336743192440919E-4</v>
      </c>
      <c r="AD139" s="8">
        <v>7.174322716367579E-5</v>
      </c>
      <c r="AE139" s="8">
        <v>1.2356034861097094E-4</v>
      </c>
      <c r="AF139" s="8">
        <v>1.2071215862439868E-4</v>
      </c>
      <c r="AG139" s="8">
        <v>2.1681780820796752E-4</v>
      </c>
      <c r="AH139" s="8">
        <v>8.9756222356526013E-4</v>
      </c>
      <c r="AI139" s="8">
        <v>4.560815160355473E-3</v>
      </c>
      <c r="AJ139" s="8">
        <v>2.8973320784752221E-4</v>
      </c>
    </row>
    <row r="140" spans="1:36" x14ac:dyDescent="0.2">
      <c r="A140" t="s">
        <v>168</v>
      </c>
      <c r="B140">
        <v>2011</v>
      </c>
      <c r="C140" t="s">
        <v>171</v>
      </c>
      <c r="D140" s="7">
        <v>86</v>
      </c>
      <c r="E140" s="7">
        <v>50</v>
      </c>
      <c r="F140" s="7">
        <v>30</v>
      </c>
      <c r="G140" s="7">
        <v>61</v>
      </c>
      <c r="H140" s="7">
        <v>58</v>
      </c>
      <c r="I140" s="7">
        <v>53</v>
      </c>
      <c r="J140" s="7">
        <v>55</v>
      </c>
      <c r="K140" s="7">
        <v>54</v>
      </c>
      <c r="L140" s="7">
        <v>129</v>
      </c>
      <c r="M140" s="7">
        <v>388</v>
      </c>
      <c r="N140" s="7">
        <v>964</v>
      </c>
      <c r="O140" s="7">
        <v>196208.91699999996</v>
      </c>
      <c r="P140" s="7">
        <v>392874.55099999986</v>
      </c>
      <c r="Q140" s="7">
        <v>426937.18799999985</v>
      </c>
      <c r="R140" s="7">
        <v>372356.07299999997</v>
      </c>
      <c r="S140" s="7">
        <v>366683.73100000009</v>
      </c>
      <c r="T140" s="7">
        <v>429855.24999999994</v>
      </c>
      <c r="U140" s="7">
        <v>356420.24</v>
      </c>
      <c r="V140" s="7">
        <v>217030.66299999997</v>
      </c>
      <c r="W140" s="7">
        <v>152107.80100000001</v>
      </c>
      <c r="X140" s="7">
        <v>69504.781000000017</v>
      </c>
      <c r="Y140" s="7">
        <v>2979979.1950000003</v>
      </c>
      <c r="Z140" s="8">
        <v>4.3830831602826702E-4</v>
      </c>
      <c r="AA140" s="8">
        <v>1.2726708785980903E-4</v>
      </c>
      <c r="AB140" s="8">
        <v>7.0267947705693906E-5</v>
      </c>
      <c r="AC140" s="8">
        <v>1.6382168688302824E-4</v>
      </c>
      <c r="AD140" s="8">
        <v>1.5817445688638961E-4</v>
      </c>
      <c r="AE140" s="8">
        <v>1.2329731927201076E-4</v>
      </c>
      <c r="AF140" s="8">
        <v>1.5431222424405527E-4</v>
      </c>
      <c r="AG140" s="8">
        <v>2.4881276799122162E-4</v>
      </c>
      <c r="AH140" s="8">
        <v>8.4808273574344816E-4</v>
      </c>
      <c r="AI140" s="8">
        <v>5.582349795476658E-3</v>
      </c>
      <c r="AJ140" s="8">
        <v>3.2349219136075205E-4</v>
      </c>
    </row>
    <row r="141" spans="1:36" x14ac:dyDescent="0.2">
      <c r="A141" t="s">
        <v>168</v>
      </c>
      <c r="B141">
        <v>2012</v>
      </c>
      <c r="C141" t="s">
        <v>172</v>
      </c>
      <c r="D141" s="7">
        <v>89</v>
      </c>
      <c r="E141" s="7">
        <v>66</v>
      </c>
      <c r="F141" s="7">
        <v>49</v>
      </c>
      <c r="G141" s="7">
        <v>55</v>
      </c>
      <c r="H141" s="7">
        <v>41</v>
      </c>
      <c r="I141" s="7">
        <v>58</v>
      </c>
      <c r="J141" s="7">
        <v>57</v>
      </c>
      <c r="K141" s="7">
        <v>44</v>
      </c>
      <c r="L141" s="7">
        <v>122</v>
      </c>
      <c r="M141" s="7">
        <v>411</v>
      </c>
      <c r="N141" s="7">
        <v>992</v>
      </c>
      <c r="O141" s="7">
        <v>208249.83999999991</v>
      </c>
      <c r="P141" s="7">
        <v>420446.30399999995</v>
      </c>
      <c r="Q141" s="7">
        <v>449556.3279999998</v>
      </c>
      <c r="R141" s="7">
        <v>397448.87999999989</v>
      </c>
      <c r="S141" s="7">
        <v>381721.74599999987</v>
      </c>
      <c r="T141" s="7">
        <v>450448.69199999998</v>
      </c>
      <c r="U141" s="7">
        <v>386394.30200000014</v>
      </c>
      <c r="V141" s="7">
        <v>235372.25000000003</v>
      </c>
      <c r="W141" s="7">
        <v>159132.44300000006</v>
      </c>
      <c r="X141" s="7">
        <v>74450.805999999997</v>
      </c>
      <c r="Y141" s="7">
        <v>3163221.5909999991</v>
      </c>
      <c r="Z141" s="8">
        <v>4.2737127673183342E-4</v>
      </c>
      <c r="AA141" s="8">
        <v>1.5697604990719578E-4</v>
      </c>
      <c r="AB141" s="8">
        <v>1.0899635251046899E-4</v>
      </c>
      <c r="AC141" s="8">
        <v>1.3838257639573677E-4</v>
      </c>
      <c r="AD141" s="8">
        <v>1.074080804398291E-4</v>
      </c>
      <c r="AE141" s="8">
        <v>1.2876050265009983E-4</v>
      </c>
      <c r="AF141" s="8">
        <v>1.4751770330194978E-4</v>
      </c>
      <c r="AG141" s="8">
        <v>1.8693792492530448E-4</v>
      </c>
      <c r="AH141" s="8">
        <v>7.6665699149732749E-4</v>
      </c>
      <c r="AI141" s="8">
        <v>5.520423781577328E-3</v>
      </c>
      <c r="AJ141" s="8">
        <v>3.136043338925225E-4</v>
      </c>
    </row>
    <row r="142" spans="1:36" x14ac:dyDescent="0.2">
      <c r="A142" t="s">
        <v>168</v>
      </c>
      <c r="B142">
        <v>2013</v>
      </c>
      <c r="C142" t="s">
        <v>173</v>
      </c>
      <c r="D142" s="7">
        <v>108</v>
      </c>
      <c r="E142" s="7">
        <v>64</v>
      </c>
      <c r="F142" s="7">
        <v>54</v>
      </c>
      <c r="G142" s="7">
        <v>57</v>
      </c>
      <c r="H142" s="7">
        <v>54</v>
      </c>
      <c r="I142" s="7">
        <v>54</v>
      </c>
      <c r="J142" s="7">
        <v>51</v>
      </c>
      <c r="K142" s="7">
        <v>60</v>
      </c>
      <c r="L142" s="7">
        <v>167</v>
      </c>
      <c r="M142" s="7">
        <v>452</v>
      </c>
      <c r="N142" s="7">
        <v>1121</v>
      </c>
      <c r="O142" s="7">
        <v>194561.57499999992</v>
      </c>
      <c r="P142" s="7">
        <v>396689.73499999993</v>
      </c>
      <c r="Q142" s="7">
        <v>429965.22899999999</v>
      </c>
      <c r="R142" s="7">
        <v>381909.50799999991</v>
      </c>
      <c r="S142" s="7">
        <v>358733.60500000004</v>
      </c>
      <c r="T142" s="7">
        <v>421324.58199999994</v>
      </c>
      <c r="U142" s="7">
        <v>379761.04399999999</v>
      </c>
      <c r="V142" s="7">
        <v>228196.97600000005</v>
      </c>
      <c r="W142" s="7">
        <v>148200.29199999999</v>
      </c>
      <c r="X142" s="7">
        <v>71744.418000000005</v>
      </c>
      <c r="Y142" s="7">
        <v>3011086.9640000002</v>
      </c>
      <c r="Z142" s="8">
        <v>5.550941906180603E-4</v>
      </c>
      <c r="AA142" s="8">
        <v>1.6133515529460327E-4</v>
      </c>
      <c r="AB142" s="8">
        <v>1.2559155103214172E-4</v>
      </c>
      <c r="AC142" s="8">
        <v>1.4925001552985691E-4</v>
      </c>
      <c r="AD142" s="8">
        <v>1.5052952733547221E-4</v>
      </c>
      <c r="AE142" s="8">
        <v>1.2816721906817202E-4</v>
      </c>
      <c r="AF142" s="8">
        <v>1.3429497523711253E-4</v>
      </c>
      <c r="AG142" s="8">
        <v>2.6293074102787402E-4</v>
      </c>
      <c r="AH142" s="8">
        <v>1.1268533802888865E-3</v>
      </c>
      <c r="AI142" s="8">
        <v>6.3001417057979335E-3</v>
      </c>
      <c r="AJ142" s="8">
        <v>3.7229080840323411E-4</v>
      </c>
    </row>
    <row r="143" spans="1:36" x14ac:dyDescent="0.2">
      <c r="A143" t="s">
        <v>168</v>
      </c>
      <c r="B143">
        <v>2014</v>
      </c>
      <c r="C143" t="s">
        <v>174</v>
      </c>
      <c r="D143" s="7">
        <v>133</v>
      </c>
      <c r="E143" s="7">
        <v>50</v>
      </c>
      <c r="F143" s="7">
        <v>63</v>
      </c>
      <c r="G143" s="7">
        <v>49</v>
      </c>
      <c r="H143" s="7">
        <v>43</v>
      </c>
      <c r="I143" s="7">
        <v>53</v>
      </c>
      <c r="J143" s="7">
        <v>49</v>
      </c>
      <c r="K143" s="7">
        <v>57</v>
      </c>
      <c r="L143" s="7">
        <v>111</v>
      </c>
      <c r="M143" s="7">
        <v>333</v>
      </c>
      <c r="N143" s="7">
        <v>941</v>
      </c>
      <c r="O143" s="7">
        <v>191773.69099999999</v>
      </c>
      <c r="P143" s="7">
        <v>395262.91399999982</v>
      </c>
      <c r="Q143" s="7">
        <v>429241.93700000003</v>
      </c>
      <c r="R143" s="7">
        <v>380821.78399999993</v>
      </c>
      <c r="S143" s="7">
        <v>355295.74599999993</v>
      </c>
      <c r="T143" s="7">
        <v>410956.18300000019</v>
      </c>
      <c r="U143" s="7">
        <v>382052.53400000004</v>
      </c>
      <c r="V143" s="7">
        <v>234746.85999999996</v>
      </c>
      <c r="W143" s="7">
        <v>146262.36800000002</v>
      </c>
      <c r="X143" s="7">
        <v>70042.717999999993</v>
      </c>
      <c r="Y143" s="7">
        <v>2996456.7349999999</v>
      </c>
      <c r="Z143" s="8">
        <v>6.9352578712165481E-4</v>
      </c>
      <c r="AA143" s="8">
        <v>1.2649808071799021E-4</v>
      </c>
      <c r="AB143" s="8">
        <v>1.4677037486204427E-4</v>
      </c>
      <c r="AC143" s="8">
        <v>1.2866910995826858E-4</v>
      </c>
      <c r="AD143" s="8">
        <v>1.2102593539073786E-4</v>
      </c>
      <c r="AE143" s="8">
        <v>1.2896752060790863E-4</v>
      </c>
      <c r="AF143" s="8">
        <v>1.2825461327786925E-4</v>
      </c>
      <c r="AG143" s="8">
        <v>2.4281474947098337E-4</v>
      </c>
      <c r="AH143" s="8">
        <v>7.5891017982151077E-4</v>
      </c>
      <c r="AI143" s="8">
        <v>4.7542415472797616E-3</v>
      </c>
      <c r="AJ143" s="8">
        <v>3.140375727801056E-4</v>
      </c>
    </row>
    <row r="144" spans="1:36" x14ac:dyDescent="0.2">
      <c r="A144" t="s">
        <v>168</v>
      </c>
      <c r="B144">
        <v>2015</v>
      </c>
      <c r="C144" t="s">
        <v>175</v>
      </c>
      <c r="D144" s="7">
        <v>95</v>
      </c>
      <c r="E144" s="7">
        <v>55</v>
      </c>
      <c r="F144" s="7">
        <v>40</v>
      </c>
      <c r="G144" s="7">
        <v>61</v>
      </c>
      <c r="H144" s="7">
        <v>61</v>
      </c>
      <c r="I144" s="7">
        <v>72</v>
      </c>
      <c r="J144" s="7">
        <v>59</v>
      </c>
      <c r="K144" s="7">
        <v>66</v>
      </c>
      <c r="L144" s="7">
        <v>115</v>
      </c>
      <c r="M144" s="7">
        <v>353</v>
      </c>
      <c r="N144" s="7">
        <v>977</v>
      </c>
      <c r="O144" s="7">
        <v>209456.4389999999</v>
      </c>
      <c r="P144" s="7">
        <v>434931.38100000005</v>
      </c>
      <c r="Q144" s="7">
        <v>470774.63500000007</v>
      </c>
      <c r="R144" s="7">
        <v>416696.48699999991</v>
      </c>
      <c r="S144" s="7">
        <v>388664.33</v>
      </c>
      <c r="T144" s="7">
        <v>443784.55199999997</v>
      </c>
      <c r="U144" s="7">
        <v>430887.48499999993</v>
      </c>
      <c r="V144" s="7">
        <v>272776.14100000006</v>
      </c>
      <c r="W144" s="7">
        <v>162675.72099999996</v>
      </c>
      <c r="X144" s="7">
        <v>79012.639999999999</v>
      </c>
      <c r="Y144" s="7">
        <v>3309659.8110000002</v>
      </c>
      <c r="Z144" s="8">
        <v>4.5355492747587507E-4</v>
      </c>
      <c r="AA144" s="8">
        <v>1.2645672950418815E-4</v>
      </c>
      <c r="AB144" s="8">
        <v>8.4966344883895449E-5</v>
      </c>
      <c r="AC144" s="8">
        <v>1.463895230775008E-4</v>
      </c>
      <c r="AD144" s="8">
        <v>1.5694777032921955E-4</v>
      </c>
      <c r="AE144" s="8">
        <v>1.6224088845706374E-4</v>
      </c>
      <c r="AF144" s="8">
        <v>1.3692669676864717E-4</v>
      </c>
      <c r="AG144" s="8">
        <v>2.4195664532111695E-4</v>
      </c>
      <c r="AH144" s="8">
        <v>7.0692786417710129E-4</v>
      </c>
      <c r="AI144" s="8">
        <v>4.4676396080424599E-3</v>
      </c>
      <c r="AJ144" s="8">
        <v>2.9519650229695464E-4</v>
      </c>
    </row>
    <row r="145" spans="1:36" x14ac:dyDescent="0.2">
      <c r="A145" t="s">
        <v>168</v>
      </c>
      <c r="B145">
        <v>2016</v>
      </c>
      <c r="C145" t="s">
        <v>176</v>
      </c>
      <c r="D145" s="7">
        <v>110</v>
      </c>
      <c r="E145" s="7">
        <v>40</v>
      </c>
      <c r="F145" s="7">
        <v>55</v>
      </c>
      <c r="G145" s="7">
        <v>55</v>
      </c>
      <c r="H145" s="7">
        <v>39</v>
      </c>
      <c r="I145" s="7">
        <v>44</v>
      </c>
      <c r="J145" s="7">
        <v>67</v>
      </c>
      <c r="K145" s="7">
        <v>61</v>
      </c>
      <c r="L145" s="7">
        <v>90</v>
      </c>
      <c r="M145" s="7">
        <v>294</v>
      </c>
      <c r="N145" s="7">
        <v>855</v>
      </c>
      <c r="O145" s="7">
        <v>198341.52500000008</v>
      </c>
      <c r="P145" s="7">
        <v>410099.75699999981</v>
      </c>
      <c r="Q145" s="7">
        <v>448075.01500000001</v>
      </c>
      <c r="R145" s="7">
        <v>398816.23700000008</v>
      </c>
      <c r="S145" s="7">
        <v>371842.93800000008</v>
      </c>
      <c r="T145" s="7">
        <v>410782.04800000001</v>
      </c>
      <c r="U145" s="7">
        <v>404557.88199999998</v>
      </c>
      <c r="V145" s="7">
        <v>264480.0450000001</v>
      </c>
      <c r="W145" s="7">
        <v>149108.43900000004</v>
      </c>
      <c r="X145" s="7">
        <v>72795.012000000017</v>
      </c>
      <c r="Y145" s="7">
        <v>3128898.898</v>
      </c>
      <c r="Z145" s="8">
        <v>5.5459894240502566E-4</v>
      </c>
      <c r="AA145" s="8">
        <v>9.7537243846745365E-5</v>
      </c>
      <c r="AB145" s="8">
        <v>1.2274730381920537E-4</v>
      </c>
      <c r="AC145" s="8">
        <v>1.379081263434116E-4</v>
      </c>
      <c r="AD145" s="8">
        <v>1.0488299229176161E-4</v>
      </c>
      <c r="AE145" s="8">
        <v>1.0711276262978269E-4</v>
      </c>
      <c r="AF145" s="8">
        <v>1.6561288997454264E-4</v>
      </c>
      <c r="AG145" s="8">
        <v>2.3064121907571505E-4</v>
      </c>
      <c r="AH145" s="8">
        <v>6.0358756756886153E-4</v>
      </c>
      <c r="AI145" s="8">
        <v>4.0387382586048607E-3</v>
      </c>
      <c r="AJ145" s="8">
        <v>2.732590690439113E-4</v>
      </c>
    </row>
    <row r="146" spans="1:36" x14ac:dyDescent="0.2">
      <c r="A146" t="s">
        <v>168</v>
      </c>
      <c r="B146">
        <v>2017</v>
      </c>
      <c r="C146" t="s">
        <v>177</v>
      </c>
      <c r="D146" s="7">
        <v>96</v>
      </c>
      <c r="E146" s="7">
        <v>87</v>
      </c>
      <c r="F146" s="7">
        <v>59</v>
      </c>
      <c r="G146" s="7">
        <v>60</v>
      </c>
      <c r="H146" s="7">
        <v>43</v>
      </c>
      <c r="I146" s="7">
        <v>40</v>
      </c>
      <c r="J146" s="7">
        <v>47</v>
      </c>
      <c r="K146" s="7">
        <v>58</v>
      </c>
      <c r="L146" s="7">
        <v>92</v>
      </c>
      <c r="M146" s="7">
        <v>327</v>
      </c>
      <c r="N146" s="7">
        <v>909</v>
      </c>
      <c r="O146" s="7">
        <v>191405</v>
      </c>
      <c r="P146" s="7">
        <v>400015</v>
      </c>
      <c r="Q146" s="7">
        <v>435360</v>
      </c>
      <c r="R146" s="7">
        <v>385969</v>
      </c>
      <c r="S146" s="7">
        <v>361612</v>
      </c>
      <c r="T146" s="7">
        <v>391737</v>
      </c>
      <c r="U146" s="7">
        <v>397796</v>
      </c>
      <c r="V146" s="7">
        <v>267489</v>
      </c>
      <c r="W146" s="7">
        <v>147532</v>
      </c>
      <c r="X146" s="7">
        <v>70941</v>
      </c>
      <c r="Y146" s="7">
        <v>3049856</v>
      </c>
      <c r="Z146" s="8">
        <v>5.0155429586478935E-4</v>
      </c>
      <c r="AA146" s="8">
        <v>2.1749184405584792E-4</v>
      </c>
      <c r="AB146" s="8">
        <v>1.3552002940095552E-4</v>
      </c>
      <c r="AC146" s="8">
        <v>1.5545289906702351E-4</v>
      </c>
      <c r="AD146" s="8">
        <v>1.189119830094134E-4</v>
      </c>
      <c r="AE146" s="8">
        <v>1.0210932334704151E-4</v>
      </c>
      <c r="AF146" s="8">
        <v>1.1815101207654174E-4</v>
      </c>
      <c r="AG146" s="8">
        <v>2.1683134633573717E-4</v>
      </c>
      <c r="AH146" s="8">
        <v>6.2359352547243984E-4</v>
      </c>
      <c r="AI146" s="8">
        <v>4.6094642026472702E-3</v>
      </c>
      <c r="AJ146" s="8">
        <v>2.9804685860578337E-4</v>
      </c>
    </row>
    <row r="147" spans="1:36" x14ac:dyDescent="0.2">
      <c r="A147" t="s">
        <v>178</v>
      </c>
      <c r="B147">
        <v>2009</v>
      </c>
      <c r="C147" t="s">
        <v>179</v>
      </c>
      <c r="D147" s="7">
        <v>103</v>
      </c>
      <c r="E147" s="7">
        <v>50</v>
      </c>
      <c r="F147" s="7">
        <v>56</v>
      </c>
      <c r="G147" s="7">
        <v>49</v>
      </c>
      <c r="H147" s="7">
        <v>56</v>
      </c>
      <c r="I147" s="7">
        <v>59</v>
      </c>
      <c r="J147" s="7">
        <v>66</v>
      </c>
      <c r="K147" s="7">
        <v>61</v>
      </c>
      <c r="L147" s="7">
        <v>138</v>
      </c>
      <c r="M147" s="7">
        <v>322</v>
      </c>
      <c r="N147" s="7">
        <v>960</v>
      </c>
      <c r="O147" s="7">
        <v>199682.44399999996</v>
      </c>
      <c r="P147" s="7">
        <v>382518.67200000008</v>
      </c>
      <c r="Q147" s="7">
        <v>424345.70500000002</v>
      </c>
      <c r="R147" s="7">
        <v>356724.946</v>
      </c>
      <c r="S147" s="7">
        <v>364706.71599999996</v>
      </c>
      <c r="T147" s="7">
        <v>405239.9760000002</v>
      </c>
      <c r="U147" s="7">
        <v>296771.48100000003</v>
      </c>
      <c r="V147" s="7">
        <v>177198.84900000013</v>
      </c>
      <c r="W147" s="7">
        <v>127583.26800000003</v>
      </c>
      <c r="X147" s="7">
        <v>58394.079999999987</v>
      </c>
      <c r="Y147" s="7">
        <v>2793166.1370000006</v>
      </c>
      <c r="Z147" s="8">
        <v>5.1581900710309821E-4</v>
      </c>
      <c r="AA147" s="8">
        <v>1.3071257342438957E-4</v>
      </c>
      <c r="AB147" s="8">
        <v>1.3196787275129837E-4</v>
      </c>
      <c r="AC147" s="8">
        <v>1.3736073282634962E-4</v>
      </c>
      <c r="AD147" s="8">
        <v>1.5354803611568262E-4</v>
      </c>
      <c r="AE147" s="8">
        <v>1.4559274379189079E-4</v>
      </c>
      <c r="AF147" s="8">
        <v>2.2239333704709988E-4</v>
      </c>
      <c r="AG147" s="8">
        <v>3.4424602837008242E-4</v>
      </c>
      <c r="AH147" s="8">
        <v>1.0816465369110938E-3</v>
      </c>
      <c r="AI147" s="8">
        <v>5.5142576096755026E-3</v>
      </c>
      <c r="AJ147" s="8">
        <v>3.4369598975272117E-4</v>
      </c>
    </row>
    <row r="148" spans="1:36" x14ac:dyDescent="0.2">
      <c r="A148" t="s">
        <v>178</v>
      </c>
      <c r="B148">
        <v>2010</v>
      </c>
      <c r="C148" t="s">
        <v>180</v>
      </c>
      <c r="D148" s="7">
        <v>75</v>
      </c>
      <c r="E148" s="7">
        <v>35</v>
      </c>
      <c r="F148" s="7">
        <v>46</v>
      </c>
      <c r="G148" s="7">
        <v>47</v>
      </c>
      <c r="H148" s="7">
        <v>47</v>
      </c>
      <c r="I148" s="7">
        <v>63</v>
      </c>
      <c r="J148" s="7">
        <v>60</v>
      </c>
      <c r="K148" s="7">
        <v>60</v>
      </c>
      <c r="L148" s="7">
        <v>117</v>
      </c>
      <c r="M148" s="7">
        <v>303</v>
      </c>
      <c r="N148" s="7">
        <v>853</v>
      </c>
      <c r="O148" s="7">
        <v>193762.15599999996</v>
      </c>
      <c r="P148" s="7">
        <v>384899.18199999997</v>
      </c>
      <c r="Q148" s="7">
        <v>402472.0309999999</v>
      </c>
      <c r="R148" s="7">
        <v>352309.53199999995</v>
      </c>
      <c r="S148" s="7">
        <v>349124.95200000005</v>
      </c>
      <c r="T148" s="7">
        <v>397925.42400000006</v>
      </c>
      <c r="U148" s="7">
        <v>302521.44099999988</v>
      </c>
      <c r="V148" s="7">
        <v>177286.66800000001</v>
      </c>
      <c r="W148" s="7">
        <v>124214.10199999998</v>
      </c>
      <c r="X148" s="7">
        <v>56436.769000000008</v>
      </c>
      <c r="Y148" s="7">
        <v>2740952.2569999998</v>
      </c>
      <c r="Z148" s="8">
        <v>3.8707248901586342E-4</v>
      </c>
      <c r="AA148" s="8">
        <v>9.0932903047842806E-5</v>
      </c>
      <c r="AB148" s="8">
        <v>1.1429365634602324E-4</v>
      </c>
      <c r="AC148" s="8">
        <v>1.3340541691616792E-4</v>
      </c>
      <c r="AD148" s="8">
        <v>1.3462228846937297E-4</v>
      </c>
      <c r="AE148" s="8">
        <v>1.5832112300519908E-4</v>
      </c>
      <c r="AF148" s="8">
        <v>1.9833304972258158E-4</v>
      </c>
      <c r="AG148" s="8">
        <v>3.3843492393911985E-4</v>
      </c>
      <c r="AH148" s="8">
        <v>9.4192203716128792E-4</v>
      </c>
      <c r="AI148" s="8">
        <v>5.3688403033844822E-3</v>
      </c>
      <c r="AJ148" s="8">
        <v>3.1120571247512978E-4</v>
      </c>
    </row>
    <row r="149" spans="1:36" x14ac:dyDescent="0.2">
      <c r="A149" t="s">
        <v>178</v>
      </c>
      <c r="B149">
        <v>2011</v>
      </c>
      <c r="C149" t="s">
        <v>181</v>
      </c>
      <c r="D149" s="7">
        <v>98</v>
      </c>
      <c r="E149" s="7">
        <v>49</v>
      </c>
      <c r="F149" s="7">
        <v>51</v>
      </c>
      <c r="G149" s="7">
        <v>55</v>
      </c>
      <c r="H149" s="7">
        <v>45</v>
      </c>
      <c r="I149" s="7">
        <v>70</v>
      </c>
      <c r="J149" s="7">
        <v>47</v>
      </c>
      <c r="K149" s="7">
        <v>63</v>
      </c>
      <c r="L149" s="7">
        <v>122</v>
      </c>
      <c r="M149" s="7">
        <v>374</v>
      </c>
      <c r="N149" s="7">
        <v>974</v>
      </c>
      <c r="O149" s="7">
        <v>207083.78399999996</v>
      </c>
      <c r="P149" s="7">
        <v>411613.28399999987</v>
      </c>
      <c r="Q149" s="7">
        <v>421759.66799999989</v>
      </c>
      <c r="R149" s="7">
        <v>382132.18700000003</v>
      </c>
      <c r="S149" s="7">
        <v>368739.48600000015</v>
      </c>
      <c r="T149" s="7">
        <v>420958.05900000007</v>
      </c>
      <c r="U149" s="7">
        <v>334204.94399999996</v>
      </c>
      <c r="V149" s="7">
        <v>193854.83599999995</v>
      </c>
      <c r="W149" s="7">
        <v>130898.808</v>
      </c>
      <c r="X149" s="7">
        <v>59436.115999999987</v>
      </c>
      <c r="Y149" s="7">
        <v>2930681.1720000003</v>
      </c>
      <c r="Z149" s="8">
        <v>4.7323840673106507E-4</v>
      </c>
      <c r="AA149" s="8">
        <v>1.1904377702251227E-4</v>
      </c>
      <c r="AB149" s="8">
        <v>1.2092194647687369E-4</v>
      </c>
      <c r="AC149" s="8">
        <v>1.4392925241861398E-4</v>
      </c>
      <c r="AD149" s="8">
        <v>1.2203737790099317E-4</v>
      </c>
      <c r="AE149" s="8">
        <v>1.6628734978084834E-4</v>
      </c>
      <c r="AF149" s="8">
        <v>1.4063227023954501E-4</v>
      </c>
      <c r="AG149" s="8">
        <v>3.2498544426304646E-4</v>
      </c>
      <c r="AH149" s="8">
        <v>9.3201765443120003E-4</v>
      </c>
      <c r="AI149" s="8">
        <v>6.2924703895523735E-3</v>
      </c>
      <c r="AJ149" s="8">
        <v>3.3234594377091797E-4</v>
      </c>
    </row>
    <row r="150" spans="1:36" x14ac:dyDescent="0.2">
      <c r="A150" t="s">
        <v>178</v>
      </c>
      <c r="B150">
        <v>2012</v>
      </c>
      <c r="C150" t="s">
        <v>182</v>
      </c>
      <c r="D150" s="7">
        <v>107</v>
      </c>
      <c r="E150" s="7">
        <v>48</v>
      </c>
      <c r="F150" s="7">
        <v>77</v>
      </c>
      <c r="G150" s="7">
        <v>32</v>
      </c>
      <c r="H150" s="7">
        <v>48</v>
      </c>
      <c r="I150" s="7">
        <v>53</v>
      </c>
      <c r="J150" s="7">
        <v>50</v>
      </c>
      <c r="K150" s="7">
        <v>67</v>
      </c>
      <c r="L150" s="7">
        <v>158</v>
      </c>
      <c r="M150" s="7">
        <v>348</v>
      </c>
      <c r="N150" s="7">
        <v>988</v>
      </c>
      <c r="O150" s="7">
        <v>207028.12000000008</v>
      </c>
      <c r="P150" s="7">
        <v>409590.11400000018</v>
      </c>
      <c r="Q150" s="7">
        <v>419092.97500000009</v>
      </c>
      <c r="R150" s="7">
        <v>385686.72300000006</v>
      </c>
      <c r="S150" s="7">
        <v>359191.4219999999</v>
      </c>
      <c r="T150" s="7">
        <v>413477.13800000021</v>
      </c>
      <c r="U150" s="7">
        <v>342591.45699999999</v>
      </c>
      <c r="V150" s="7">
        <v>199266.71799999994</v>
      </c>
      <c r="W150" s="7">
        <v>129872.90300000003</v>
      </c>
      <c r="X150" s="7">
        <v>60893.565000000024</v>
      </c>
      <c r="Y150" s="7">
        <v>2926691.1350000002</v>
      </c>
      <c r="Z150" s="8">
        <v>5.1683800248970987E-4</v>
      </c>
      <c r="AA150" s="8">
        <v>1.1719032847555491E-4</v>
      </c>
      <c r="AB150" s="8">
        <v>1.8373011382498116E-4</v>
      </c>
      <c r="AC150" s="8">
        <v>8.2968891827785309E-5</v>
      </c>
      <c r="AD150" s="8">
        <v>1.3363348081291322E-4</v>
      </c>
      <c r="AE150" s="8">
        <v>1.2818121034783783E-4</v>
      </c>
      <c r="AF150" s="8">
        <v>1.4594642971497098E-4</v>
      </c>
      <c r="AG150" s="8">
        <v>3.3623276717991622E-4</v>
      </c>
      <c r="AH150" s="8">
        <v>1.2165740223732426E-3</v>
      </c>
      <c r="AI150" s="8">
        <v>5.7148895782337568E-3</v>
      </c>
      <c r="AJ150" s="8">
        <v>3.3758259906028652E-4</v>
      </c>
    </row>
    <row r="151" spans="1:36" x14ac:dyDescent="0.2">
      <c r="A151" t="s">
        <v>178</v>
      </c>
      <c r="B151">
        <v>2013</v>
      </c>
      <c r="C151" t="s">
        <v>183</v>
      </c>
      <c r="D151" s="7">
        <v>108</v>
      </c>
      <c r="E151" s="7">
        <v>51</v>
      </c>
      <c r="F151" s="7">
        <v>51</v>
      </c>
      <c r="G151" s="7">
        <v>43</v>
      </c>
      <c r="H151" s="7">
        <v>50</v>
      </c>
      <c r="I151" s="7">
        <v>50</v>
      </c>
      <c r="J151" s="7">
        <v>37</v>
      </c>
      <c r="K151" s="7">
        <v>69</v>
      </c>
      <c r="L151" s="7">
        <v>130</v>
      </c>
      <c r="M151" s="7">
        <v>403</v>
      </c>
      <c r="N151" s="7">
        <v>992</v>
      </c>
      <c r="O151" s="7">
        <v>200346.36600000004</v>
      </c>
      <c r="P151" s="7">
        <v>400119.28999999992</v>
      </c>
      <c r="Q151" s="7">
        <v>409048.73800000001</v>
      </c>
      <c r="R151" s="7">
        <v>377907.43000000005</v>
      </c>
      <c r="S151" s="7">
        <v>348038.32600000012</v>
      </c>
      <c r="T151" s="7">
        <v>397165.06200000009</v>
      </c>
      <c r="U151" s="7">
        <v>348729.92800000001</v>
      </c>
      <c r="V151" s="7">
        <v>204743.9879999999</v>
      </c>
      <c r="W151" s="7">
        <v>126134.50700000001</v>
      </c>
      <c r="X151" s="7">
        <v>60436.242999999988</v>
      </c>
      <c r="Y151" s="7">
        <v>2872669.878</v>
      </c>
      <c r="Z151" s="8">
        <v>5.3906642858698008E-4</v>
      </c>
      <c r="AA151" s="8">
        <v>1.2746198764873349E-4</v>
      </c>
      <c r="AB151" s="8">
        <v>1.2467951924105436E-4</v>
      </c>
      <c r="AC151" s="8">
        <v>1.1378447891326189E-4</v>
      </c>
      <c r="AD151" s="8">
        <v>1.436623390723928E-4</v>
      </c>
      <c r="AE151" s="8">
        <v>1.2589224175010638E-4</v>
      </c>
      <c r="AF151" s="8">
        <v>1.0609929641599329E-4</v>
      </c>
      <c r="AG151" s="8">
        <v>3.3700623238812772E-4</v>
      </c>
      <c r="AH151" s="8">
        <v>1.0306458009940135E-3</v>
      </c>
      <c r="AI151" s="8">
        <v>6.6681841887491263E-3</v>
      </c>
      <c r="AJ151" s="8">
        <v>3.4532335497270805E-4</v>
      </c>
    </row>
    <row r="152" spans="1:36" x14ac:dyDescent="0.2">
      <c r="A152" t="s">
        <v>178</v>
      </c>
      <c r="B152">
        <v>2014</v>
      </c>
      <c r="C152" t="s">
        <v>184</v>
      </c>
      <c r="D152" s="7">
        <v>108</v>
      </c>
      <c r="E152" s="7">
        <v>51</v>
      </c>
      <c r="F152" s="7">
        <v>53</v>
      </c>
      <c r="G152" s="7">
        <v>69</v>
      </c>
      <c r="H152" s="7">
        <v>53</v>
      </c>
      <c r="I152" s="7">
        <v>61</v>
      </c>
      <c r="J152" s="7">
        <v>62</v>
      </c>
      <c r="K152" s="7">
        <v>73</v>
      </c>
      <c r="L152" s="7">
        <v>143</v>
      </c>
      <c r="M152" s="7">
        <v>307</v>
      </c>
      <c r="N152" s="7">
        <v>980</v>
      </c>
      <c r="O152" s="7">
        <v>201800.66000000003</v>
      </c>
      <c r="P152" s="7">
        <v>403890.75299999985</v>
      </c>
      <c r="Q152" s="7">
        <v>414748.1230000002</v>
      </c>
      <c r="R152" s="7">
        <v>385358.97400000022</v>
      </c>
      <c r="S152" s="7">
        <v>350575.4709999999</v>
      </c>
      <c r="T152" s="7">
        <v>391099.44199999992</v>
      </c>
      <c r="U152" s="7">
        <v>356701.49200000009</v>
      </c>
      <c r="V152" s="7">
        <v>212372.14700000006</v>
      </c>
      <c r="W152" s="7">
        <v>128891.50899999998</v>
      </c>
      <c r="X152" s="7">
        <v>60411.58600000001</v>
      </c>
      <c r="Y152" s="7">
        <v>2905850.1570000001</v>
      </c>
      <c r="Z152" s="8">
        <v>5.3518159950517502E-4</v>
      </c>
      <c r="AA152" s="8">
        <v>1.2627176933659588E-4</v>
      </c>
      <c r="AB152" s="8">
        <v>1.2778840231182908E-4</v>
      </c>
      <c r="AC152" s="8">
        <v>1.7905382943021839E-4</v>
      </c>
      <c r="AD152" s="8">
        <v>1.5118000083924873E-4</v>
      </c>
      <c r="AE152" s="8">
        <v>1.5597056259671169E-4</v>
      </c>
      <c r="AF152" s="8">
        <v>1.7381480422851717E-4</v>
      </c>
      <c r="AG152" s="8">
        <v>3.4373622450593758E-4</v>
      </c>
      <c r="AH152" s="8">
        <v>1.109460205016298E-3</v>
      </c>
      <c r="AI152" s="8">
        <v>5.0818066587425791E-3</v>
      </c>
      <c r="AJ152" s="8">
        <v>3.3725070015714508E-4</v>
      </c>
    </row>
    <row r="153" spans="1:36" x14ac:dyDescent="0.2">
      <c r="A153" t="s">
        <v>178</v>
      </c>
      <c r="B153">
        <v>2015</v>
      </c>
      <c r="C153" t="s">
        <v>185</v>
      </c>
      <c r="D153" s="7">
        <v>121</v>
      </c>
      <c r="E153" s="7">
        <v>48</v>
      </c>
      <c r="F153" s="7">
        <v>63</v>
      </c>
      <c r="G153" s="7">
        <v>40</v>
      </c>
      <c r="H153" s="7">
        <v>60</v>
      </c>
      <c r="I153" s="7">
        <v>53</v>
      </c>
      <c r="J153" s="7">
        <v>63</v>
      </c>
      <c r="K153" s="7">
        <v>67</v>
      </c>
      <c r="L153" s="7">
        <v>142</v>
      </c>
      <c r="M153" s="7">
        <v>360</v>
      </c>
      <c r="N153" s="7">
        <v>1017</v>
      </c>
      <c r="O153" s="7">
        <v>204158.94200000001</v>
      </c>
      <c r="P153" s="7">
        <v>414157.147</v>
      </c>
      <c r="Q153" s="7">
        <v>428799.86100000015</v>
      </c>
      <c r="R153" s="7">
        <v>394319.3240000002</v>
      </c>
      <c r="S153" s="7">
        <v>357585.15600000019</v>
      </c>
      <c r="T153" s="7">
        <v>392629.95500000013</v>
      </c>
      <c r="U153" s="7">
        <v>372704.42199999996</v>
      </c>
      <c r="V153" s="7">
        <v>228016.27699999997</v>
      </c>
      <c r="W153" s="7">
        <v>131256.19200000004</v>
      </c>
      <c r="X153" s="7">
        <v>61826.797000000006</v>
      </c>
      <c r="Y153" s="7">
        <v>2985454.0730000003</v>
      </c>
      <c r="Z153" s="8">
        <v>5.9267548516194792E-4</v>
      </c>
      <c r="AA153" s="8">
        <v>1.1589803616258734E-4</v>
      </c>
      <c r="AB153" s="8">
        <v>1.4692168941724535E-4</v>
      </c>
      <c r="AC153" s="8">
        <v>1.0144062835733604E-4</v>
      </c>
      <c r="AD153" s="8">
        <v>1.6779219996481052E-4</v>
      </c>
      <c r="AE153" s="8">
        <v>1.3498715348909122E-4</v>
      </c>
      <c r="AF153" s="8">
        <v>1.6903475322865906E-4</v>
      </c>
      <c r="AG153" s="8">
        <v>2.9383867187692046E-4</v>
      </c>
      <c r="AH153" s="8">
        <v>1.0818537231371147E-3</v>
      </c>
      <c r="AI153" s="8">
        <v>5.8227179389545277E-3</v>
      </c>
      <c r="AJ153" s="8">
        <v>3.4065169824503273E-4</v>
      </c>
    </row>
    <row r="154" spans="1:36" x14ac:dyDescent="0.2">
      <c r="A154" t="s">
        <v>178</v>
      </c>
      <c r="B154">
        <v>2016</v>
      </c>
      <c r="C154" t="s">
        <v>186</v>
      </c>
      <c r="D154" s="7">
        <v>111</v>
      </c>
      <c r="E154" s="7">
        <v>33</v>
      </c>
      <c r="F154" s="7">
        <v>61</v>
      </c>
      <c r="G154" s="7">
        <v>69</v>
      </c>
      <c r="H154" s="7">
        <v>58</v>
      </c>
      <c r="I154" s="7">
        <v>53</v>
      </c>
      <c r="J154" s="7">
        <v>55</v>
      </c>
      <c r="K154" s="7">
        <v>66</v>
      </c>
      <c r="L154" s="7">
        <v>103</v>
      </c>
      <c r="M154" s="7">
        <v>272</v>
      </c>
      <c r="N154" s="7">
        <v>881</v>
      </c>
      <c r="O154" s="7">
        <v>198605.98600000009</v>
      </c>
      <c r="P154" s="7">
        <v>404951.08299999987</v>
      </c>
      <c r="Q154" s="7">
        <v>421191.16899999994</v>
      </c>
      <c r="R154" s="7">
        <v>387819.07199999999</v>
      </c>
      <c r="S154" s="7">
        <v>350489.97300000006</v>
      </c>
      <c r="T154" s="7">
        <v>374181.576</v>
      </c>
      <c r="U154" s="7">
        <v>366284.67499999999</v>
      </c>
      <c r="V154" s="7">
        <v>229051.86999999988</v>
      </c>
      <c r="W154" s="7">
        <v>128392.54599999994</v>
      </c>
      <c r="X154" s="7">
        <v>60522.724999999999</v>
      </c>
      <c r="Y154" s="7">
        <v>2921490.6749999993</v>
      </c>
      <c r="Z154" s="8">
        <v>5.5889554104376264E-4</v>
      </c>
      <c r="AA154" s="8">
        <v>8.1491324224955853E-5</v>
      </c>
      <c r="AB154" s="8">
        <v>1.4482734798269243E-4</v>
      </c>
      <c r="AC154" s="8">
        <v>1.7791801636820998E-4</v>
      </c>
      <c r="AD154" s="8">
        <v>1.6548262280815661E-4</v>
      </c>
      <c r="AE154" s="8">
        <v>1.4164246290950466E-4</v>
      </c>
      <c r="AF154" s="8">
        <v>1.5015643228862905E-4</v>
      </c>
      <c r="AG154" s="8">
        <v>2.8814434040638933E-4</v>
      </c>
      <c r="AH154" s="8">
        <v>8.0222725702471887E-4</v>
      </c>
      <c r="AI154" s="8">
        <v>4.4941796655718989E-3</v>
      </c>
      <c r="AJ154" s="8">
        <v>3.0155838166418252E-4</v>
      </c>
    </row>
    <row r="155" spans="1:36" x14ac:dyDescent="0.2">
      <c r="A155" t="s">
        <v>178</v>
      </c>
      <c r="B155">
        <v>2017</v>
      </c>
      <c r="C155" t="s">
        <v>187</v>
      </c>
      <c r="D155" s="7">
        <v>120</v>
      </c>
      <c r="E155" s="7">
        <v>53</v>
      </c>
      <c r="F155" s="7">
        <v>57</v>
      </c>
      <c r="G155" s="7">
        <v>61</v>
      </c>
      <c r="H155" s="7">
        <v>55</v>
      </c>
      <c r="I155" s="7">
        <v>71</v>
      </c>
      <c r="J155" s="7">
        <v>65</v>
      </c>
      <c r="K155" s="7">
        <v>75</v>
      </c>
      <c r="L155" s="7">
        <v>103</v>
      </c>
      <c r="M155" s="7">
        <v>287</v>
      </c>
      <c r="N155" s="7">
        <v>947</v>
      </c>
      <c r="O155" s="7">
        <v>198426</v>
      </c>
      <c r="P155" s="7">
        <v>406807</v>
      </c>
      <c r="Q155" s="7">
        <v>424595</v>
      </c>
      <c r="R155" s="7">
        <v>391988</v>
      </c>
      <c r="S155" s="7">
        <v>355782</v>
      </c>
      <c r="T155" s="7">
        <v>367532</v>
      </c>
      <c r="U155" s="7">
        <v>375481</v>
      </c>
      <c r="V155" s="7">
        <v>245295</v>
      </c>
      <c r="W155" s="7">
        <v>132767</v>
      </c>
      <c r="X155" s="7">
        <v>63198</v>
      </c>
      <c r="Y155" s="7">
        <v>2961871</v>
      </c>
      <c r="Z155" s="8">
        <v>6.0475945692600773E-4</v>
      </c>
      <c r="AA155" s="8">
        <v>1.3028291056938547E-4</v>
      </c>
      <c r="AB155" s="8">
        <v>1.3424557519518601E-4</v>
      </c>
      <c r="AC155" s="8">
        <v>1.5561700868393929E-4</v>
      </c>
      <c r="AD155" s="8">
        <v>1.5458904610126425E-4</v>
      </c>
      <c r="AE155" s="8">
        <v>1.9318045775605934E-4</v>
      </c>
      <c r="AF155" s="8">
        <v>1.7311128925298484E-4</v>
      </c>
      <c r="AG155" s="8">
        <v>3.0575429584785667E-4</v>
      </c>
      <c r="AH155" s="8">
        <v>7.7579519006982156E-4</v>
      </c>
      <c r="AI155" s="8">
        <v>4.5412829519921516E-3</v>
      </c>
      <c r="AJ155" s="8">
        <v>3.1973033261745702E-4</v>
      </c>
    </row>
    <row r="156" spans="1:36" x14ac:dyDescent="0.2">
      <c r="A156" t="s">
        <v>188</v>
      </c>
      <c r="B156">
        <v>2009</v>
      </c>
      <c r="C156" t="s">
        <v>189</v>
      </c>
      <c r="D156" s="7">
        <v>81</v>
      </c>
      <c r="E156" s="7">
        <v>62</v>
      </c>
      <c r="F156" s="7">
        <v>59</v>
      </c>
      <c r="G156" s="7">
        <v>59</v>
      </c>
      <c r="H156" s="7">
        <v>60</v>
      </c>
      <c r="I156" s="7">
        <v>39</v>
      </c>
      <c r="J156" s="7">
        <v>76</v>
      </c>
      <c r="K156" s="7">
        <v>133</v>
      </c>
      <c r="L156" s="7">
        <v>268</v>
      </c>
      <c r="M156" s="7">
        <v>398</v>
      </c>
      <c r="N156" s="7">
        <v>1235</v>
      </c>
      <c r="O156" s="7">
        <v>287840.00999999995</v>
      </c>
      <c r="P156" s="7">
        <v>561256.86700000009</v>
      </c>
      <c r="Q156" s="7">
        <v>597625.59699999995</v>
      </c>
      <c r="R156" s="7">
        <v>573791.56200000003</v>
      </c>
      <c r="S156" s="7">
        <v>609478.04500000004</v>
      </c>
      <c r="T156" s="7">
        <v>634678.84299999999</v>
      </c>
      <c r="U156" s="7">
        <v>493837.821</v>
      </c>
      <c r="V156" s="7">
        <v>302695.00699999975</v>
      </c>
      <c r="W156" s="7">
        <v>187921.89999999988</v>
      </c>
      <c r="X156" s="7">
        <v>68738.39800000003</v>
      </c>
      <c r="Y156" s="7">
        <v>4317864.0499999989</v>
      </c>
      <c r="Z156" s="8">
        <v>2.8140632707732334E-4</v>
      </c>
      <c r="AA156" s="8">
        <v>1.1046635443660414E-4</v>
      </c>
      <c r="AB156" s="8">
        <v>9.8724017672890954E-5</v>
      </c>
      <c r="AC156" s="8">
        <v>1.0282479546117828E-4</v>
      </c>
      <c r="AD156" s="8">
        <v>9.84448914808736E-5</v>
      </c>
      <c r="AE156" s="8">
        <v>6.1448400919833409E-5</v>
      </c>
      <c r="AF156" s="8">
        <v>1.5389667775162161E-4</v>
      </c>
      <c r="AG156" s="8">
        <v>4.3938617064800186E-4</v>
      </c>
      <c r="AH156" s="8">
        <v>1.4261243633658461E-3</v>
      </c>
      <c r="AI156" s="8">
        <v>5.7900680199151544E-3</v>
      </c>
      <c r="AJ156" s="8">
        <v>2.8602104783729821E-4</v>
      </c>
    </row>
    <row r="157" spans="1:36" x14ac:dyDescent="0.2">
      <c r="A157" t="s">
        <v>188</v>
      </c>
      <c r="B157">
        <v>2010</v>
      </c>
      <c r="C157" t="s">
        <v>190</v>
      </c>
      <c r="D157" s="7">
        <v>115</v>
      </c>
      <c r="E157" s="7">
        <v>40</v>
      </c>
      <c r="F157" s="7">
        <v>68</v>
      </c>
      <c r="G157" s="7">
        <v>57</v>
      </c>
      <c r="H157" s="7">
        <v>47</v>
      </c>
      <c r="I157" s="7">
        <v>56</v>
      </c>
      <c r="J157" s="7">
        <v>52</v>
      </c>
      <c r="K157" s="7">
        <v>106</v>
      </c>
      <c r="L157" s="7">
        <v>266</v>
      </c>
      <c r="M157" s="7">
        <v>407</v>
      </c>
      <c r="N157" s="7">
        <v>1214</v>
      </c>
      <c r="O157" s="7">
        <v>271305.69099999999</v>
      </c>
      <c r="P157" s="7">
        <v>548657.39300000004</v>
      </c>
      <c r="Q157" s="7">
        <v>572587.48900000006</v>
      </c>
      <c r="R157" s="7">
        <v>547258.21900000016</v>
      </c>
      <c r="S157" s="7">
        <v>577546.32299999997</v>
      </c>
      <c r="T157" s="7">
        <v>618410.10100000026</v>
      </c>
      <c r="U157" s="7">
        <v>494926.96099999995</v>
      </c>
      <c r="V157" s="7">
        <v>301594.59999999998</v>
      </c>
      <c r="W157" s="7">
        <v>178447</v>
      </c>
      <c r="X157" s="7">
        <v>67738.23</v>
      </c>
      <c r="Y157" s="7">
        <v>4178472.0070000007</v>
      </c>
      <c r="Z157" s="8">
        <v>4.2387610660183316E-4</v>
      </c>
      <c r="AA157" s="8">
        <v>7.2905241978576602E-5</v>
      </c>
      <c r="AB157" s="8">
        <v>1.1875914389739659E-4</v>
      </c>
      <c r="AC157" s="8">
        <v>1.04155585098668E-4</v>
      </c>
      <c r="AD157" s="8">
        <v>8.1378753752363523E-5</v>
      </c>
      <c r="AE157" s="8">
        <v>9.0554795126155253E-5</v>
      </c>
      <c r="AF157" s="8">
        <v>1.0506600791141787E-4</v>
      </c>
      <c r="AG157" s="8">
        <v>3.5146517875320053E-4</v>
      </c>
      <c r="AH157" s="8">
        <v>1.4906386770301547E-3</v>
      </c>
      <c r="AI157" s="8">
        <v>6.0084238988825072E-3</v>
      </c>
      <c r="AJ157" s="8">
        <v>2.9053682732976122E-4</v>
      </c>
    </row>
    <row r="158" spans="1:36" x14ac:dyDescent="0.2">
      <c r="A158" t="s">
        <v>188</v>
      </c>
      <c r="B158">
        <v>2011</v>
      </c>
      <c r="C158" t="s">
        <v>191</v>
      </c>
      <c r="D158" s="7">
        <v>104</v>
      </c>
      <c r="E158" s="7">
        <v>45</v>
      </c>
      <c r="F158" s="7">
        <v>49</v>
      </c>
      <c r="G158" s="7">
        <v>67</v>
      </c>
      <c r="H158" s="7">
        <v>47</v>
      </c>
      <c r="I158" s="7">
        <v>63</v>
      </c>
      <c r="J158" s="7">
        <v>56</v>
      </c>
      <c r="K158" s="7">
        <v>115</v>
      </c>
      <c r="L158" s="7">
        <v>256</v>
      </c>
      <c r="M158" s="7">
        <v>386</v>
      </c>
      <c r="N158" s="7">
        <v>1188</v>
      </c>
      <c r="O158" s="7">
        <v>277795.50500000006</v>
      </c>
      <c r="P158" s="7">
        <v>564397.576</v>
      </c>
      <c r="Q158" s="7">
        <v>579326.39299999992</v>
      </c>
      <c r="R158" s="7">
        <v>556852.51600000006</v>
      </c>
      <c r="S158" s="7">
        <v>583258.19400000025</v>
      </c>
      <c r="T158" s="7">
        <v>635144.38899999973</v>
      </c>
      <c r="U158" s="7">
        <v>525967.73099999991</v>
      </c>
      <c r="V158" s="7">
        <v>319607.02600000001</v>
      </c>
      <c r="W158" s="7">
        <v>182548.33100000001</v>
      </c>
      <c r="X158" s="7">
        <v>71539.250000000015</v>
      </c>
      <c r="Y158" s="7">
        <v>4296436.9109999994</v>
      </c>
      <c r="Z158" s="8">
        <v>3.7437610806553541E-4</v>
      </c>
      <c r="AA158" s="8">
        <v>7.9731029886634386E-5</v>
      </c>
      <c r="AB158" s="8">
        <v>8.4580990253623763E-5</v>
      </c>
      <c r="AC158" s="8">
        <v>1.2031911156885208E-4</v>
      </c>
      <c r="AD158" s="8">
        <v>8.058180833718383E-5</v>
      </c>
      <c r="AE158" s="8">
        <v>9.9190044171200298E-5</v>
      </c>
      <c r="AF158" s="8">
        <v>1.0647041006399689E-4</v>
      </c>
      <c r="AG158" s="8">
        <v>3.5981687085940341E-4</v>
      </c>
      <c r="AH158" s="8">
        <v>1.4023683404697904E-3</v>
      </c>
      <c r="AI158" s="8">
        <v>5.3956394566619017E-3</v>
      </c>
      <c r="AJ158" s="8">
        <v>2.7650819146405014E-4</v>
      </c>
    </row>
    <row r="159" spans="1:36" x14ac:dyDescent="0.2">
      <c r="A159" t="s">
        <v>188</v>
      </c>
      <c r="B159">
        <v>2012</v>
      </c>
      <c r="C159" t="s">
        <v>192</v>
      </c>
      <c r="D159" s="7">
        <v>110</v>
      </c>
      <c r="E159" s="7">
        <v>68</v>
      </c>
      <c r="F159" s="7">
        <v>61</v>
      </c>
      <c r="G159" s="7">
        <v>53</v>
      </c>
      <c r="H159" s="7">
        <v>52</v>
      </c>
      <c r="I159" s="7">
        <v>46</v>
      </c>
      <c r="J159" s="7">
        <v>76</v>
      </c>
      <c r="K159" s="7">
        <v>113</v>
      </c>
      <c r="L159" s="7">
        <v>244</v>
      </c>
      <c r="M159" s="7">
        <v>357</v>
      </c>
      <c r="N159" s="7">
        <v>1180</v>
      </c>
      <c r="O159" s="7">
        <v>280983.54500000004</v>
      </c>
      <c r="P159" s="7">
        <v>569887.96600000001</v>
      </c>
      <c r="Q159" s="7">
        <v>590115.83299999998</v>
      </c>
      <c r="R159" s="7">
        <v>562860.15700000001</v>
      </c>
      <c r="S159" s="7">
        <v>579350.91399999987</v>
      </c>
      <c r="T159" s="7">
        <v>637822.54100000008</v>
      </c>
      <c r="U159" s="7">
        <v>541909.84900000016</v>
      </c>
      <c r="V159" s="7">
        <v>333015.33100000012</v>
      </c>
      <c r="W159" s="7">
        <v>184957.26200000008</v>
      </c>
      <c r="X159" s="7">
        <v>72127.641999999993</v>
      </c>
      <c r="Y159" s="7">
        <v>4353031.040000001</v>
      </c>
      <c r="Z159" s="8">
        <v>3.9148199941743916E-4</v>
      </c>
      <c r="AA159" s="8">
        <v>1.1932169839852347E-4</v>
      </c>
      <c r="AB159" s="8">
        <v>1.0336953626526404E-4</v>
      </c>
      <c r="AC159" s="8">
        <v>9.4161932303906177E-5</v>
      </c>
      <c r="AD159" s="8">
        <v>8.9755619165209443E-5</v>
      </c>
      <c r="AE159" s="8">
        <v>7.2120373682434653E-5</v>
      </c>
      <c r="AF159" s="8">
        <v>1.4024472915604821E-4</v>
      </c>
      <c r="AG159" s="8">
        <v>3.393237172014761E-4</v>
      </c>
      <c r="AH159" s="8">
        <v>1.3192236809820416E-3</v>
      </c>
      <c r="AI159" s="8">
        <v>4.9495587281225698E-3</v>
      </c>
      <c r="AJ159" s="8">
        <v>2.7107548491085416E-4</v>
      </c>
    </row>
    <row r="160" spans="1:36" x14ac:dyDescent="0.2">
      <c r="A160" t="s">
        <v>188</v>
      </c>
      <c r="B160">
        <v>2013</v>
      </c>
      <c r="C160" t="s">
        <v>193</v>
      </c>
      <c r="D160" s="7">
        <v>97</v>
      </c>
      <c r="E160" s="7">
        <v>60</v>
      </c>
      <c r="F160" s="7">
        <v>64</v>
      </c>
      <c r="G160" s="7">
        <v>51</v>
      </c>
      <c r="H160" s="7">
        <v>49</v>
      </c>
      <c r="I160" s="7">
        <v>62</v>
      </c>
      <c r="J160" s="7">
        <v>60</v>
      </c>
      <c r="K160" s="7">
        <v>142</v>
      </c>
      <c r="L160" s="7">
        <v>228</v>
      </c>
      <c r="M160" s="7">
        <v>377</v>
      </c>
      <c r="N160" s="7">
        <v>1190</v>
      </c>
      <c r="O160" s="7">
        <v>281101.17300000013</v>
      </c>
      <c r="P160" s="7">
        <v>572716.29699999979</v>
      </c>
      <c r="Q160" s="7">
        <v>596220.01800000016</v>
      </c>
      <c r="R160" s="7">
        <v>568753.42100000009</v>
      </c>
      <c r="S160" s="7">
        <v>570817.07299999997</v>
      </c>
      <c r="T160" s="7">
        <v>633787.60800000001</v>
      </c>
      <c r="U160" s="7">
        <v>556968.54200000013</v>
      </c>
      <c r="V160" s="7">
        <v>344312.55599999987</v>
      </c>
      <c r="W160" s="7">
        <v>187049.63199999998</v>
      </c>
      <c r="X160" s="7">
        <v>73786.870000000039</v>
      </c>
      <c r="Y160" s="7">
        <v>4385513.1900000004</v>
      </c>
      <c r="Z160" s="8">
        <v>3.450714878375835E-4</v>
      </c>
      <c r="AA160" s="8">
        <v>1.0476391245419723E-4</v>
      </c>
      <c r="AB160" s="8">
        <v>1.0734292386673938E-4</v>
      </c>
      <c r="AC160" s="8">
        <v>8.9669790311467851E-5</v>
      </c>
      <c r="AD160" s="8">
        <v>8.5841861285743294E-5</v>
      </c>
      <c r="AE160" s="8">
        <v>9.7824569646682015E-5</v>
      </c>
      <c r="AF160" s="8">
        <v>1.0772601228885918E-4</v>
      </c>
      <c r="AG160" s="8">
        <v>4.1241597939286321E-4</v>
      </c>
      <c r="AH160" s="8">
        <v>1.2189278191148754E-3</v>
      </c>
      <c r="AI160" s="8">
        <v>5.1093100981245013E-3</v>
      </c>
      <c r="AJ160" s="8">
        <v>2.7134794685225878E-4</v>
      </c>
    </row>
    <row r="161" spans="1:36" x14ac:dyDescent="0.2">
      <c r="A161" t="s">
        <v>188</v>
      </c>
      <c r="B161">
        <v>2014</v>
      </c>
      <c r="C161" t="s">
        <v>194</v>
      </c>
      <c r="D161" s="7">
        <v>98</v>
      </c>
      <c r="E161" s="7">
        <v>60</v>
      </c>
      <c r="F161" s="7">
        <v>61</v>
      </c>
      <c r="G161" s="7">
        <v>37</v>
      </c>
      <c r="H161" s="7">
        <v>55</v>
      </c>
      <c r="I161" s="7">
        <v>68</v>
      </c>
      <c r="J161" s="7">
        <v>89</v>
      </c>
      <c r="K161" s="7">
        <v>161</v>
      </c>
      <c r="L161" s="7">
        <v>257</v>
      </c>
      <c r="M161" s="7">
        <v>374</v>
      </c>
      <c r="N161" s="7">
        <v>1260</v>
      </c>
      <c r="O161" s="7">
        <v>277406.63200000004</v>
      </c>
      <c r="P161" s="7">
        <v>571694.69900000002</v>
      </c>
      <c r="Q161" s="7">
        <v>597279.95500000007</v>
      </c>
      <c r="R161" s="7">
        <v>565845.80000000016</v>
      </c>
      <c r="S161" s="7">
        <v>565851.77900000033</v>
      </c>
      <c r="T161" s="7">
        <v>625679.93600000022</v>
      </c>
      <c r="U161" s="7">
        <v>566774.86899999995</v>
      </c>
      <c r="V161" s="7">
        <v>356500.4099999998</v>
      </c>
      <c r="W161" s="7">
        <v>189014.674</v>
      </c>
      <c r="X161" s="7">
        <v>75515.257999999987</v>
      </c>
      <c r="Y161" s="7">
        <v>4391564.0120000001</v>
      </c>
      <c r="Z161" s="8">
        <v>3.5327201550105689E-4</v>
      </c>
      <c r="AA161" s="8">
        <v>1.049511218224537E-4</v>
      </c>
      <c r="AB161" s="8">
        <v>1.0212966212803842E-4</v>
      </c>
      <c r="AC161" s="8">
        <v>6.5388839150171284E-5</v>
      </c>
      <c r="AD161" s="8">
        <v>9.7198598716431657E-5</v>
      </c>
      <c r="AE161" s="8">
        <v>1.0868176536829203E-4</v>
      </c>
      <c r="AF161" s="8">
        <v>1.5702883961144721E-4</v>
      </c>
      <c r="AG161" s="8">
        <v>4.5161238383989541E-4</v>
      </c>
      <c r="AH161" s="8">
        <v>1.3596827937284912E-3</v>
      </c>
      <c r="AI161" s="8">
        <v>4.9526414913394065E-3</v>
      </c>
      <c r="AJ161" s="8">
        <v>2.8691372744585645E-4</v>
      </c>
    </row>
    <row r="162" spans="1:36" x14ac:dyDescent="0.2">
      <c r="A162" t="s">
        <v>188</v>
      </c>
      <c r="B162">
        <v>2015</v>
      </c>
      <c r="C162" t="s">
        <v>195</v>
      </c>
      <c r="D162" s="7">
        <v>121</v>
      </c>
      <c r="E162" s="7">
        <v>38</v>
      </c>
      <c r="F162" s="7">
        <v>54</v>
      </c>
      <c r="G162" s="7">
        <v>60</v>
      </c>
      <c r="H162" s="7">
        <v>74</v>
      </c>
      <c r="I162" s="7">
        <v>41</v>
      </c>
      <c r="J162" s="7">
        <v>76</v>
      </c>
      <c r="K162" s="7">
        <v>162</v>
      </c>
      <c r="L162" s="7">
        <v>234</v>
      </c>
      <c r="M162" s="7">
        <v>390</v>
      </c>
      <c r="N162" s="7">
        <v>1250</v>
      </c>
      <c r="O162" s="7">
        <v>300143.91800000012</v>
      </c>
      <c r="P162" s="7">
        <v>620188.94399999978</v>
      </c>
      <c r="Q162" s="7">
        <v>651341.0499999997</v>
      </c>
      <c r="R162" s="7">
        <v>603993.30000000016</v>
      </c>
      <c r="S162" s="7">
        <v>605706.5360000002</v>
      </c>
      <c r="T162" s="7">
        <v>669337.23099999991</v>
      </c>
      <c r="U162" s="7">
        <v>625321.6549999998</v>
      </c>
      <c r="V162" s="7">
        <v>407760.81000000023</v>
      </c>
      <c r="W162" s="7">
        <v>209375.111</v>
      </c>
      <c r="X162" s="7">
        <v>84151.072000000015</v>
      </c>
      <c r="Y162" s="7">
        <v>4777319.6269999994</v>
      </c>
      <c r="Z162" s="8">
        <v>4.0313993635546517E-4</v>
      </c>
      <c r="AA162" s="8">
        <v>6.1271650144089013E-5</v>
      </c>
      <c r="AB162" s="8">
        <v>8.2905875501014452E-5</v>
      </c>
      <c r="AC162" s="8">
        <v>9.9338850281948464E-5</v>
      </c>
      <c r="AD162" s="8">
        <v>1.2217137442281122E-4</v>
      </c>
      <c r="AE162" s="8">
        <v>6.1254623381319133E-5</v>
      </c>
      <c r="AF162" s="8">
        <v>1.2153745099392092E-4</v>
      </c>
      <c r="AG162" s="8">
        <v>3.9729173580952987E-4</v>
      </c>
      <c r="AH162" s="8">
        <v>1.1176113477976855E-3</v>
      </c>
      <c r="AI162" s="8">
        <v>4.63452206526852E-3</v>
      </c>
      <c r="AJ162" s="8">
        <v>2.6165299741205699E-4</v>
      </c>
    </row>
    <row r="163" spans="1:36" x14ac:dyDescent="0.2">
      <c r="A163" t="s">
        <v>188</v>
      </c>
      <c r="B163">
        <v>2016</v>
      </c>
      <c r="C163" t="s">
        <v>196</v>
      </c>
      <c r="D163" s="7">
        <v>117</v>
      </c>
      <c r="E163" s="7">
        <v>63</v>
      </c>
      <c r="F163" s="7">
        <v>62</v>
      </c>
      <c r="G163" s="7">
        <v>41</v>
      </c>
      <c r="H163" s="7">
        <v>59</v>
      </c>
      <c r="I163" s="7">
        <v>55</v>
      </c>
      <c r="J163" s="7">
        <v>91</v>
      </c>
      <c r="K163" s="7">
        <v>166</v>
      </c>
      <c r="L163" s="7">
        <v>222</v>
      </c>
      <c r="M163" s="7">
        <v>318</v>
      </c>
      <c r="N163" s="7">
        <v>1194</v>
      </c>
      <c r="O163" s="7">
        <v>282408.43000000005</v>
      </c>
      <c r="P163" s="7">
        <v>585779.09600000025</v>
      </c>
      <c r="Q163" s="7">
        <v>630362.98499999975</v>
      </c>
      <c r="R163" s="7">
        <v>586383.51899999985</v>
      </c>
      <c r="S163" s="7">
        <v>574373.86500000022</v>
      </c>
      <c r="T163" s="7">
        <v>627713.48899999994</v>
      </c>
      <c r="U163" s="7">
        <v>598034.94200000004</v>
      </c>
      <c r="V163" s="7">
        <v>401652.02900000004</v>
      </c>
      <c r="W163" s="7">
        <v>203674.41899999994</v>
      </c>
      <c r="X163" s="7">
        <v>81929.037000000026</v>
      </c>
      <c r="Y163" s="7">
        <v>4572311.8110000007</v>
      </c>
      <c r="Z163" s="8">
        <v>4.1429358181694498E-4</v>
      </c>
      <c r="AA163" s="8">
        <v>1.0754907512097354E-4</v>
      </c>
      <c r="AB163" s="8">
        <v>9.8356028947353281E-5</v>
      </c>
      <c r="AC163" s="8">
        <v>6.9920109743057098E-5</v>
      </c>
      <c r="AD163" s="8">
        <v>1.0272055118663865E-4</v>
      </c>
      <c r="AE163" s="8">
        <v>8.7619592320087945E-5</v>
      </c>
      <c r="AF163" s="8">
        <v>1.5216502182242053E-4</v>
      </c>
      <c r="AG163" s="8">
        <v>4.1329306965856257E-4</v>
      </c>
      <c r="AH163" s="8">
        <v>1.0899748779938834E-3</v>
      </c>
      <c r="AI163" s="8">
        <v>3.8814077602303551E-3</v>
      </c>
      <c r="AJ163" s="8">
        <v>2.6113704606223317E-4</v>
      </c>
    </row>
    <row r="164" spans="1:36" x14ac:dyDescent="0.2">
      <c r="A164" t="s">
        <v>188</v>
      </c>
      <c r="B164">
        <v>2017</v>
      </c>
      <c r="C164" t="s">
        <v>197</v>
      </c>
      <c r="D164" s="7">
        <v>82</v>
      </c>
      <c r="E164" s="7">
        <v>36</v>
      </c>
      <c r="F164" s="7">
        <v>52</v>
      </c>
      <c r="G164" s="7">
        <v>40</v>
      </c>
      <c r="H164" s="7">
        <v>45</v>
      </c>
      <c r="I164" s="7">
        <v>41</v>
      </c>
      <c r="J164" s="7">
        <v>79</v>
      </c>
      <c r="K164" s="7">
        <v>145</v>
      </c>
      <c r="L164" s="7">
        <v>270</v>
      </c>
      <c r="M164" s="7">
        <v>328</v>
      </c>
      <c r="N164" s="7">
        <v>1118</v>
      </c>
      <c r="O164" s="7">
        <v>277003</v>
      </c>
      <c r="P164" s="7">
        <v>578395</v>
      </c>
      <c r="Q164" s="7">
        <v>606355</v>
      </c>
      <c r="R164" s="7">
        <v>578807</v>
      </c>
      <c r="S164" s="7">
        <v>562976</v>
      </c>
      <c r="T164" s="7">
        <v>609154</v>
      </c>
      <c r="U164" s="7">
        <v>594396</v>
      </c>
      <c r="V164" s="7">
        <v>408860</v>
      </c>
      <c r="W164" s="7">
        <v>204285</v>
      </c>
      <c r="X164" s="7">
        <v>81392</v>
      </c>
      <c r="Y164" s="7">
        <v>4501623</v>
      </c>
      <c r="Z164" s="8">
        <v>2.9602567481218616E-4</v>
      </c>
      <c r="AA164" s="8">
        <v>6.2241201946766482E-5</v>
      </c>
      <c r="AB164" s="8">
        <v>8.5758342884943638E-5</v>
      </c>
      <c r="AC164" s="8">
        <v>6.9107664558306999E-5</v>
      </c>
      <c r="AD164" s="8">
        <v>7.9932359461149316E-5</v>
      </c>
      <c r="AE164" s="8">
        <v>6.7306461091940626E-5</v>
      </c>
      <c r="AF164" s="8">
        <v>1.3290802764486976E-4</v>
      </c>
      <c r="AG164" s="8">
        <v>3.546446216308761E-4</v>
      </c>
      <c r="AH164" s="8">
        <v>1.321682942947353E-3</v>
      </c>
      <c r="AI164" s="8">
        <v>4.029880086494987E-3</v>
      </c>
      <c r="AJ164" s="8">
        <v>2.483548711209268E-4</v>
      </c>
    </row>
    <row r="165" spans="1:36" x14ac:dyDescent="0.2">
      <c r="A165" t="s">
        <v>198</v>
      </c>
      <c r="B165">
        <v>2009</v>
      </c>
      <c r="C165" t="s">
        <v>199</v>
      </c>
      <c r="D165" s="7">
        <v>103</v>
      </c>
      <c r="E165" s="7">
        <v>64</v>
      </c>
      <c r="F165" s="7">
        <v>63</v>
      </c>
      <c r="G165" s="7">
        <v>60</v>
      </c>
      <c r="H165" s="7">
        <v>62</v>
      </c>
      <c r="I165" s="7">
        <v>52</v>
      </c>
      <c r="J165" s="7">
        <v>45</v>
      </c>
      <c r="K165" s="7">
        <v>99</v>
      </c>
      <c r="L165" s="7">
        <v>243</v>
      </c>
      <c r="M165" s="7">
        <v>345</v>
      </c>
      <c r="N165" s="7">
        <v>1136</v>
      </c>
      <c r="O165" s="7">
        <v>311787.08799999999</v>
      </c>
      <c r="P165" s="7">
        <v>612616.33199999982</v>
      </c>
      <c r="Q165" s="7">
        <v>680955.34699999983</v>
      </c>
      <c r="R165" s="7">
        <v>587475.32799999998</v>
      </c>
      <c r="S165" s="7">
        <v>591230.99700000009</v>
      </c>
      <c r="T165" s="7">
        <v>638097.74800000002</v>
      </c>
      <c r="U165" s="7">
        <v>477651.12200000015</v>
      </c>
      <c r="V165" s="7">
        <v>288046.58800000005</v>
      </c>
      <c r="W165" s="7">
        <v>184258.13600000003</v>
      </c>
      <c r="X165" s="7">
        <v>66061.202000000005</v>
      </c>
      <c r="Y165" s="7">
        <v>4438179.8879999993</v>
      </c>
      <c r="Z165" s="8">
        <v>3.3035364184164036E-4</v>
      </c>
      <c r="AA165" s="8">
        <v>1.044699539613319E-4</v>
      </c>
      <c r="AB165" s="8">
        <v>9.2517079537669035E-5</v>
      </c>
      <c r="AC165" s="8">
        <v>1.0213194859478423E-4</v>
      </c>
      <c r="AD165" s="8">
        <v>1.0486594971271439E-4</v>
      </c>
      <c r="AE165" s="8">
        <v>8.1492216769271531E-5</v>
      </c>
      <c r="AF165" s="8">
        <v>9.4211021239891461E-5</v>
      </c>
      <c r="AG165" s="8">
        <v>3.4369440265683682E-4</v>
      </c>
      <c r="AH165" s="8">
        <v>1.3188020093723295E-3</v>
      </c>
      <c r="AI165" s="8">
        <v>5.2224299521525502E-3</v>
      </c>
      <c r="AJ165" s="8">
        <v>2.5596078317409568E-4</v>
      </c>
    </row>
    <row r="166" spans="1:36" x14ac:dyDescent="0.2">
      <c r="A166" t="s">
        <v>198</v>
      </c>
      <c r="B166">
        <v>2010</v>
      </c>
      <c r="C166" t="s">
        <v>200</v>
      </c>
      <c r="D166" s="7">
        <v>140</v>
      </c>
      <c r="E166" s="7">
        <v>62</v>
      </c>
      <c r="F166" s="7">
        <v>48</v>
      </c>
      <c r="G166" s="7">
        <v>60</v>
      </c>
      <c r="H166" s="7">
        <v>51</v>
      </c>
      <c r="I166" s="7">
        <v>43</v>
      </c>
      <c r="J166" s="7">
        <v>59</v>
      </c>
      <c r="K166" s="7">
        <v>143</v>
      </c>
      <c r="L166" s="7">
        <v>247</v>
      </c>
      <c r="M166" s="7">
        <v>338</v>
      </c>
      <c r="N166" s="7">
        <v>1191</v>
      </c>
      <c r="O166" s="7">
        <v>308414.14900000003</v>
      </c>
      <c r="P166" s="7">
        <v>614160.14</v>
      </c>
      <c r="Q166" s="7">
        <v>668465.34299999988</v>
      </c>
      <c r="R166" s="7">
        <v>596271.53299999982</v>
      </c>
      <c r="S166" s="7">
        <v>589867.83899999969</v>
      </c>
      <c r="T166" s="7">
        <v>656752.11300000013</v>
      </c>
      <c r="U166" s="7">
        <v>510176.82699999999</v>
      </c>
      <c r="V166" s="7">
        <v>302058.58199999982</v>
      </c>
      <c r="W166" s="7">
        <v>180695.00499999992</v>
      </c>
      <c r="X166" s="7">
        <v>64732.740999999995</v>
      </c>
      <c r="Y166" s="7">
        <v>4491594.2719999999</v>
      </c>
      <c r="Z166" s="8">
        <v>4.5393507546244248E-4</v>
      </c>
      <c r="AA166" s="8">
        <v>1.0095086926351162E-4</v>
      </c>
      <c r="AB166" s="8">
        <v>7.1806265654074473E-5</v>
      </c>
      <c r="AC166" s="8">
        <v>1.0062529683099933E-4</v>
      </c>
      <c r="AD166" s="8">
        <v>8.6460045162760652E-5</v>
      </c>
      <c r="AE166" s="8">
        <v>6.5473713976463429E-5</v>
      </c>
      <c r="AF166" s="8">
        <v>1.1564617771241891E-4</v>
      </c>
      <c r="AG166" s="8">
        <v>4.7341810006907892E-4</v>
      </c>
      <c r="AH166" s="8">
        <v>1.3669442605787588E-3</v>
      </c>
      <c r="AI166" s="8">
        <v>5.2214689935654052E-3</v>
      </c>
      <c r="AJ166" s="8">
        <v>2.6516197320504555E-4</v>
      </c>
    </row>
    <row r="167" spans="1:36" x14ac:dyDescent="0.2">
      <c r="A167" t="s">
        <v>198</v>
      </c>
      <c r="B167">
        <v>2011</v>
      </c>
      <c r="C167" t="s">
        <v>201</v>
      </c>
      <c r="D167" s="7">
        <v>96</v>
      </c>
      <c r="E167" s="7">
        <v>53</v>
      </c>
      <c r="F167" s="7">
        <v>48</v>
      </c>
      <c r="G167" s="7">
        <v>50</v>
      </c>
      <c r="H167" s="7">
        <v>45</v>
      </c>
      <c r="I167" s="7">
        <v>55</v>
      </c>
      <c r="J167" s="7">
        <v>69</v>
      </c>
      <c r="K167" s="7">
        <v>87</v>
      </c>
      <c r="L167" s="7">
        <v>242</v>
      </c>
      <c r="M167" s="7">
        <v>341</v>
      </c>
      <c r="N167" s="7">
        <v>1086</v>
      </c>
      <c r="O167" s="7">
        <v>314528.50700000004</v>
      </c>
      <c r="P167" s="7">
        <v>617509.75699999998</v>
      </c>
      <c r="Q167" s="7">
        <v>672288.32199999993</v>
      </c>
      <c r="R167" s="7">
        <v>612941.64599999972</v>
      </c>
      <c r="S167" s="7">
        <v>578993.21299999999</v>
      </c>
      <c r="T167" s="7">
        <v>657513.40300000017</v>
      </c>
      <c r="U167" s="7">
        <v>527206.91200000001</v>
      </c>
      <c r="V167" s="7">
        <v>309800.55700000003</v>
      </c>
      <c r="W167" s="7">
        <v>181977.31500000009</v>
      </c>
      <c r="X167" s="7">
        <v>67099.348999999987</v>
      </c>
      <c r="Y167" s="7">
        <v>4539858.9810000006</v>
      </c>
      <c r="Z167" s="8">
        <v>3.0521875716658009E-4</v>
      </c>
      <c r="AA167" s="8">
        <v>8.5828603352740225E-5</v>
      </c>
      <c r="AB167" s="8">
        <v>7.1397938100730541E-5</v>
      </c>
      <c r="AC167" s="8">
        <v>8.1573833865418284E-5</v>
      </c>
      <c r="AD167" s="8">
        <v>7.7721118295733801E-5</v>
      </c>
      <c r="AE167" s="8">
        <v>8.3648484957195599E-5</v>
      </c>
      <c r="AF167" s="8">
        <v>1.3087840547887201E-4</v>
      </c>
      <c r="AG167" s="8">
        <v>2.8082583466755996E-4</v>
      </c>
      <c r="AH167" s="8">
        <v>1.3298360842394002E-3</v>
      </c>
      <c r="AI167" s="8">
        <v>5.082016518520918E-3</v>
      </c>
      <c r="AJ167" s="8">
        <v>2.3921447880761825E-4</v>
      </c>
    </row>
    <row r="168" spans="1:36" x14ac:dyDescent="0.2">
      <c r="A168" t="s">
        <v>198</v>
      </c>
      <c r="B168">
        <v>2012</v>
      </c>
      <c r="C168" t="s">
        <v>202</v>
      </c>
      <c r="D168" s="7">
        <v>110</v>
      </c>
      <c r="E168" s="7">
        <v>67</v>
      </c>
      <c r="F168" s="7">
        <v>68</v>
      </c>
      <c r="G168" s="7">
        <v>62</v>
      </c>
      <c r="H168" s="7">
        <v>52</v>
      </c>
      <c r="I168" s="7">
        <v>59</v>
      </c>
      <c r="J168" s="7">
        <v>70</v>
      </c>
      <c r="K168" s="7">
        <v>100</v>
      </c>
      <c r="L168" s="7">
        <v>218</v>
      </c>
      <c r="M168" s="7">
        <v>313</v>
      </c>
      <c r="N168" s="7">
        <v>1119</v>
      </c>
      <c r="O168" s="7">
        <v>323423.25800000009</v>
      </c>
      <c r="P168" s="7">
        <v>640213.15400000021</v>
      </c>
      <c r="Q168" s="7">
        <v>688322.73199999996</v>
      </c>
      <c r="R168" s="7">
        <v>643724.83600000001</v>
      </c>
      <c r="S168" s="7">
        <v>595996.82099999976</v>
      </c>
      <c r="T168" s="7">
        <v>678075.04100000032</v>
      </c>
      <c r="U168" s="7">
        <v>562831.01399999985</v>
      </c>
      <c r="V168" s="7">
        <v>330837.16600000008</v>
      </c>
      <c r="W168" s="7">
        <v>188348.26800000001</v>
      </c>
      <c r="X168" s="7">
        <v>70663.903000000006</v>
      </c>
      <c r="Y168" s="7">
        <v>4722436.193</v>
      </c>
      <c r="Z168" s="8">
        <v>3.4011159457184113E-4</v>
      </c>
      <c r="AA168" s="8">
        <v>1.0465264510950672E-4</v>
      </c>
      <c r="AB168" s="8">
        <v>9.8790867769858867E-5</v>
      </c>
      <c r="AC168" s="8">
        <v>9.6314444515233839E-5</v>
      </c>
      <c r="AD168" s="8">
        <v>8.7248787523314697E-5</v>
      </c>
      <c r="AE168" s="8">
        <v>8.701101859314708E-5</v>
      </c>
      <c r="AF168" s="8">
        <v>1.2437125577447305E-4</v>
      </c>
      <c r="AG168" s="8">
        <v>3.022635008304961E-4</v>
      </c>
      <c r="AH168" s="8">
        <v>1.157430340692063E-3</v>
      </c>
      <c r="AI168" s="8">
        <v>4.4294185108909138E-3</v>
      </c>
      <c r="AJ168" s="8">
        <v>2.3695396915233662E-4</v>
      </c>
    </row>
    <row r="169" spans="1:36" x14ac:dyDescent="0.2">
      <c r="A169" t="s">
        <v>198</v>
      </c>
      <c r="B169">
        <v>2013</v>
      </c>
      <c r="C169" t="s">
        <v>203</v>
      </c>
      <c r="D169" s="7">
        <v>133</v>
      </c>
      <c r="E169" s="7">
        <v>41</v>
      </c>
      <c r="F169" s="7">
        <v>74</v>
      </c>
      <c r="G169" s="7">
        <v>54</v>
      </c>
      <c r="H169" s="7">
        <v>59</v>
      </c>
      <c r="I169" s="7">
        <v>56</v>
      </c>
      <c r="J169" s="7">
        <v>114</v>
      </c>
      <c r="K169" s="7">
        <v>116</v>
      </c>
      <c r="L169" s="7">
        <v>193</v>
      </c>
      <c r="M169" s="7">
        <v>344</v>
      </c>
      <c r="N169" s="7">
        <v>1184</v>
      </c>
      <c r="O169" s="7">
        <v>304855.06699999992</v>
      </c>
      <c r="P169" s="7">
        <v>602321.21099999989</v>
      </c>
      <c r="Q169" s="7">
        <v>646775.96899999981</v>
      </c>
      <c r="R169" s="7">
        <v>625325.99300000002</v>
      </c>
      <c r="S169" s="7">
        <v>553248.03199999977</v>
      </c>
      <c r="T169" s="7">
        <v>627969.6179999999</v>
      </c>
      <c r="U169" s="7">
        <v>543455.56200000027</v>
      </c>
      <c r="V169" s="7">
        <v>321902.55899999995</v>
      </c>
      <c r="W169" s="7">
        <v>179778.56600000002</v>
      </c>
      <c r="X169" s="7">
        <v>67547.919000000009</v>
      </c>
      <c r="Y169" s="7">
        <v>4473180.4959999984</v>
      </c>
      <c r="Z169" s="8">
        <v>4.3627288635487906E-4</v>
      </c>
      <c r="AA169" s="8">
        <v>6.8069991976424032E-5</v>
      </c>
      <c r="AB169" s="8">
        <v>1.1441365101182357E-4</v>
      </c>
      <c r="AC169" s="8">
        <v>8.6354958220967478E-5</v>
      </c>
      <c r="AD169" s="8">
        <v>1.0664294599786308E-4</v>
      </c>
      <c r="AE169" s="8">
        <v>8.9176288780263904E-5</v>
      </c>
      <c r="AF169" s="8">
        <v>2.0976876118529805E-4</v>
      </c>
      <c r="AG169" s="8">
        <v>3.6035749563581451E-4</v>
      </c>
      <c r="AH169" s="8">
        <v>1.0735428827483248E-3</v>
      </c>
      <c r="AI169" s="8">
        <v>5.0926809455077359E-3</v>
      </c>
      <c r="AJ169" s="8">
        <v>2.64688626148387E-4</v>
      </c>
    </row>
    <row r="170" spans="1:36" x14ac:dyDescent="0.2">
      <c r="A170" t="s">
        <v>198</v>
      </c>
      <c r="B170">
        <v>2014</v>
      </c>
      <c r="C170" t="s">
        <v>204</v>
      </c>
      <c r="D170" s="7">
        <v>95</v>
      </c>
      <c r="E170" s="7">
        <v>61</v>
      </c>
      <c r="F170" s="7">
        <v>66</v>
      </c>
      <c r="G170" s="7">
        <v>56</v>
      </c>
      <c r="H170" s="7">
        <v>51</v>
      </c>
      <c r="I170" s="7">
        <v>89</v>
      </c>
      <c r="J170" s="7">
        <v>103</v>
      </c>
      <c r="K170" s="7">
        <v>133</v>
      </c>
      <c r="L170" s="7">
        <v>173</v>
      </c>
      <c r="M170" s="7">
        <v>292</v>
      </c>
      <c r="N170" s="7">
        <v>1119</v>
      </c>
      <c r="O170" s="7">
        <v>314598.27600000007</v>
      </c>
      <c r="P170" s="7">
        <v>631068.60700000008</v>
      </c>
      <c r="Q170" s="7">
        <v>671577.51700000011</v>
      </c>
      <c r="R170" s="7">
        <v>657621.42999999982</v>
      </c>
      <c r="S170" s="7">
        <v>579181.58899999992</v>
      </c>
      <c r="T170" s="7">
        <v>650460.17299999984</v>
      </c>
      <c r="U170" s="7">
        <v>586518.06299999973</v>
      </c>
      <c r="V170" s="7">
        <v>356156.15700000012</v>
      </c>
      <c r="W170" s="7">
        <v>193540.44900000005</v>
      </c>
      <c r="X170" s="7">
        <v>74512.044999999984</v>
      </c>
      <c r="Y170" s="7">
        <v>4715234.3059999989</v>
      </c>
      <c r="Z170" s="8">
        <v>3.0197241131734614E-4</v>
      </c>
      <c r="AA170" s="8">
        <v>9.6661439538221224E-5</v>
      </c>
      <c r="AB170" s="8">
        <v>9.8276071383134151E-5</v>
      </c>
      <c r="AC170" s="8">
        <v>8.5155375791205615E-5</v>
      </c>
      <c r="AD170" s="8">
        <v>8.8055285196574171E-5</v>
      </c>
      <c r="AE170" s="8">
        <v>1.3682620965019488E-4</v>
      </c>
      <c r="AF170" s="8">
        <v>1.7561266480551691E-4</v>
      </c>
      <c r="AG170" s="8">
        <v>3.7343170231927215E-4</v>
      </c>
      <c r="AH170" s="8">
        <v>8.9386999407033488E-4</v>
      </c>
      <c r="AI170" s="8">
        <v>3.9188294993111527E-3</v>
      </c>
      <c r="AJ170" s="8">
        <v>2.373158845099394E-4</v>
      </c>
    </row>
    <row r="171" spans="1:36" x14ac:dyDescent="0.2">
      <c r="A171" t="s">
        <v>198</v>
      </c>
      <c r="B171">
        <v>2015</v>
      </c>
      <c r="C171" t="s">
        <v>205</v>
      </c>
      <c r="D171" s="7">
        <v>95</v>
      </c>
      <c r="E171" s="7">
        <v>58</v>
      </c>
      <c r="F171" s="7">
        <v>78</v>
      </c>
      <c r="G171" s="7">
        <v>75</v>
      </c>
      <c r="H171" s="7">
        <v>38</v>
      </c>
      <c r="I171" s="7">
        <v>30</v>
      </c>
      <c r="J171" s="7">
        <v>55</v>
      </c>
      <c r="K171" s="7">
        <v>97</v>
      </c>
      <c r="L171" s="7">
        <v>190</v>
      </c>
      <c r="M171" s="7">
        <v>291</v>
      </c>
      <c r="N171" s="7">
        <v>1007</v>
      </c>
      <c r="O171" s="7">
        <v>306051.16199999989</v>
      </c>
      <c r="P171" s="7">
        <v>611289.18400000001</v>
      </c>
      <c r="Q171" s="7">
        <v>645802.44899999967</v>
      </c>
      <c r="R171" s="7">
        <v>645142.49399999983</v>
      </c>
      <c r="S171" s="7">
        <v>556146.72</v>
      </c>
      <c r="T171" s="7">
        <v>614972.71799999988</v>
      </c>
      <c r="U171" s="7">
        <v>577402.14600000018</v>
      </c>
      <c r="V171" s="7">
        <v>354598.95699999994</v>
      </c>
      <c r="W171" s="7">
        <v>186712.745</v>
      </c>
      <c r="X171" s="7">
        <v>72344.498999999967</v>
      </c>
      <c r="Y171" s="7">
        <v>4570463.074</v>
      </c>
      <c r="Z171" s="8">
        <v>3.1040561773786057E-4</v>
      </c>
      <c r="AA171" s="8">
        <v>9.4881443215589435E-5</v>
      </c>
      <c r="AB171" s="8">
        <v>1.2077996935561333E-4</v>
      </c>
      <c r="AC171" s="8">
        <v>1.1625338696105177E-4</v>
      </c>
      <c r="AD171" s="8">
        <v>6.8327293200614407E-5</v>
      </c>
      <c r="AE171" s="8">
        <v>4.8782651850906994E-5</v>
      </c>
      <c r="AF171" s="8">
        <v>9.5254235511622052E-5</v>
      </c>
      <c r="AG171" s="8">
        <v>2.7354846393414526E-4</v>
      </c>
      <c r="AH171" s="8">
        <v>1.0176059486458732E-3</v>
      </c>
      <c r="AI171" s="8">
        <v>4.0224205575050027E-3</v>
      </c>
      <c r="AJ171" s="8">
        <v>2.2032778379252693E-4</v>
      </c>
    </row>
    <row r="172" spans="1:36" x14ac:dyDescent="0.2">
      <c r="A172" t="s">
        <v>198</v>
      </c>
      <c r="B172">
        <v>2016</v>
      </c>
      <c r="C172" t="s">
        <v>206</v>
      </c>
      <c r="D172" s="7">
        <v>106</v>
      </c>
      <c r="E172" s="7">
        <v>66</v>
      </c>
      <c r="F172" s="7">
        <v>71</v>
      </c>
      <c r="G172" s="7">
        <v>44</v>
      </c>
      <c r="H172" s="7">
        <v>59</v>
      </c>
      <c r="I172" s="7">
        <v>44</v>
      </c>
      <c r="J172" s="7">
        <v>50</v>
      </c>
      <c r="K172" s="7">
        <v>98</v>
      </c>
      <c r="L172" s="7">
        <v>180</v>
      </c>
      <c r="M172" s="7">
        <v>253</v>
      </c>
      <c r="N172" s="7">
        <v>971</v>
      </c>
      <c r="O172" s="7">
        <v>322616.96299999999</v>
      </c>
      <c r="P172" s="7">
        <v>652008.51100000017</v>
      </c>
      <c r="Q172" s="7">
        <v>677643.07499999972</v>
      </c>
      <c r="R172" s="7">
        <v>694441.07999999984</v>
      </c>
      <c r="S172" s="7">
        <v>599295.41099999996</v>
      </c>
      <c r="T172" s="7">
        <v>649184.45599999989</v>
      </c>
      <c r="U172" s="7">
        <v>641557.14999999991</v>
      </c>
      <c r="V172" s="7">
        <v>421503.93599999987</v>
      </c>
      <c r="W172" s="7">
        <v>213074.03399999996</v>
      </c>
      <c r="X172" s="7">
        <v>83537.672999999995</v>
      </c>
      <c r="Y172" s="7">
        <v>4954862.2889999999</v>
      </c>
      <c r="Z172" s="8">
        <v>3.2856300863510395E-4</v>
      </c>
      <c r="AA172" s="8">
        <v>1.0122567249739472E-4</v>
      </c>
      <c r="AB172" s="8">
        <v>1.0477492151749656E-4</v>
      </c>
      <c r="AC172" s="8">
        <v>6.3360306968015219E-5</v>
      </c>
      <c r="AD172" s="8">
        <v>9.8448943404307165E-5</v>
      </c>
      <c r="AE172" s="8">
        <v>6.7777346782314221E-5</v>
      </c>
      <c r="AF172" s="8">
        <v>7.7935379568289443E-5</v>
      </c>
      <c r="AG172" s="8">
        <v>2.3250079448842924E-4</v>
      </c>
      <c r="AH172" s="8">
        <v>8.4477679715774302E-4</v>
      </c>
      <c r="AI172" s="8">
        <v>3.0285737070985929E-3</v>
      </c>
      <c r="AJ172" s="8">
        <v>1.9596911949614832E-4</v>
      </c>
    </row>
    <row r="173" spans="1:36" x14ac:dyDescent="0.2">
      <c r="A173" t="s">
        <v>198</v>
      </c>
      <c r="B173">
        <v>2017</v>
      </c>
      <c r="C173" t="s">
        <v>207</v>
      </c>
      <c r="D173" s="7">
        <v>120</v>
      </c>
      <c r="E173" s="7">
        <v>53</v>
      </c>
      <c r="F173" s="7">
        <v>66</v>
      </c>
      <c r="G173" s="7">
        <v>62</v>
      </c>
      <c r="H173" s="7">
        <v>48</v>
      </c>
      <c r="I173" s="7">
        <v>44</v>
      </c>
      <c r="J173" s="7">
        <v>94</v>
      </c>
      <c r="K173" s="7">
        <v>136</v>
      </c>
      <c r="L173" s="7">
        <v>185</v>
      </c>
      <c r="M173" s="7">
        <v>269</v>
      </c>
      <c r="N173" s="7">
        <v>1077</v>
      </c>
      <c r="O173" s="7">
        <v>295918</v>
      </c>
      <c r="P173" s="7">
        <v>586095</v>
      </c>
      <c r="Q173" s="7">
        <v>618373</v>
      </c>
      <c r="R173" s="7">
        <v>640936</v>
      </c>
      <c r="S173" s="7">
        <v>543239</v>
      </c>
      <c r="T173" s="7">
        <v>569889</v>
      </c>
      <c r="U173" s="7">
        <v>564752</v>
      </c>
      <c r="V173" s="7">
        <v>370525</v>
      </c>
      <c r="W173" s="7">
        <v>183095</v>
      </c>
      <c r="X173" s="7">
        <v>71512</v>
      </c>
      <c r="Y173" s="7">
        <v>4444334</v>
      </c>
      <c r="Z173" s="8">
        <v>4.0551774478064871E-4</v>
      </c>
      <c r="AA173" s="8">
        <v>9.0429026011141535E-5</v>
      </c>
      <c r="AB173" s="8">
        <v>1.0673169753530636E-4</v>
      </c>
      <c r="AC173" s="8">
        <v>9.6733527216445953E-5</v>
      </c>
      <c r="AD173" s="8">
        <v>8.8358899121749354E-5</v>
      </c>
      <c r="AE173" s="8">
        <v>7.7208017701692783E-5</v>
      </c>
      <c r="AF173" s="8">
        <v>1.6644474034620507E-4</v>
      </c>
      <c r="AG173" s="8">
        <v>3.6704675797854397E-4</v>
      </c>
      <c r="AH173" s="8">
        <v>1.0104044348562221E-3</v>
      </c>
      <c r="AI173" s="8">
        <v>3.7616064436737889E-3</v>
      </c>
      <c r="AJ173" s="8">
        <v>2.4233102192589486E-4</v>
      </c>
    </row>
    <row r="174" spans="1:36" x14ac:dyDescent="0.2">
      <c r="A174" t="s">
        <v>208</v>
      </c>
      <c r="B174">
        <v>2009</v>
      </c>
      <c r="C174" t="s">
        <v>209</v>
      </c>
      <c r="D174" s="7">
        <v>126</v>
      </c>
      <c r="E174" s="7">
        <v>54</v>
      </c>
      <c r="F174" s="7">
        <v>52</v>
      </c>
      <c r="G174" s="7">
        <v>57</v>
      </c>
      <c r="H174" s="7">
        <v>54</v>
      </c>
      <c r="I174" s="7">
        <v>69</v>
      </c>
      <c r="J174" s="7">
        <v>47</v>
      </c>
      <c r="K174" s="7">
        <v>66</v>
      </c>
      <c r="L174" s="7">
        <v>66</v>
      </c>
      <c r="M174" s="7">
        <v>111</v>
      </c>
      <c r="N174" s="7">
        <v>702</v>
      </c>
      <c r="O174" s="7">
        <v>70908.907999999996</v>
      </c>
      <c r="P174" s="7">
        <v>154170.177</v>
      </c>
      <c r="Q174" s="7">
        <v>173479.87500000003</v>
      </c>
      <c r="R174" s="7">
        <v>147387.47699999998</v>
      </c>
      <c r="S174" s="7">
        <v>184908.92799999996</v>
      </c>
      <c r="T174" s="7">
        <v>216653.70199999999</v>
      </c>
      <c r="U174" s="7">
        <v>171821.56100000002</v>
      </c>
      <c r="V174" s="7">
        <v>101939.62000000001</v>
      </c>
      <c r="W174" s="7">
        <v>68907.930999999997</v>
      </c>
      <c r="X174" s="7">
        <v>26937.315999999992</v>
      </c>
      <c r="Y174" s="7">
        <v>1317115.4950000001</v>
      </c>
      <c r="Z174" s="8">
        <v>1.776927660485196E-3</v>
      </c>
      <c r="AA174" s="8">
        <v>3.5026229489248104E-4</v>
      </c>
      <c r="AB174" s="8">
        <v>2.9974658443810841E-4</v>
      </c>
      <c r="AC174" s="8">
        <v>3.867357061821474E-4</v>
      </c>
      <c r="AD174" s="8">
        <v>2.920356555201056E-4</v>
      </c>
      <c r="AE174" s="8">
        <v>3.1848059536042453E-4</v>
      </c>
      <c r="AF174" s="8">
        <v>2.7353959378823239E-4</v>
      </c>
      <c r="AG174" s="8">
        <v>6.4744208385316717E-4</v>
      </c>
      <c r="AH174" s="8">
        <v>9.5779976328123971E-4</v>
      </c>
      <c r="AI174" s="8">
        <v>4.120677798782924E-3</v>
      </c>
      <c r="AJ174" s="8">
        <v>5.329828725460404E-4</v>
      </c>
    </row>
    <row r="175" spans="1:36" x14ac:dyDescent="0.2">
      <c r="A175" t="s">
        <v>208</v>
      </c>
      <c r="B175">
        <v>2010</v>
      </c>
      <c r="C175" t="s">
        <v>210</v>
      </c>
      <c r="D175" s="7">
        <v>112</v>
      </c>
      <c r="E175" s="7">
        <v>50</v>
      </c>
      <c r="F175" s="7">
        <v>51</v>
      </c>
      <c r="G175" s="7">
        <v>50</v>
      </c>
      <c r="H175" s="7">
        <v>39</v>
      </c>
      <c r="I175" s="7">
        <v>53</v>
      </c>
      <c r="J175" s="7">
        <v>54</v>
      </c>
      <c r="K175" s="7">
        <v>30</v>
      </c>
      <c r="L175" s="7">
        <v>68</v>
      </c>
      <c r="M175" s="7">
        <v>122</v>
      </c>
      <c r="N175" s="7">
        <v>629</v>
      </c>
      <c r="O175" s="7">
        <v>69854.609000000011</v>
      </c>
      <c r="P175" s="7">
        <v>156391.02499999999</v>
      </c>
      <c r="Q175" s="7">
        <v>171735.96099999998</v>
      </c>
      <c r="R175" s="7">
        <v>144232.56400000001</v>
      </c>
      <c r="S175" s="7">
        <v>182626.19399999999</v>
      </c>
      <c r="T175" s="7">
        <v>218987.40700000001</v>
      </c>
      <c r="U175" s="7">
        <v>180791.66800000001</v>
      </c>
      <c r="V175" s="7">
        <v>106281.59299999999</v>
      </c>
      <c r="W175" s="7">
        <v>69812.343999999997</v>
      </c>
      <c r="X175" s="7">
        <v>27321.834999999999</v>
      </c>
      <c r="Y175" s="7">
        <v>1328035.2000000002</v>
      </c>
      <c r="Z175" s="8">
        <v>1.6033301396046749E-3</v>
      </c>
      <c r="AA175" s="8">
        <v>3.1971144124159299E-4</v>
      </c>
      <c r="AB175" s="8">
        <v>2.9696750583298046E-4</v>
      </c>
      <c r="AC175" s="8">
        <v>3.4666235289279053E-4</v>
      </c>
      <c r="AD175" s="8">
        <v>2.1355096520272443E-4</v>
      </c>
      <c r="AE175" s="8">
        <v>2.4202304929798999E-4</v>
      </c>
      <c r="AF175" s="8">
        <v>2.9868633105370761E-4</v>
      </c>
      <c r="AG175" s="8">
        <v>2.8226900964873573E-4</v>
      </c>
      <c r="AH175" s="8">
        <v>9.7403977726345933E-4</v>
      </c>
      <c r="AI175" s="8">
        <v>4.465293052241916E-3</v>
      </c>
      <c r="AJ175" s="8">
        <v>4.7363202421140635E-4</v>
      </c>
    </row>
    <row r="176" spans="1:36" x14ac:dyDescent="0.2">
      <c r="A176" t="s">
        <v>208</v>
      </c>
      <c r="B176">
        <v>2011</v>
      </c>
      <c r="C176" t="s">
        <v>211</v>
      </c>
      <c r="D176" s="7">
        <v>120</v>
      </c>
      <c r="E176" s="7">
        <v>62</v>
      </c>
      <c r="F176" s="7">
        <v>70</v>
      </c>
      <c r="G176" s="7">
        <v>58</v>
      </c>
      <c r="H176" s="7">
        <v>56</v>
      </c>
      <c r="I176" s="7">
        <v>53</v>
      </c>
      <c r="J176" s="7">
        <v>48</v>
      </c>
      <c r="K176" s="7">
        <v>59</v>
      </c>
      <c r="L176" s="7">
        <v>74</v>
      </c>
      <c r="M176" s="7">
        <v>140</v>
      </c>
      <c r="N176" s="7">
        <v>740</v>
      </c>
      <c r="O176" s="7">
        <v>75157.97</v>
      </c>
      <c r="P176" s="7">
        <v>166886.80699999997</v>
      </c>
      <c r="Q176" s="7">
        <v>181159.72999999995</v>
      </c>
      <c r="R176" s="7">
        <v>155798.01399999997</v>
      </c>
      <c r="S176" s="7">
        <v>188515.22200000001</v>
      </c>
      <c r="T176" s="7">
        <v>232141.93000000008</v>
      </c>
      <c r="U176" s="7">
        <v>198767.24100000004</v>
      </c>
      <c r="V176" s="7">
        <v>117381.60599999999</v>
      </c>
      <c r="W176" s="7">
        <v>73424.723999999987</v>
      </c>
      <c r="X176" s="7">
        <v>29012.755000000005</v>
      </c>
      <c r="Y176" s="7">
        <v>1418245.9989999998</v>
      </c>
      <c r="Z176" s="8">
        <v>1.596637056588942E-3</v>
      </c>
      <c r="AA176" s="8">
        <v>3.7150929491987949E-4</v>
      </c>
      <c r="AB176" s="8">
        <v>3.8639933941168945E-4</v>
      </c>
      <c r="AC176" s="8">
        <v>3.7227688922915287E-4</v>
      </c>
      <c r="AD176" s="8">
        <v>2.9705823967891566E-4</v>
      </c>
      <c r="AE176" s="8">
        <v>2.2830860413713275E-4</v>
      </c>
      <c r="AF176" s="8">
        <v>2.4148848551960324E-4</v>
      </c>
      <c r="AG176" s="8">
        <v>5.0263411798949151E-4</v>
      </c>
      <c r="AH176" s="8">
        <v>1.0078349085792956E-3</v>
      </c>
      <c r="AI176" s="8">
        <v>4.8254638347857686E-3</v>
      </c>
      <c r="AJ176" s="8">
        <v>5.2177125866864518E-4</v>
      </c>
    </row>
    <row r="177" spans="1:36" x14ac:dyDescent="0.2">
      <c r="A177" t="s">
        <v>208</v>
      </c>
      <c r="B177">
        <v>2012</v>
      </c>
      <c r="C177" t="s">
        <v>212</v>
      </c>
      <c r="D177" s="7">
        <v>99</v>
      </c>
      <c r="E177" s="7">
        <v>55</v>
      </c>
      <c r="F177" s="7">
        <v>53</v>
      </c>
      <c r="G177" s="7">
        <v>68</v>
      </c>
      <c r="H177" s="7">
        <v>45</v>
      </c>
      <c r="I177" s="7">
        <v>72</v>
      </c>
      <c r="J177" s="7">
        <v>50</v>
      </c>
      <c r="K177" s="7">
        <v>49</v>
      </c>
      <c r="L177" s="7">
        <v>55</v>
      </c>
      <c r="M177" s="7">
        <v>80</v>
      </c>
      <c r="N177" s="7">
        <v>626</v>
      </c>
      <c r="O177" s="7">
        <v>67997.368999999992</v>
      </c>
      <c r="P177" s="7">
        <v>151752.61799999999</v>
      </c>
      <c r="Q177" s="7">
        <v>166605.57200000001</v>
      </c>
      <c r="R177" s="7">
        <v>143640.47100000002</v>
      </c>
      <c r="S177" s="7">
        <v>169248.83500000002</v>
      </c>
      <c r="T177" s="7">
        <v>213957.14499999999</v>
      </c>
      <c r="U177" s="7">
        <v>189178.64600000001</v>
      </c>
      <c r="V177" s="7">
        <v>112263.77100000001</v>
      </c>
      <c r="W177" s="7">
        <v>69188.300000000017</v>
      </c>
      <c r="X177" s="7">
        <v>28274.793000000005</v>
      </c>
      <c r="Y177" s="7">
        <v>1312107.52</v>
      </c>
      <c r="Z177" s="8">
        <v>1.4559386849217653E-3</v>
      </c>
      <c r="AA177" s="8">
        <v>3.6243196806001727E-4</v>
      </c>
      <c r="AB177" s="8">
        <v>3.1811661136999664E-4</v>
      </c>
      <c r="AC177" s="8">
        <v>4.7340418425667786E-4</v>
      </c>
      <c r="AD177" s="8">
        <v>2.6588070753928673E-4</v>
      </c>
      <c r="AE177" s="8">
        <v>3.3651598781615826E-4</v>
      </c>
      <c r="AF177" s="8">
        <v>2.6430044329633272E-4</v>
      </c>
      <c r="AG177" s="8">
        <v>4.3647206541814809E-4</v>
      </c>
      <c r="AH177" s="8">
        <v>7.9493209111945208E-4</v>
      </c>
      <c r="AI177" s="8">
        <v>2.8293752672212307E-3</v>
      </c>
      <c r="AJ177" s="8">
        <v>4.770950478204713E-4</v>
      </c>
    </row>
    <row r="178" spans="1:36" x14ac:dyDescent="0.2">
      <c r="A178" t="s">
        <v>208</v>
      </c>
      <c r="B178">
        <v>2013</v>
      </c>
      <c r="C178" t="s">
        <v>213</v>
      </c>
      <c r="D178" s="7">
        <v>108</v>
      </c>
      <c r="E178" s="7">
        <v>51</v>
      </c>
      <c r="F178" s="7">
        <v>55</v>
      </c>
      <c r="G178" s="7">
        <v>58</v>
      </c>
      <c r="H178" s="7">
        <v>60</v>
      </c>
      <c r="I178" s="7">
        <v>53</v>
      </c>
      <c r="J178" s="7">
        <v>47</v>
      </c>
      <c r="K178" s="7">
        <v>57</v>
      </c>
      <c r="L178" s="7">
        <v>68</v>
      </c>
      <c r="M178" s="7">
        <v>122</v>
      </c>
      <c r="N178" s="7">
        <v>679</v>
      </c>
      <c r="O178" s="7">
        <v>67206.489000000001</v>
      </c>
      <c r="P178" s="7">
        <v>151387.834</v>
      </c>
      <c r="Q178" s="7">
        <v>166279.99900000001</v>
      </c>
      <c r="R178" s="7">
        <v>146565.72199999998</v>
      </c>
      <c r="S178" s="7">
        <v>166515.97600000002</v>
      </c>
      <c r="T178" s="7">
        <v>214111.89799999999</v>
      </c>
      <c r="U178" s="7">
        <v>197092.21400000001</v>
      </c>
      <c r="V178" s="7">
        <v>120085.683</v>
      </c>
      <c r="W178" s="7">
        <v>70659.911000000007</v>
      </c>
      <c r="X178" s="7">
        <v>29655.079000000002</v>
      </c>
      <c r="Y178" s="7">
        <v>1329560.8049999999</v>
      </c>
      <c r="Z178" s="8">
        <v>1.6069876823947759E-3</v>
      </c>
      <c r="AA178" s="8">
        <v>3.3688308137099046E-4</v>
      </c>
      <c r="AB178" s="8">
        <v>3.307673823115671E-4</v>
      </c>
      <c r="AC178" s="8">
        <v>3.9572690809656029E-4</v>
      </c>
      <c r="AD178" s="8">
        <v>3.6032578639781681E-4</v>
      </c>
      <c r="AE178" s="8">
        <v>2.4753411881856284E-4</v>
      </c>
      <c r="AF178" s="8">
        <v>2.3846705583204823E-4</v>
      </c>
      <c r="AG178" s="8">
        <v>4.7466108012226568E-4</v>
      </c>
      <c r="AH178" s="8">
        <v>9.6235615128357566E-4</v>
      </c>
      <c r="AI178" s="8">
        <v>4.1139664473664019E-3</v>
      </c>
      <c r="AJ178" s="8">
        <v>5.1069495840019147E-4</v>
      </c>
    </row>
    <row r="179" spans="1:36" x14ac:dyDescent="0.2">
      <c r="A179" t="s">
        <v>208</v>
      </c>
      <c r="B179">
        <v>2014</v>
      </c>
      <c r="C179" t="s">
        <v>214</v>
      </c>
      <c r="D179" s="7">
        <v>100</v>
      </c>
      <c r="E179" s="7">
        <v>63</v>
      </c>
      <c r="F179" s="7">
        <v>53</v>
      </c>
      <c r="G179" s="7">
        <v>61</v>
      </c>
      <c r="H179" s="7">
        <v>55</v>
      </c>
      <c r="I179" s="7">
        <v>52</v>
      </c>
      <c r="J179" s="7">
        <v>50</v>
      </c>
      <c r="K179" s="7">
        <v>54</v>
      </c>
      <c r="L179" s="7">
        <v>44</v>
      </c>
      <c r="M179" s="7">
        <v>102</v>
      </c>
      <c r="N179" s="7">
        <v>634</v>
      </c>
      <c r="O179" s="7">
        <v>66884.795999999988</v>
      </c>
      <c r="P179" s="7">
        <v>151765.29799999995</v>
      </c>
      <c r="Q179" s="7">
        <v>166033.07699999999</v>
      </c>
      <c r="R179" s="7">
        <v>150840.17700000003</v>
      </c>
      <c r="S179" s="7">
        <v>164227.603</v>
      </c>
      <c r="T179" s="7">
        <v>212276.18199999997</v>
      </c>
      <c r="U179" s="7">
        <v>203724.00399999996</v>
      </c>
      <c r="V179" s="7">
        <v>128155.88200000001</v>
      </c>
      <c r="W179" s="7">
        <v>72090.087</v>
      </c>
      <c r="X179" s="7">
        <v>30317.252999999997</v>
      </c>
      <c r="Y179" s="7">
        <v>1346314.3589999999</v>
      </c>
      <c r="Z179" s="8">
        <v>1.4951080960163207E-3</v>
      </c>
      <c r="AA179" s="8">
        <v>4.15114659479007E-4</v>
      </c>
      <c r="AB179" s="8">
        <v>3.1921350225895052E-4</v>
      </c>
      <c r="AC179" s="8">
        <v>4.0440154084412131E-4</v>
      </c>
      <c r="AD179" s="8">
        <v>3.349010701934193E-4</v>
      </c>
      <c r="AE179" s="8">
        <v>2.4496389331140321E-4</v>
      </c>
      <c r="AF179" s="8">
        <v>2.4543008687380799E-4</v>
      </c>
      <c r="AG179" s="8">
        <v>4.2136185368378174E-4</v>
      </c>
      <c r="AH179" s="8">
        <v>6.1034743930881926E-4</v>
      </c>
      <c r="AI179" s="8">
        <v>3.364420912409182E-3</v>
      </c>
      <c r="AJ179" s="8">
        <v>4.7091527752174856E-4</v>
      </c>
    </row>
    <row r="180" spans="1:36" x14ac:dyDescent="0.2">
      <c r="A180" t="s">
        <v>208</v>
      </c>
      <c r="B180">
        <v>2015</v>
      </c>
      <c r="C180" t="s">
        <v>215</v>
      </c>
      <c r="D180" s="7">
        <v>90</v>
      </c>
      <c r="E180" s="7">
        <v>63</v>
      </c>
      <c r="F180" s="7">
        <v>48</v>
      </c>
      <c r="G180" s="7">
        <v>56</v>
      </c>
      <c r="H180" s="7">
        <v>50</v>
      </c>
      <c r="I180" s="7">
        <v>53</v>
      </c>
      <c r="J180" s="7">
        <v>52</v>
      </c>
      <c r="K180" s="7">
        <v>52</v>
      </c>
      <c r="L180" s="7">
        <v>74</v>
      </c>
      <c r="M180" s="7">
        <v>168</v>
      </c>
      <c r="N180" s="7">
        <v>706</v>
      </c>
      <c r="O180" s="7">
        <v>66692.213000000003</v>
      </c>
      <c r="P180" s="7">
        <v>150209.45000000001</v>
      </c>
      <c r="Q180" s="7">
        <v>164312.24799999999</v>
      </c>
      <c r="R180" s="7">
        <v>151581.05799999999</v>
      </c>
      <c r="S180" s="7">
        <v>158881.65</v>
      </c>
      <c r="T180" s="7">
        <v>204441.85299999997</v>
      </c>
      <c r="U180" s="7">
        <v>202884.85899999997</v>
      </c>
      <c r="V180" s="7">
        <v>132451.45500000002</v>
      </c>
      <c r="W180" s="7">
        <v>71818.831000000006</v>
      </c>
      <c r="X180" s="7">
        <v>30593.990999999995</v>
      </c>
      <c r="Y180" s="7">
        <v>1333867.608</v>
      </c>
      <c r="Z180" s="8">
        <v>1.3494828849059184E-3</v>
      </c>
      <c r="AA180" s="8">
        <v>4.1941435775179255E-4</v>
      </c>
      <c r="AB180" s="8">
        <v>2.9212673178203978E-4</v>
      </c>
      <c r="AC180" s="8">
        <v>3.6943930025874343E-4</v>
      </c>
      <c r="AD180" s="8">
        <v>3.1469965222541435E-4</v>
      </c>
      <c r="AE180" s="8">
        <v>2.5924241647330405E-4</v>
      </c>
      <c r="AF180" s="8">
        <v>2.5630300977758032E-4</v>
      </c>
      <c r="AG180" s="8">
        <v>3.925966687191167E-4</v>
      </c>
      <c r="AH180" s="8">
        <v>1.0303704330692877E-3</v>
      </c>
      <c r="AI180" s="8">
        <v>5.4912744139854136E-3</v>
      </c>
      <c r="AJ180" s="8">
        <v>5.2928791115827137E-4</v>
      </c>
    </row>
    <row r="181" spans="1:36" x14ac:dyDescent="0.2">
      <c r="A181" t="s">
        <v>208</v>
      </c>
      <c r="B181">
        <v>2016</v>
      </c>
      <c r="C181" t="s">
        <v>216</v>
      </c>
      <c r="D181" s="7">
        <v>102</v>
      </c>
      <c r="E181" s="7">
        <v>49</v>
      </c>
      <c r="F181" s="7">
        <v>44</v>
      </c>
      <c r="G181" s="7">
        <v>73</v>
      </c>
      <c r="H181" s="7">
        <v>59</v>
      </c>
      <c r="I181" s="7">
        <v>35</v>
      </c>
      <c r="J181" s="7">
        <v>52</v>
      </c>
      <c r="K181" s="7">
        <v>59</v>
      </c>
      <c r="L181" s="7">
        <v>63</v>
      </c>
      <c r="M181" s="7">
        <v>105</v>
      </c>
      <c r="N181" s="7">
        <v>641</v>
      </c>
      <c r="O181" s="7">
        <v>67785.918000000005</v>
      </c>
      <c r="P181" s="7">
        <v>151215.06099999999</v>
      </c>
      <c r="Q181" s="7">
        <v>166781.99399999998</v>
      </c>
      <c r="R181" s="7">
        <v>157304.179</v>
      </c>
      <c r="S181" s="7">
        <v>159473.40499999997</v>
      </c>
      <c r="T181" s="7">
        <v>203665.42800000001</v>
      </c>
      <c r="U181" s="7">
        <v>208578.86200000002</v>
      </c>
      <c r="V181" s="7">
        <v>140637.20299999998</v>
      </c>
      <c r="W181" s="7">
        <v>71882.672999999995</v>
      </c>
      <c r="X181" s="7">
        <v>31384.695999999996</v>
      </c>
      <c r="Y181" s="7">
        <v>1358709.419</v>
      </c>
      <c r="Z181" s="8">
        <v>1.5047373113690073E-3</v>
      </c>
      <c r="AA181" s="8">
        <v>3.2404179633932099E-4</v>
      </c>
      <c r="AB181" s="8">
        <v>2.6381744782353429E-4</v>
      </c>
      <c r="AC181" s="8">
        <v>4.6406904421782716E-4</v>
      </c>
      <c r="AD181" s="8">
        <v>3.6996764444830165E-4</v>
      </c>
      <c r="AE181" s="8">
        <v>1.718504723344602E-4</v>
      </c>
      <c r="AF181" s="8">
        <v>2.4930618328908132E-4</v>
      </c>
      <c r="AG181" s="8">
        <v>4.1951915098880352E-4</v>
      </c>
      <c r="AH181" s="8">
        <v>8.7642817623100912E-4</v>
      </c>
      <c r="AI181" s="8">
        <v>3.3455796417464108E-3</v>
      </c>
      <c r="AJ181" s="8">
        <v>4.7177121983284052E-4</v>
      </c>
    </row>
    <row r="182" spans="1:36" x14ac:dyDescent="0.2">
      <c r="A182" t="s">
        <v>208</v>
      </c>
      <c r="B182">
        <v>2017</v>
      </c>
      <c r="C182" t="s">
        <v>217</v>
      </c>
      <c r="D182" s="7">
        <v>96</v>
      </c>
      <c r="E182" s="7">
        <v>55</v>
      </c>
      <c r="F182" s="7">
        <v>61</v>
      </c>
      <c r="G182" s="7">
        <v>73</v>
      </c>
      <c r="H182" s="7">
        <v>58</v>
      </c>
      <c r="I182" s="7">
        <v>53</v>
      </c>
      <c r="J182" s="7">
        <v>68</v>
      </c>
      <c r="K182" s="7">
        <v>54</v>
      </c>
      <c r="L182" s="7">
        <v>68</v>
      </c>
      <c r="M182" s="7">
        <v>148</v>
      </c>
      <c r="N182" s="7">
        <v>734</v>
      </c>
      <c r="O182" s="7">
        <v>67690</v>
      </c>
      <c r="P182" s="7">
        <v>150936</v>
      </c>
      <c r="Q182" s="7">
        <v>166189</v>
      </c>
      <c r="R182" s="7">
        <v>158937</v>
      </c>
      <c r="S182" s="7">
        <v>158271</v>
      </c>
      <c r="T182" s="7">
        <v>198553</v>
      </c>
      <c r="U182" s="7">
        <v>210140</v>
      </c>
      <c r="V182" s="7">
        <v>148510</v>
      </c>
      <c r="W182" s="7">
        <v>74485</v>
      </c>
      <c r="X182" s="7">
        <v>32183</v>
      </c>
      <c r="Y182" s="7">
        <v>1365894</v>
      </c>
      <c r="Z182" s="8">
        <v>1.4182301669375093E-3</v>
      </c>
      <c r="AA182" s="8">
        <v>3.6439285524990725E-4</v>
      </c>
      <c r="AB182" s="8">
        <v>3.6705197094873907E-4</v>
      </c>
      <c r="AC182" s="8">
        <v>4.5930148423589223E-4</v>
      </c>
      <c r="AD182" s="8">
        <v>3.6646005901270606E-4</v>
      </c>
      <c r="AE182" s="8">
        <v>2.6693124757621391E-4</v>
      </c>
      <c r="AF182" s="8">
        <v>3.2359379461311506E-4</v>
      </c>
      <c r="AG182" s="8">
        <v>3.6361187798801428E-4</v>
      </c>
      <c r="AH182" s="8">
        <v>9.1293549036718807E-4</v>
      </c>
      <c r="AI182" s="8">
        <v>4.5987011776403687E-3</v>
      </c>
      <c r="AJ182" s="8">
        <v>5.3737698532975474E-4</v>
      </c>
    </row>
    <row r="183" spans="1:36" x14ac:dyDescent="0.2">
      <c r="A183" t="s">
        <v>218</v>
      </c>
      <c r="B183">
        <v>2009</v>
      </c>
      <c r="C183" t="s">
        <v>219</v>
      </c>
      <c r="D183" s="7">
        <v>129</v>
      </c>
      <c r="E183" s="7">
        <v>70</v>
      </c>
      <c r="F183" s="7">
        <v>35</v>
      </c>
      <c r="G183" s="7">
        <v>51</v>
      </c>
      <c r="H183" s="7">
        <v>51</v>
      </c>
      <c r="I183" s="7">
        <v>70</v>
      </c>
      <c r="J183" s="7">
        <v>72</v>
      </c>
      <c r="K183" s="7">
        <v>67</v>
      </c>
      <c r="L183" s="7">
        <v>284</v>
      </c>
      <c r="M183" s="7">
        <v>398</v>
      </c>
      <c r="N183" s="7">
        <v>1227</v>
      </c>
      <c r="O183" s="7">
        <v>376457.23900000006</v>
      </c>
      <c r="P183" s="7">
        <v>744541.28700000001</v>
      </c>
      <c r="Q183" s="7">
        <v>777087.99100000015</v>
      </c>
      <c r="R183" s="7">
        <v>737196.44500000007</v>
      </c>
      <c r="S183" s="7">
        <v>845033.71900000004</v>
      </c>
      <c r="T183" s="7">
        <v>866535.84200000006</v>
      </c>
      <c r="U183" s="7">
        <v>626576.63299999991</v>
      </c>
      <c r="V183" s="7">
        <v>353991.511</v>
      </c>
      <c r="W183" s="7">
        <v>224763.68699999998</v>
      </c>
      <c r="X183" s="7">
        <v>84359.324999999997</v>
      </c>
      <c r="Y183" s="7">
        <v>5636543.6789999995</v>
      </c>
      <c r="Z183" s="8">
        <v>3.426684006466933E-4</v>
      </c>
      <c r="AA183" s="8">
        <v>9.4017620274696736E-5</v>
      </c>
      <c r="AB183" s="8">
        <v>4.5039944517685893E-5</v>
      </c>
      <c r="AC183" s="8">
        <v>6.9181017279593636E-5</v>
      </c>
      <c r="AD183" s="8">
        <v>6.0352621266229021E-5</v>
      </c>
      <c r="AE183" s="8">
        <v>8.078142484959093E-5</v>
      </c>
      <c r="AF183" s="8">
        <v>1.1491012624468556E-4</v>
      </c>
      <c r="AG183" s="8">
        <v>1.8927007546234631E-4</v>
      </c>
      <c r="AH183" s="8">
        <v>1.2635493027839504E-3</v>
      </c>
      <c r="AI183" s="8">
        <v>4.7179135205266285E-3</v>
      </c>
      <c r="AJ183" s="8">
        <v>2.1768659481366545E-4</v>
      </c>
    </row>
    <row r="184" spans="1:36" x14ac:dyDescent="0.2">
      <c r="A184" t="s">
        <v>218</v>
      </c>
      <c r="B184">
        <v>2010</v>
      </c>
      <c r="C184" t="s">
        <v>220</v>
      </c>
      <c r="D184" s="7">
        <v>129</v>
      </c>
      <c r="E184" s="7">
        <v>39</v>
      </c>
      <c r="F184" s="7">
        <v>58</v>
      </c>
      <c r="G184" s="7">
        <v>57</v>
      </c>
      <c r="H184" s="7">
        <v>51</v>
      </c>
      <c r="I184" s="7">
        <v>61</v>
      </c>
      <c r="J184" s="7">
        <v>47</v>
      </c>
      <c r="K184" s="7">
        <v>95</v>
      </c>
      <c r="L184" s="7">
        <v>252</v>
      </c>
      <c r="M184" s="7">
        <v>412</v>
      </c>
      <c r="N184" s="7">
        <v>1201</v>
      </c>
      <c r="O184" s="7">
        <v>368057.88799999998</v>
      </c>
      <c r="P184" s="7">
        <v>753275.81299999997</v>
      </c>
      <c r="Q184" s="7">
        <v>798622.62800000014</v>
      </c>
      <c r="R184" s="7">
        <v>745943.17699999991</v>
      </c>
      <c r="S184" s="7">
        <v>836776.6</v>
      </c>
      <c r="T184" s="7">
        <v>886046.40099999995</v>
      </c>
      <c r="U184" s="7">
        <v>659570.10400000005</v>
      </c>
      <c r="V184" s="7">
        <v>365058.89799999999</v>
      </c>
      <c r="W184" s="7">
        <v>225907.45400000003</v>
      </c>
      <c r="X184" s="7">
        <v>89745.956000000006</v>
      </c>
      <c r="Y184" s="7">
        <v>5729004.9190000007</v>
      </c>
      <c r="Z184" s="8">
        <v>3.5048834492035127E-4</v>
      </c>
      <c r="AA184" s="8">
        <v>5.1773864668080084E-5</v>
      </c>
      <c r="AB184" s="8">
        <v>7.2625039620089493E-5</v>
      </c>
      <c r="AC184" s="8">
        <v>7.6413327123977444E-5</v>
      </c>
      <c r="AD184" s="8">
        <v>6.0948167049604401E-5</v>
      </c>
      <c r="AE184" s="8">
        <v>6.884515295266122E-5</v>
      </c>
      <c r="AF184" s="8">
        <v>7.1258535999381802E-5</v>
      </c>
      <c r="AG184" s="8">
        <v>2.602319804296347E-4</v>
      </c>
      <c r="AH184" s="8">
        <v>1.1155010405278613E-3</v>
      </c>
      <c r="AI184" s="8">
        <v>4.5907360995742245E-3</v>
      </c>
      <c r="AJ184" s="8">
        <v>2.0963500939175924E-4</v>
      </c>
    </row>
    <row r="185" spans="1:36" x14ac:dyDescent="0.2">
      <c r="A185" t="s">
        <v>218</v>
      </c>
      <c r="B185">
        <v>2011</v>
      </c>
      <c r="C185" t="s">
        <v>221</v>
      </c>
      <c r="D185" s="7">
        <v>92</v>
      </c>
      <c r="E185" s="7">
        <v>65</v>
      </c>
      <c r="F185" s="7">
        <v>66</v>
      </c>
      <c r="G185" s="7">
        <v>60</v>
      </c>
      <c r="H185" s="7">
        <v>47</v>
      </c>
      <c r="I185" s="7">
        <v>62</v>
      </c>
      <c r="J185" s="7">
        <v>78</v>
      </c>
      <c r="K185" s="7">
        <v>127</v>
      </c>
      <c r="L185" s="7">
        <v>279</v>
      </c>
      <c r="M185" s="7">
        <v>457</v>
      </c>
      <c r="N185" s="7">
        <v>1333</v>
      </c>
      <c r="O185" s="7">
        <v>365922.91499999992</v>
      </c>
      <c r="P185" s="7">
        <v>746480.76199999999</v>
      </c>
      <c r="Q185" s="7">
        <v>801518.93700000003</v>
      </c>
      <c r="R185" s="7">
        <v>751948.01200000022</v>
      </c>
      <c r="S185" s="7">
        <v>817329.62100000004</v>
      </c>
      <c r="T185" s="7">
        <v>890940.8450000002</v>
      </c>
      <c r="U185" s="7">
        <v>677911.87799999991</v>
      </c>
      <c r="V185" s="7">
        <v>377455.17</v>
      </c>
      <c r="W185" s="7">
        <v>227253.53900000002</v>
      </c>
      <c r="X185" s="7">
        <v>93428.729000000021</v>
      </c>
      <c r="Y185" s="7">
        <v>5750190.4079999998</v>
      </c>
      <c r="Z185" s="8">
        <v>2.5141907278476949E-4</v>
      </c>
      <c r="AA185" s="8">
        <v>8.7075251378012077E-5</v>
      </c>
      <c r="AB185" s="8">
        <v>8.2343656466846521E-5</v>
      </c>
      <c r="AC185" s="8">
        <v>7.9792750353065609E-5</v>
      </c>
      <c r="AD185" s="8">
        <v>5.7504339488510963E-5</v>
      </c>
      <c r="AE185" s="8">
        <v>6.9589356406709566E-5</v>
      </c>
      <c r="AF185" s="8">
        <v>1.1505920242925734E-4</v>
      </c>
      <c r="AG185" s="8">
        <v>3.3646379780677004E-4</v>
      </c>
      <c r="AH185" s="8">
        <v>1.2277036530551014E-3</v>
      </c>
      <c r="AI185" s="8">
        <v>4.8914290592564939E-3</v>
      </c>
      <c r="AJ185" s="8">
        <v>2.3181841042088845E-4</v>
      </c>
    </row>
    <row r="186" spans="1:36" x14ac:dyDescent="0.2">
      <c r="A186" t="s">
        <v>218</v>
      </c>
      <c r="B186">
        <v>2012</v>
      </c>
      <c r="C186" t="s">
        <v>222</v>
      </c>
      <c r="D186" s="7">
        <v>129</v>
      </c>
      <c r="E186" s="7">
        <v>58</v>
      </c>
      <c r="F186" s="7">
        <v>61</v>
      </c>
      <c r="G186" s="7">
        <v>67</v>
      </c>
      <c r="H186" s="7">
        <v>72</v>
      </c>
      <c r="I186" s="7">
        <v>69</v>
      </c>
      <c r="J186" s="7">
        <v>59</v>
      </c>
      <c r="K186" s="7">
        <v>87</v>
      </c>
      <c r="L186" s="7">
        <v>250</v>
      </c>
      <c r="M186" s="7">
        <v>450</v>
      </c>
      <c r="N186" s="7">
        <v>1302</v>
      </c>
      <c r="O186" s="7">
        <v>365907.95699999994</v>
      </c>
      <c r="P186" s="7">
        <v>743555.66899999999</v>
      </c>
      <c r="Q186" s="7">
        <v>800618.59400000016</v>
      </c>
      <c r="R186" s="7">
        <v>765833.20299999986</v>
      </c>
      <c r="S186" s="7">
        <v>799053.04899999988</v>
      </c>
      <c r="T186" s="7">
        <v>894068.85800000024</v>
      </c>
      <c r="U186" s="7">
        <v>698046.43099999987</v>
      </c>
      <c r="V186" s="7">
        <v>392613.01400000002</v>
      </c>
      <c r="W186" s="7">
        <v>225661.41000000006</v>
      </c>
      <c r="X186" s="7">
        <v>98018.225000000006</v>
      </c>
      <c r="Y186" s="7">
        <v>5783376.4100000001</v>
      </c>
      <c r="Z186" s="8">
        <v>3.5254767635457574E-4</v>
      </c>
      <c r="AA186" s="8">
        <v>7.8003574470763675E-5</v>
      </c>
      <c r="AB186" s="8">
        <v>7.6191085814327205E-5</v>
      </c>
      <c r="AC186" s="8">
        <v>8.7486413147850955E-5</v>
      </c>
      <c r="AD186" s="8">
        <v>9.0106658237656026E-5</v>
      </c>
      <c r="AE186" s="8">
        <v>7.7175263831860227E-5</v>
      </c>
      <c r="AF186" s="8">
        <v>8.4521598248813348E-5</v>
      </c>
      <c r="AG186" s="8">
        <v>2.2159224706698081E-4</v>
      </c>
      <c r="AH186" s="8">
        <v>1.107854462134221E-3</v>
      </c>
      <c r="AI186" s="8">
        <v>4.5909829524050242E-3</v>
      </c>
      <c r="AJ186" s="8">
        <v>2.2512800615030347E-4</v>
      </c>
    </row>
    <row r="187" spans="1:36" x14ac:dyDescent="0.2">
      <c r="A187" t="s">
        <v>218</v>
      </c>
      <c r="B187">
        <v>2013</v>
      </c>
      <c r="C187" t="s">
        <v>223</v>
      </c>
      <c r="D187" s="7">
        <v>114</v>
      </c>
      <c r="E187" s="7">
        <v>63</v>
      </c>
      <c r="F187" s="7">
        <v>38</v>
      </c>
      <c r="G187" s="7">
        <v>42</v>
      </c>
      <c r="H187" s="7">
        <v>42</v>
      </c>
      <c r="I187" s="7">
        <v>53</v>
      </c>
      <c r="J187" s="7">
        <v>92</v>
      </c>
      <c r="K187" s="7">
        <v>132</v>
      </c>
      <c r="L187" s="7">
        <v>275</v>
      </c>
      <c r="M187" s="7">
        <v>513</v>
      </c>
      <c r="N187" s="7">
        <v>1364</v>
      </c>
      <c r="O187" s="7">
        <v>364820.08800000005</v>
      </c>
      <c r="P187" s="7">
        <v>741738.6320000001</v>
      </c>
      <c r="Q187" s="7">
        <v>796374.05200000003</v>
      </c>
      <c r="R187" s="7">
        <v>780147.39100000006</v>
      </c>
      <c r="S187" s="7">
        <v>781572.67099999997</v>
      </c>
      <c r="T187" s="7">
        <v>891723.80900000001</v>
      </c>
      <c r="U187" s="7">
        <v>714193.32599999988</v>
      </c>
      <c r="V187" s="7">
        <v>408910.84399999998</v>
      </c>
      <c r="W187" s="7">
        <v>224541.05300000004</v>
      </c>
      <c r="X187" s="7">
        <v>100625.353</v>
      </c>
      <c r="Y187" s="7">
        <v>5804647.2190000005</v>
      </c>
      <c r="Z187" s="8">
        <v>3.1248279288831262E-4</v>
      </c>
      <c r="AA187" s="8">
        <v>8.4935578763275192E-5</v>
      </c>
      <c r="AB187" s="8">
        <v>4.7716270896279775E-5</v>
      </c>
      <c r="AC187" s="8">
        <v>5.3835980847367847E-5</v>
      </c>
      <c r="AD187" s="8">
        <v>5.3737805271852961E-5</v>
      </c>
      <c r="AE187" s="8">
        <v>5.9435443424388817E-5</v>
      </c>
      <c r="AF187" s="8">
        <v>1.2881666161075275E-4</v>
      </c>
      <c r="AG187" s="8">
        <v>3.2280875388083374E-4</v>
      </c>
      <c r="AH187" s="8">
        <v>1.2247203632736146E-3</v>
      </c>
      <c r="AI187" s="8">
        <v>5.098118761382134E-3</v>
      </c>
      <c r="AJ187" s="8">
        <v>2.3498413401167625E-4</v>
      </c>
    </row>
    <row r="188" spans="1:36" x14ac:dyDescent="0.2">
      <c r="A188" t="s">
        <v>218</v>
      </c>
      <c r="B188">
        <v>2014</v>
      </c>
      <c r="C188" t="s">
        <v>224</v>
      </c>
      <c r="D188" s="7">
        <v>90</v>
      </c>
      <c r="E188" s="7">
        <v>42</v>
      </c>
      <c r="F188" s="7">
        <v>43</v>
      </c>
      <c r="G188" s="7">
        <v>33</v>
      </c>
      <c r="H188" s="7">
        <v>55</v>
      </c>
      <c r="I188" s="7">
        <v>67</v>
      </c>
      <c r="J188" s="7">
        <v>75</v>
      </c>
      <c r="K188" s="7">
        <v>154</v>
      </c>
      <c r="L188" s="7">
        <v>242</v>
      </c>
      <c r="M188" s="7">
        <v>418</v>
      </c>
      <c r="N188" s="7">
        <v>1219</v>
      </c>
      <c r="O188" s="7">
        <v>368589.04200000013</v>
      </c>
      <c r="P188" s="7">
        <v>754125.33600000013</v>
      </c>
      <c r="Q188" s="7">
        <v>804358.73300000012</v>
      </c>
      <c r="R188" s="7">
        <v>804549.01399999985</v>
      </c>
      <c r="S188" s="7">
        <v>782217.353</v>
      </c>
      <c r="T188" s="7">
        <v>896821.74999999977</v>
      </c>
      <c r="U188" s="7">
        <v>740652.57099999988</v>
      </c>
      <c r="V188" s="7">
        <v>434183.0089999999</v>
      </c>
      <c r="W188" s="7">
        <v>230766.65600000002</v>
      </c>
      <c r="X188" s="7">
        <v>104187.73899999999</v>
      </c>
      <c r="Y188" s="7">
        <v>5920451.2029999997</v>
      </c>
      <c r="Z188" s="8">
        <v>2.4417437781560519E-4</v>
      </c>
      <c r="AA188" s="8">
        <v>5.5693659919682095E-5</v>
      </c>
      <c r="AB188" s="8">
        <v>5.3458734561908454E-5</v>
      </c>
      <c r="AC188" s="8">
        <v>4.1016767686946674E-5</v>
      </c>
      <c r="AD188" s="8">
        <v>7.0312937688049481E-5</v>
      </c>
      <c r="AE188" s="8">
        <v>7.47082683933569E-5</v>
      </c>
      <c r="AF188" s="8">
        <v>1.0126205313611207E-4</v>
      </c>
      <c r="AG188" s="8">
        <v>3.5468914445705552E-4</v>
      </c>
      <c r="AH188" s="8">
        <v>1.048678367120768E-3</v>
      </c>
      <c r="AI188" s="8">
        <v>4.0119883972143788E-3</v>
      </c>
      <c r="AJ188" s="8">
        <v>2.0589646940799219E-4</v>
      </c>
    </row>
    <row r="189" spans="1:36" x14ac:dyDescent="0.2">
      <c r="A189" t="s">
        <v>218</v>
      </c>
      <c r="B189">
        <v>2015</v>
      </c>
      <c r="C189" t="s">
        <v>225</v>
      </c>
      <c r="D189" s="7">
        <v>120</v>
      </c>
      <c r="E189" s="7">
        <v>58</v>
      </c>
      <c r="F189" s="7">
        <v>56</v>
      </c>
      <c r="G189" s="7">
        <v>68</v>
      </c>
      <c r="H189" s="7">
        <v>50</v>
      </c>
      <c r="I189" s="7">
        <v>59</v>
      </c>
      <c r="J189" s="7">
        <v>77</v>
      </c>
      <c r="K189" s="7">
        <v>170</v>
      </c>
      <c r="L189" s="7">
        <v>305</v>
      </c>
      <c r="M189" s="7">
        <v>518</v>
      </c>
      <c r="N189" s="7">
        <v>1481</v>
      </c>
      <c r="O189" s="7">
        <v>368713.33399999997</v>
      </c>
      <c r="P189" s="7">
        <v>752675.12899999996</v>
      </c>
      <c r="Q189" s="7">
        <v>801897.11100000015</v>
      </c>
      <c r="R189" s="7">
        <v>814911.34600000002</v>
      </c>
      <c r="S189" s="7">
        <v>776559.2570000001</v>
      </c>
      <c r="T189" s="7">
        <v>891909.07200000016</v>
      </c>
      <c r="U189" s="7">
        <v>755818.44599999988</v>
      </c>
      <c r="V189" s="7">
        <v>453442.69599999994</v>
      </c>
      <c r="W189" s="7">
        <v>231278.23199999996</v>
      </c>
      <c r="X189" s="7">
        <v>106211.61900000001</v>
      </c>
      <c r="Y189" s="7">
        <v>5953416.2419999987</v>
      </c>
      <c r="Z189" s="8">
        <v>3.2545608996066306E-4</v>
      </c>
      <c r="AA189" s="8">
        <v>7.7058478173788576E-5</v>
      </c>
      <c r="AB189" s="8">
        <v>6.9834395500147886E-5</v>
      </c>
      <c r="AC189" s="8">
        <v>8.3444659758118034E-5</v>
      </c>
      <c r="AD189" s="8">
        <v>6.4386586792049524E-5</v>
      </c>
      <c r="AE189" s="8">
        <v>6.6150240929492403E-5</v>
      </c>
      <c r="AF189" s="8">
        <v>1.01876317530361E-4</v>
      </c>
      <c r="AG189" s="8">
        <v>3.7490955637754949E-4</v>
      </c>
      <c r="AH189" s="8">
        <v>1.3187579192494002E-3</v>
      </c>
      <c r="AI189" s="8">
        <v>4.8770558708835796E-3</v>
      </c>
      <c r="AJ189" s="8">
        <v>2.4876473268438404E-4</v>
      </c>
    </row>
    <row r="190" spans="1:36" x14ac:dyDescent="0.2">
      <c r="A190" t="s">
        <v>218</v>
      </c>
      <c r="B190">
        <v>2016</v>
      </c>
      <c r="C190" t="s">
        <v>226</v>
      </c>
      <c r="D190" s="7">
        <v>96</v>
      </c>
      <c r="E190" s="7">
        <v>57</v>
      </c>
      <c r="F190" s="7">
        <v>65</v>
      </c>
      <c r="G190" s="7">
        <v>62</v>
      </c>
      <c r="H190" s="7">
        <v>65</v>
      </c>
      <c r="I190" s="7">
        <v>71</v>
      </c>
      <c r="J190" s="7">
        <v>58</v>
      </c>
      <c r="K190" s="7">
        <v>153</v>
      </c>
      <c r="L190" s="7">
        <v>254</v>
      </c>
      <c r="M190" s="7">
        <v>440</v>
      </c>
      <c r="N190" s="7">
        <v>1321</v>
      </c>
      <c r="O190" s="7">
        <v>364175.89600000001</v>
      </c>
      <c r="P190" s="7">
        <v>741178.08</v>
      </c>
      <c r="Q190" s="7">
        <v>785476.52899999998</v>
      </c>
      <c r="R190" s="7">
        <v>815249.61899999995</v>
      </c>
      <c r="S190" s="7">
        <v>762824.96799999988</v>
      </c>
      <c r="T190" s="7">
        <v>868778.43099999998</v>
      </c>
      <c r="U190" s="7">
        <v>759229.08299999998</v>
      </c>
      <c r="V190" s="7">
        <v>470185.53499999997</v>
      </c>
      <c r="W190" s="7">
        <v>232133.55800000002</v>
      </c>
      <c r="X190" s="7">
        <v>106491.85500000001</v>
      </c>
      <c r="Y190" s="7">
        <v>5905723.5540000005</v>
      </c>
      <c r="Z190" s="8">
        <v>2.6360887981449489E-4</v>
      </c>
      <c r="AA190" s="8">
        <v>7.6904594911927237E-5</v>
      </c>
      <c r="AB190" s="8">
        <v>8.2752313532209957E-5</v>
      </c>
      <c r="AC190" s="8">
        <v>7.6050326863139574E-5</v>
      </c>
      <c r="AD190" s="8">
        <v>8.5209586375258777E-5</v>
      </c>
      <c r="AE190" s="8">
        <v>8.1723944180193397E-5</v>
      </c>
      <c r="AF190" s="8">
        <v>7.6393280103048949E-5</v>
      </c>
      <c r="AG190" s="8">
        <v>3.2540346014685458E-4</v>
      </c>
      <c r="AH190" s="8">
        <v>1.0941976773560674E-3</v>
      </c>
      <c r="AI190" s="8">
        <v>4.1317713922815972E-3</v>
      </c>
      <c r="AJ190" s="8">
        <v>2.2368131320763814E-4</v>
      </c>
    </row>
    <row r="191" spans="1:36" x14ac:dyDescent="0.2">
      <c r="A191" t="s">
        <v>218</v>
      </c>
      <c r="B191">
        <v>2017</v>
      </c>
      <c r="C191" t="s">
        <v>227</v>
      </c>
      <c r="D191" s="7">
        <v>104</v>
      </c>
      <c r="E191" s="7">
        <v>50</v>
      </c>
      <c r="F191" s="7">
        <v>53</v>
      </c>
      <c r="G191" s="7">
        <v>63</v>
      </c>
      <c r="H191" s="7">
        <v>39</v>
      </c>
      <c r="I191" s="7">
        <v>44</v>
      </c>
      <c r="J191" s="7">
        <v>65</v>
      </c>
      <c r="K191" s="7">
        <v>155</v>
      </c>
      <c r="L191" s="7">
        <v>235</v>
      </c>
      <c r="M191" s="7">
        <v>442</v>
      </c>
      <c r="N191" s="7">
        <v>1250</v>
      </c>
      <c r="O191" s="7">
        <v>363031</v>
      </c>
      <c r="P191" s="7">
        <v>741392</v>
      </c>
      <c r="Q191" s="7">
        <v>772879</v>
      </c>
      <c r="R191" s="7">
        <v>818802</v>
      </c>
      <c r="S191" s="7">
        <v>759833</v>
      </c>
      <c r="T191" s="7">
        <v>857032</v>
      </c>
      <c r="U191" s="7">
        <v>771764</v>
      </c>
      <c r="V191" s="7">
        <v>489182</v>
      </c>
      <c r="W191" s="7">
        <v>240311</v>
      </c>
      <c r="X191" s="7">
        <v>106981</v>
      </c>
      <c r="Y191" s="7">
        <v>5921207</v>
      </c>
      <c r="Z191" s="8">
        <v>2.8647691243998449E-4</v>
      </c>
      <c r="AA191" s="8">
        <v>6.7440706131169478E-5</v>
      </c>
      <c r="AB191" s="8">
        <v>6.8574770436251984E-5</v>
      </c>
      <c r="AC191" s="8">
        <v>7.6941678207918395E-5</v>
      </c>
      <c r="AD191" s="8">
        <v>5.1327067921503801E-5</v>
      </c>
      <c r="AE191" s="8">
        <v>5.1339973303213881E-5</v>
      </c>
      <c r="AF191" s="8">
        <v>8.422263800851037E-5</v>
      </c>
      <c r="AG191" s="8">
        <v>3.1685548527950744E-4</v>
      </c>
      <c r="AH191" s="8">
        <v>9.7789947193428523E-4</v>
      </c>
      <c r="AI191" s="8">
        <v>4.1315747656125853E-3</v>
      </c>
      <c r="AJ191" s="8">
        <v>2.1110560735336563E-4</v>
      </c>
    </row>
    <row r="192" spans="1:36" x14ac:dyDescent="0.2">
      <c r="A192" t="s">
        <v>228</v>
      </c>
      <c r="B192">
        <v>2009</v>
      </c>
      <c r="C192" t="s">
        <v>229</v>
      </c>
      <c r="D192" s="7">
        <v>100</v>
      </c>
      <c r="E192" s="7">
        <v>69</v>
      </c>
      <c r="F192" s="7">
        <v>70</v>
      </c>
      <c r="G192" s="7">
        <v>39</v>
      </c>
      <c r="H192" s="7">
        <v>49</v>
      </c>
      <c r="I192" s="7">
        <v>51</v>
      </c>
      <c r="J192" s="7">
        <v>55</v>
      </c>
      <c r="K192" s="7">
        <v>109</v>
      </c>
      <c r="L192" s="7">
        <v>362</v>
      </c>
      <c r="M192" s="7">
        <v>706</v>
      </c>
      <c r="N192" s="7">
        <v>1610</v>
      </c>
      <c r="O192" s="7">
        <v>384502.80899999995</v>
      </c>
      <c r="P192" s="7">
        <v>800466.30099999998</v>
      </c>
      <c r="Q192" s="7">
        <v>909982.86399999983</v>
      </c>
      <c r="R192" s="7">
        <v>839232.3339999998</v>
      </c>
      <c r="S192" s="7">
        <v>975467.11399999971</v>
      </c>
      <c r="T192" s="7">
        <v>998066.1379999998</v>
      </c>
      <c r="U192" s="7">
        <v>732768.84299999999</v>
      </c>
      <c r="V192" s="7">
        <v>426481.35700000008</v>
      </c>
      <c r="W192" s="7">
        <v>305548.37599999999</v>
      </c>
      <c r="X192" s="7">
        <v>136968.65</v>
      </c>
      <c r="Y192" s="7">
        <v>6509484.7859999994</v>
      </c>
      <c r="Z192" s="8">
        <v>2.6007612339705953E-4</v>
      </c>
      <c r="AA192" s="8">
        <v>8.6199756209349784E-5</v>
      </c>
      <c r="AB192" s="8">
        <v>7.6924525471064269E-5</v>
      </c>
      <c r="AC192" s="8">
        <v>4.6471040759494869E-5</v>
      </c>
      <c r="AD192" s="8">
        <v>5.0232344378141709E-5</v>
      </c>
      <c r="AE192" s="8">
        <v>5.1098818062495983E-5</v>
      </c>
      <c r="AF192" s="8">
        <v>7.5057776439875186E-5</v>
      </c>
      <c r="AG192" s="8">
        <v>2.5557975327864093E-4</v>
      </c>
      <c r="AH192" s="8">
        <v>1.1847551105949913E-3</v>
      </c>
      <c r="AI192" s="8">
        <v>5.1544641784817182E-3</v>
      </c>
      <c r="AJ192" s="8">
        <v>2.4733140224286873E-4</v>
      </c>
    </row>
    <row r="193" spans="1:36" x14ac:dyDescent="0.2">
      <c r="A193" t="s">
        <v>228</v>
      </c>
      <c r="B193">
        <v>2010</v>
      </c>
      <c r="C193" t="s">
        <v>230</v>
      </c>
      <c r="D193" s="7">
        <v>137</v>
      </c>
      <c r="E193" s="7">
        <v>55</v>
      </c>
      <c r="F193" s="7">
        <v>68</v>
      </c>
      <c r="G193" s="7">
        <v>46</v>
      </c>
      <c r="H193" s="7">
        <v>53</v>
      </c>
      <c r="I193" s="7">
        <v>43</v>
      </c>
      <c r="J193" s="7">
        <v>56</v>
      </c>
      <c r="K193" s="7">
        <v>115</v>
      </c>
      <c r="L193" s="7">
        <v>340</v>
      </c>
      <c r="M193" s="7">
        <v>703</v>
      </c>
      <c r="N193" s="7">
        <v>1616</v>
      </c>
      <c r="O193" s="7">
        <v>368073.38999999996</v>
      </c>
      <c r="P193" s="7">
        <v>798400.54900000012</v>
      </c>
      <c r="Q193" s="7">
        <v>930411.99899999995</v>
      </c>
      <c r="R193" s="7">
        <v>829290.41</v>
      </c>
      <c r="S193" s="7">
        <v>933231.73400000005</v>
      </c>
      <c r="T193" s="7">
        <v>992882.07200000016</v>
      </c>
      <c r="U193" s="7">
        <v>758275.80799999996</v>
      </c>
      <c r="V193" s="7">
        <v>431491.24899999995</v>
      </c>
      <c r="W193" s="7">
        <v>307583.60399999999</v>
      </c>
      <c r="X193" s="7">
        <v>138045.89800000002</v>
      </c>
      <c r="Y193" s="7">
        <v>6487686.7130000014</v>
      </c>
      <c r="Z193" s="8">
        <v>3.7220837942128883E-4</v>
      </c>
      <c r="AA193" s="8">
        <v>6.8887728182160843E-5</v>
      </c>
      <c r="AB193" s="8">
        <v>7.3085901808108558E-5</v>
      </c>
      <c r="AC193" s="8">
        <v>5.5469108825218416E-5</v>
      </c>
      <c r="AD193" s="8">
        <v>5.6791896448733488E-5</v>
      </c>
      <c r="AE193" s="8">
        <v>4.3308265112878373E-5</v>
      </c>
      <c r="AF193" s="8">
        <v>7.3851756061825988E-5</v>
      </c>
      <c r="AG193" s="8">
        <v>2.6651757194732823E-4</v>
      </c>
      <c r="AH193" s="8">
        <v>1.1053905201006749E-3</v>
      </c>
      <c r="AI193" s="8">
        <v>5.0925091595260576E-3</v>
      </c>
      <c r="AJ193" s="8">
        <v>2.490872434949526E-4</v>
      </c>
    </row>
    <row r="194" spans="1:36" x14ac:dyDescent="0.2">
      <c r="A194" t="s">
        <v>228</v>
      </c>
      <c r="B194">
        <v>2011</v>
      </c>
      <c r="C194" t="s">
        <v>231</v>
      </c>
      <c r="D194" s="7">
        <v>97</v>
      </c>
      <c r="E194" s="7">
        <v>58</v>
      </c>
      <c r="F194" s="7">
        <v>52</v>
      </c>
      <c r="G194" s="7">
        <v>43</v>
      </c>
      <c r="H194" s="7">
        <v>52</v>
      </c>
      <c r="I194" s="7">
        <v>53</v>
      </c>
      <c r="J194" s="7">
        <v>62</v>
      </c>
      <c r="K194" s="7">
        <v>106</v>
      </c>
      <c r="L194" s="7">
        <v>318</v>
      </c>
      <c r="M194" s="7">
        <v>838</v>
      </c>
      <c r="N194" s="7">
        <v>1679</v>
      </c>
      <c r="O194" s="7">
        <v>367196.82800000004</v>
      </c>
      <c r="P194" s="7">
        <v>793364.946</v>
      </c>
      <c r="Q194" s="7">
        <v>935022.05500000017</v>
      </c>
      <c r="R194" s="7">
        <v>837932.33400000015</v>
      </c>
      <c r="S194" s="7">
        <v>911024.14700000011</v>
      </c>
      <c r="T194" s="7">
        <v>999912.67799999996</v>
      </c>
      <c r="U194" s="7">
        <v>782346.53299999994</v>
      </c>
      <c r="V194" s="7">
        <v>447028.52499999997</v>
      </c>
      <c r="W194" s="7">
        <v>308062.55</v>
      </c>
      <c r="X194" s="7">
        <v>141922.41499999998</v>
      </c>
      <c r="Y194" s="7">
        <v>6523813.0110000009</v>
      </c>
      <c r="Z194" s="8">
        <v>2.6416350197883517E-4</v>
      </c>
      <c r="AA194" s="8">
        <v>7.3106330563790751E-5</v>
      </c>
      <c r="AB194" s="8">
        <v>5.5613661433900602E-5</v>
      </c>
      <c r="AC194" s="8">
        <v>5.1316792842606781E-5</v>
      </c>
      <c r="AD194" s="8">
        <v>5.7078618795380833E-5</v>
      </c>
      <c r="AE194" s="8">
        <v>5.3004628470167275E-5</v>
      </c>
      <c r="AF194" s="8">
        <v>7.9248769419676082E-5</v>
      </c>
      <c r="AG194" s="8">
        <v>2.3712133358827606E-4</v>
      </c>
      <c r="AH194" s="8">
        <v>1.0322578969757929E-3</v>
      </c>
      <c r="AI194" s="8">
        <v>5.9046345850301387E-3</v>
      </c>
      <c r="AJ194" s="8">
        <v>2.5736482593369654E-4</v>
      </c>
    </row>
    <row r="195" spans="1:36" x14ac:dyDescent="0.2">
      <c r="A195" t="s">
        <v>228</v>
      </c>
      <c r="B195">
        <v>2012</v>
      </c>
      <c r="C195" t="s">
        <v>232</v>
      </c>
      <c r="D195" s="7">
        <v>110</v>
      </c>
      <c r="E195" s="7">
        <v>44</v>
      </c>
      <c r="F195" s="7">
        <v>65</v>
      </c>
      <c r="G195" s="7">
        <v>52</v>
      </c>
      <c r="H195" s="7">
        <v>64</v>
      </c>
      <c r="I195" s="7">
        <v>37</v>
      </c>
      <c r="J195" s="7">
        <v>54</v>
      </c>
      <c r="K195" s="7">
        <v>119</v>
      </c>
      <c r="L195" s="7">
        <v>329</v>
      </c>
      <c r="M195" s="7">
        <v>762</v>
      </c>
      <c r="N195" s="7">
        <v>1636</v>
      </c>
      <c r="O195" s="7">
        <v>367607.68000000005</v>
      </c>
      <c r="P195" s="7">
        <v>789520.01300000004</v>
      </c>
      <c r="Q195" s="7">
        <v>936838.90599999996</v>
      </c>
      <c r="R195" s="7">
        <v>852944.37699999998</v>
      </c>
      <c r="S195" s="7">
        <v>888479.78700000001</v>
      </c>
      <c r="T195" s="7">
        <v>1005597.671</v>
      </c>
      <c r="U195" s="7">
        <v>805786.59999999986</v>
      </c>
      <c r="V195" s="7">
        <v>464266.14399999997</v>
      </c>
      <c r="W195" s="7">
        <v>302477.40399999998</v>
      </c>
      <c r="X195" s="7">
        <v>144764.25200000001</v>
      </c>
      <c r="Y195" s="7">
        <v>6558282.8339999998</v>
      </c>
      <c r="Z195" s="8">
        <v>2.9923205086466087E-4</v>
      </c>
      <c r="AA195" s="8">
        <v>5.5730062918620404E-5</v>
      </c>
      <c r="AB195" s="8">
        <v>6.9382259408428109E-5</v>
      </c>
      <c r="AC195" s="8">
        <v>6.096528847859443E-5</v>
      </c>
      <c r="AD195" s="8">
        <v>7.2033152511099269E-5</v>
      </c>
      <c r="AE195" s="8">
        <v>3.6794039074499808E-5</v>
      </c>
      <c r="AF195" s="8">
        <v>6.7015261857171629E-5</v>
      </c>
      <c r="AG195" s="8">
        <v>2.5631849648722179E-4</v>
      </c>
      <c r="AH195" s="8">
        <v>1.0876845531245039E-3</v>
      </c>
      <c r="AI195" s="8">
        <v>5.26373044085497E-3</v>
      </c>
      <c r="AJ195" s="8">
        <v>2.4945554216090096E-4</v>
      </c>
    </row>
    <row r="196" spans="1:36" x14ac:dyDescent="0.2">
      <c r="A196" t="s">
        <v>228</v>
      </c>
      <c r="B196">
        <v>2013</v>
      </c>
      <c r="C196" t="s">
        <v>233</v>
      </c>
      <c r="D196" s="7">
        <v>113</v>
      </c>
      <c r="E196" s="7">
        <v>56</v>
      </c>
      <c r="F196" s="7">
        <v>65</v>
      </c>
      <c r="G196" s="7">
        <v>65</v>
      </c>
      <c r="H196" s="7">
        <v>52</v>
      </c>
      <c r="I196" s="7">
        <v>53</v>
      </c>
      <c r="J196" s="7">
        <v>69</v>
      </c>
      <c r="K196" s="7">
        <v>150</v>
      </c>
      <c r="L196" s="7">
        <v>363</v>
      </c>
      <c r="M196" s="7">
        <v>883</v>
      </c>
      <c r="N196" s="7">
        <v>1869</v>
      </c>
      <c r="O196" s="7">
        <v>366327.70899999997</v>
      </c>
      <c r="P196" s="7">
        <v>787715.55500000005</v>
      </c>
      <c r="Q196" s="7">
        <v>943961.15600000008</v>
      </c>
      <c r="R196" s="7">
        <v>874626.79099999997</v>
      </c>
      <c r="S196" s="7">
        <v>872081.62899999996</v>
      </c>
      <c r="T196" s="7">
        <v>1007271.031</v>
      </c>
      <c r="U196" s="7">
        <v>831204.61</v>
      </c>
      <c r="V196" s="7">
        <v>487405.18900000001</v>
      </c>
      <c r="W196" s="7">
        <v>301363.74199999991</v>
      </c>
      <c r="X196" s="7">
        <v>148702.82899999997</v>
      </c>
      <c r="Y196" s="7">
        <v>6620660.2409999995</v>
      </c>
      <c r="Z196" s="8">
        <v>3.0846697430687668E-4</v>
      </c>
      <c r="AA196" s="8">
        <v>7.1091651859026692E-5</v>
      </c>
      <c r="AB196" s="8">
        <v>6.8858765624885522E-5</v>
      </c>
      <c r="AC196" s="8">
        <v>7.4317412488225515E-5</v>
      </c>
      <c r="AD196" s="8">
        <v>5.9627445723891061E-5</v>
      </c>
      <c r="AE196" s="8">
        <v>5.2617417128915726E-5</v>
      </c>
      <c r="AF196" s="8">
        <v>8.3012051629501913E-5</v>
      </c>
      <c r="AG196" s="8">
        <v>3.0775216059507316E-4</v>
      </c>
      <c r="AH196" s="8">
        <v>1.2045244646583931E-3</v>
      </c>
      <c r="AI196" s="8">
        <v>5.938017493937524E-3</v>
      </c>
      <c r="AJ196" s="8">
        <v>2.8229812918442439E-4</v>
      </c>
    </row>
    <row r="197" spans="1:36" x14ac:dyDescent="0.2">
      <c r="A197" t="s">
        <v>228</v>
      </c>
      <c r="B197">
        <v>2014</v>
      </c>
      <c r="C197" t="s">
        <v>234</v>
      </c>
      <c r="D197" s="7">
        <v>86</v>
      </c>
      <c r="E197" s="7">
        <v>61</v>
      </c>
      <c r="F197" s="7">
        <v>64</v>
      </c>
      <c r="G197" s="7">
        <v>63</v>
      </c>
      <c r="H197" s="7">
        <v>57</v>
      </c>
      <c r="I197" s="7">
        <v>59</v>
      </c>
      <c r="J197" s="7">
        <v>114</v>
      </c>
      <c r="K197" s="7">
        <v>164</v>
      </c>
      <c r="L197" s="7">
        <v>310</v>
      </c>
      <c r="M197" s="7">
        <v>720</v>
      </c>
      <c r="N197" s="7">
        <v>1698</v>
      </c>
      <c r="O197" s="7">
        <v>365613.15499999997</v>
      </c>
      <c r="P197" s="7">
        <v>785001.75300000003</v>
      </c>
      <c r="Q197" s="7">
        <v>948617.47200000007</v>
      </c>
      <c r="R197" s="7">
        <v>893276.89299999992</v>
      </c>
      <c r="S197" s="7">
        <v>857953.72699999996</v>
      </c>
      <c r="T197" s="7">
        <v>1003495.8690000001</v>
      </c>
      <c r="U197" s="7">
        <v>852347.64300000004</v>
      </c>
      <c r="V197" s="7">
        <v>511106.23400000005</v>
      </c>
      <c r="W197" s="7">
        <v>300081.23499999993</v>
      </c>
      <c r="X197" s="7">
        <v>151196.98199999999</v>
      </c>
      <c r="Y197" s="7">
        <v>6668690.9630000005</v>
      </c>
      <c r="Z197" s="8">
        <v>2.3522129557947664E-4</v>
      </c>
      <c r="AA197" s="8">
        <v>7.7706832840665008E-5</v>
      </c>
      <c r="AB197" s="8">
        <v>6.7466604705336905E-5</v>
      </c>
      <c r="AC197" s="8">
        <v>7.0526843908857274E-5</v>
      </c>
      <c r="AD197" s="8">
        <v>6.6437149471115946E-5</v>
      </c>
      <c r="AE197" s="8">
        <v>5.879446226200658E-5</v>
      </c>
      <c r="AF197" s="8">
        <v>1.3374824337960889E-4</v>
      </c>
      <c r="AG197" s="8">
        <v>3.2087262703980239E-4</v>
      </c>
      <c r="AH197" s="8">
        <v>1.0330535996361122E-3</v>
      </c>
      <c r="AI197" s="8">
        <v>4.7619998129327743E-3</v>
      </c>
      <c r="AJ197" s="8">
        <v>2.5462268523478436E-4</v>
      </c>
    </row>
    <row r="198" spans="1:36" x14ac:dyDescent="0.2">
      <c r="A198" t="s">
        <v>228</v>
      </c>
      <c r="B198">
        <v>2015</v>
      </c>
      <c r="C198" t="s">
        <v>235</v>
      </c>
      <c r="D198" s="7">
        <v>93</v>
      </c>
      <c r="E198" s="7">
        <v>78</v>
      </c>
      <c r="F198" s="7">
        <v>49</v>
      </c>
      <c r="G198" s="7">
        <v>52</v>
      </c>
      <c r="H198" s="7">
        <v>65</v>
      </c>
      <c r="I198" s="7">
        <v>65</v>
      </c>
      <c r="J198" s="7">
        <v>82</v>
      </c>
      <c r="K198" s="7">
        <v>170</v>
      </c>
      <c r="L198" s="7">
        <v>337</v>
      </c>
      <c r="M198" s="7">
        <v>868</v>
      </c>
      <c r="N198" s="7">
        <v>1859</v>
      </c>
      <c r="O198" s="7">
        <v>363716.66799999995</v>
      </c>
      <c r="P198" s="7">
        <v>776947.30599999987</v>
      </c>
      <c r="Q198" s="7">
        <v>948497.68</v>
      </c>
      <c r="R198" s="7">
        <v>908255.66500000004</v>
      </c>
      <c r="S198" s="7">
        <v>847156.30299999996</v>
      </c>
      <c r="T198" s="7">
        <v>994198.30900000012</v>
      </c>
      <c r="U198" s="7">
        <v>865074.26399999997</v>
      </c>
      <c r="V198" s="7">
        <v>532939.72499999998</v>
      </c>
      <c r="W198" s="7">
        <v>293687.67</v>
      </c>
      <c r="X198" s="7">
        <v>153639.87100000001</v>
      </c>
      <c r="Y198" s="7">
        <v>6684113.4610000001</v>
      </c>
      <c r="Z198" s="8">
        <v>2.5569353340716298E-4</v>
      </c>
      <c r="AA198" s="8">
        <v>1.0039290875667187E-4</v>
      </c>
      <c r="AB198" s="8">
        <v>5.1660642965410307E-5</v>
      </c>
      <c r="AC198" s="8">
        <v>5.7252601887156956E-5</v>
      </c>
      <c r="AD198" s="8">
        <v>7.6727281340902682E-5</v>
      </c>
      <c r="AE198" s="8">
        <v>6.5379310557648512E-5</v>
      </c>
      <c r="AF198" s="8">
        <v>9.4789549767486787E-5</v>
      </c>
      <c r="AG198" s="8">
        <v>3.1898541622131846E-4</v>
      </c>
      <c r="AH198" s="8">
        <v>1.1474775226348454E-3</v>
      </c>
      <c r="AI198" s="8">
        <v>5.6495751678937558E-3</v>
      </c>
      <c r="AJ198" s="8">
        <v>2.7812214901000166E-4</v>
      </c>
    </row>
    <row r="199" spans="1:36" x14ac:dyDescent="0.2">
      <c r="A199" t="s">
        <v>228</v>
      </c>
      <c r="B199">
        <v>2016</v>
      </c>
      <c r="C199" t="s">
        <v>236</v>
      </c>
      <c r="D199" s="7">
        <v>115</v>
      </c>
      <c r="E199" s="7">
        <v>54</v>
      </c>
      <c r="F199" s="7">
        <v>37</v>
      </c>
      <c r="G199" s="7">
        <v>56</v>
      </c>
      <c r="H199" s="7">
        <v>61</v>
      </c>
      <c r="I199" s="7">
        <v>49</v>
      </c>
      <c r="J199" s="7">
        <v>57</v>
      </c>
      <c r="K199" s="7">
        <v>162</v>
      </c>
      <c r="L199" s="7">
        <v>292</v>
      </c>
      <c r="M199" s="7">
        <v>654</v>
      </c>
      <c r="N199" s="7">
        <v>1537</v>
      </c>
      <c r="O199" s="7">
        <v>363626.19200000004</v>
      </c>
      <c r="P199" s="7">
        <v>776585.07900000003</v>
      </c>
      <c r="Q199" s="7">
        <v>953980.64700000011</v>
      </c>
      <c r="R199" s="7">
        <v>926165.804</v>
      </c>
      <c r="S199" s="7">
        <v>838652.93599999999</v>
      </c>
      <c r="T199" s="7">
        <v>984369.01400000008</v>
      </c>
      <c r="U199" s="7">
        <v>883741.99599999981</v>
      </c>
      <c r="V199" s="7">
        <v>560636.9389999999</v>
      </c>
      <c r="W199" s="7">
        <v>300953.40399999998</v>
      </c>
      <c r="X199" s="7">
        <v>155000.51</v>
      </c>
      <c r="Y199" s="7">
        <v>6743712.5209999997</v>
      </c>
      <c r="Z199" s="8">
        <v>3.1625884639245128E-4</v>
      </c>
      <c r="AA199" s="8">
        <v>6.9535201564180444E-5</v>
      </c>
      <c r="AB199" s="8">
        <v>3.8784853881841895E-5</v>
      </c>
      <c r="AC199" s="8">
        <v>6.0464335606154597E-5</v>
      </c>
      <c r="AD199" s="8">
        <v>7.2735690035192343E-5</v>
      </c>
      <c r="AE199" s="8">
        <v>4.9778080479075298E-5</v>
      </c>
      <c r="AF199" s="8">
        <v>6.4498462512807884E-5</v>
      </c>
      <c r="AG199" s="8">
        <v>2.8895705710893239E-4</v>
      </c>
      <c r="AH199" s="8">
        <v>9.7024986632149876E-4</v>
      </c>
      <c r="AI199" s="8">
        <v>4.2193409557168549E-3</v>
      </c>
      <c r="AJ199" s="8">
        <v>2.27916002530322E-4</v>
      </c>
    </row>
    <row r="200" spans="1:36" x14ac:dyDescent="0.2">
      <c r="A200" t="s">
        <v>228</v>
      </c>
      <c r="B200">
        <v>2017</v>
      </c>
      <c r="C200" t="s">
        <v>237</v>
      </c>
      <c r="D200" s="7">
        <v>96</v>
      </c>
      <c r="E200" s="7">
        <v>68</v>
      </c>
      <c r="F200" s="7">
        <v>50</v>
      </c>
      <c r="G200" s="7">
        <v>47</v>
      </c>
      <c r="H200" s="7">
        <v>64</v>
      </c>
      <c r="I200" s="7">
        <v>61</v>
      </c>
      <c r="J200" s="7">
        <v>73</v>
      </c>
      <c r="K200" s="7">
        <v>167</v>
      </c>
      <c r="L200" s="7">
        <v>342</v>
      </c>
      <c r="M200" s="7">
        <v>791</v>
      </c>
      <c r="N200" s="7">
        <v>1759</v>
      </c>
      <c r="O200" s="7">
        <v>363679</v>
      </c>
      <c r="P200" s="7">
        <v>771609</v>
      </c>
      <c r="Q200" s="7">
        <v>950843</v>
      </c>
      <c r="R200" s="7">
        <v>947736</v>
      </c>
      <c r="S200" s="7">
        <v>835419</v>
      </c>
      <c r="T200" s="7">
        <v>972968</v>
      </c>
      <c r="U200" s="7">
        <v>901460</v>
      </c>
      <c r="V200" s="7">
        <v>588877</v>
      </c>
      <c r="W200" s="7">
        <v>305080</v>
      </c>
      <c r="X200" s="7">
        <v>155261</v>
      </c>
      <c r="Y200" s="7">
        <v>6792932</v>
      </c>
      <c r="Z200" s="8">
        <v>2.6396904962893103E-4</v>
      </c>
      <c r="AA200" s="8">
        <v>8.8127536096649988E-5</v>
      </c>
      <c r="AB200" s="8">
        <v>5.2584916752818288E-5</v>
      </c>
      <c r="AC200" s="8">
        <v>4.9591869465758397E-5</v>
      </c>
      <c r="AD200" s="8">
        <v>7.660826483477154E-5</v>
      </c>
      <c r="AE200" s="8">
        <v>6.2694764884353859E-5</v>
      </c>
      <c r="AF200" s="8">
        <v>8.0979743970891659E-5</v>
      </c>
      <c r="AG200" s="8">
        <v>2.8359063098066319E-4</v>
      </c>
      <c r="AH200" s="8">
        <v>1.1210174380490363E-3</v>
      </c>
      <c r="AI200" s="8">
        <v>5.0946470781458317E-3</v>
      </c>
      <c r="AJ200" s="8">
        <v>2.5894562171386378E-4</v>
      </c>
    </row>
    <row r="201" spans="1:36" x14ac:dyDescent="0.2">
      <c r="A201" t="s">
        <v>238</v>
      </c>
      <c r="B201">
        <v>2009</v>
      </c>
      <c r="C201" t="s">
        <v>239</v>
      </c>
      <c r="D201" s="7">
        <v>128</v>
      </c>
      <c r="E201" s="7">
        <v>41</v>
      </c>
      <c r="F201" s="7">
        <v>58</v>
      </c>
      <c r="G201" s="7">
        <v>66</v>
      </c>
      <c r="H201" s="7">
        <v>70</v>
      </c>
      <c r="I201" s="7">
        <v>85</v>
      </c>
      <c r="J201" s="7">
        <v>147</v>
      </c>
      <c r="K201" s="7">
        <v>191</v>
      </c>
      <c r="L201" s="7">
        <v>417</v>
      </c>
      <c r="M201" s="7">
        <v>685</v>
      </c>
      <c r="N201" s="7">
        <v>1888</v>
      </c>
      <c r="O201" s="7">
        <v>632465.69899999991</v>
      </c>
      <c r="P201" s="7">
        <v>1354501.9560000002</v>
      </c>
      <c r="Q201" s="7">
        <v>1438124.5589999999</v>
      </c>
      <c r="R201" s="7">
        <v>1229114.5209999997</v>
      </c>
      <c r="S201" s="7">
        <v>1418516.9390000002</v>
      </c>
      <c r="T201" s="7">
        <v>1531856.1580000003</v>
      </c>
      <c r="U201" s="7">
        <v>1138515.7709999999</v>
      </c>
      <c r="V201" s="7">
        <v>666764.11699999985</v>
      </c>
      <c r="W201" s="7">
        <v>445422.81400000013</v>
      </c>
      <c r="X201" s="7">
        <v>174172.27300000002</v>
      </c>
      <c r="Y201" s="7">
        <v>10029454.807</v>
      </c>
      <c r="Z201" s="8">
        <v>2.0238251687385188E-4</v>
      </c>
      <c r="AA201" s="8">
        <v>3.026942841860318E-5</v>
      </c>
      <c r="AB201" s="8">
        <v>4.033030354500747E-5</v>
      </c>
      <c r="AC201" s="8">
        <v>5.3697193282122178E-5</v>
      </c>
      <c r="AD201" s="8">
        <v>4.9347313433808767E-5</v>
      </c>
      <c r="AE201" s="8">
        <v>5.5488238602622104E-5</v>
      </c>
      <c r="AF201" s="8">
        <v>1.2911547098806066E-4</v>
      </c>
      <c r="AG201" s="8">
        <v>2.8645812684008017E-4</v>
      </c>
      <c r="AH201" s="8">
        <v>9.3618913736196699E-4</v>
      </c>
      <c r="AI201" s="8">
        <v>3.9328877564800448E-3</v>
      </c>
      <c r="AJ201" s="8">
        <v>1.8824552643502429E-4</v>
      </c>
    </row>
    <row r="202" spans="1:36" x14ac:dyDescent="0.2">
      <c r="A202" t="s">
        <v>238</v>
      </c>
      <c r="B202">
        <v>2010</v>
      </c>
      <c r="C202" t="s">
        <v>240</v>
      </c>
      <c r="D202" s="7">
        <v>112</v>
      </c>
      <c r="E202" s="7">
        <v>66</v>
      </c>
      <c r="F202" s="7">
        <v>68</v>
      </c>
      <c r="G202" s="7">
        <v>51</v>
      </c>
      <c r="H202" s="7">
        <v>74</v>
      </c>
      <c r="I202" s="7">
        <v>57</v>
      </c>
      <c r="J202" s="7">
        <v>88</v>
      </c>
      <c r="K202" s="7">
        <v>195</v>
      </c>
      <c r="L202" s="7">
        <v>433</v>
      </c>
      <c r="M202" s="7">
        <v>643</v>
      </c>
      <c r="N202" s="7">
        <v>1787</v>
      </c>
      <c r="O202" s="7">
        <v>621384.82700000005</v>
      </c>
      <c r="P202" s="7">
        <v>1364195.9559999995</v>
      </c>
      <c r="Q202" s="7">
        <v>1442501.2589999998</v>
      </c>
      <c r="R202" s="7">
        <v>1200066.9569999999</v>
      </c>
      <c r="S202" s="7">
        <v>1366887.9439999997</v>
      </c>
      <c r="T202" s="7">
        <v>1529011.8740000003</v>
      </c>
      <c r="U202" s="7">
        <v>1189088.7400000005</v>
      </c>
      <c r="V202" s="7">
        <v>689786.39500000002</v>
      </c>
      <c r="W202" s="7">
        <v>455675.30899999995</v>
      </c>
      <c r="X202" s="7">
        <v>180205.74100000001</v>
      </c>
      <c r="Y202" s="7">
        <v>10038805.002</v>
      </c>
      <c r="Z202" s="8">
        <v>1.8024257293298857E-4</v>
      </c>
      <c r="AA202" s="8">
        <v>4.8380146349004442E-5</v>
      </c>
      <c r="AB202" s="8">
        <v>4.7140340138864312E-5</v>
      </c>
      <c r="AC202" s="8">
        <v>4.2497628738560466E-5</v>
      </c>
      <c r="AD202" s="8">
        <v>5.4137576035274486E-5</v>
      </c>
      <c r="AE202" s="8">
        <v>3.7278977991769333E-5</v>
      </c>
      <c r="AF202" s="8">
        <v>7.4006251207121818E-5</v>
      </c>
      <c r="AG202" s="8">
        <v>2.8269621061459177E-4</v>
      </c>
      <c r="AH202" s="8">
        <v>9.502380125669702E-4</v>
      </c>
      <c r="AI202" s="8">
        <v>3.5681438140197762E-3</v>
      </c>
      <c r="AJ202" s="8">
        <v>1.7800923512748595E-4</v>
      </c>
    </row>
    <row r="203" spans="1:36" x14ac:dyDescent="0.2">
      <c r="A203" t="s">
        <v>238</v>
      </c>
      <c r="B203">
        <v>2011</v>
      </c>
      <c r="C203" t="s">
        <v>241</v>
      </c>
      <c r="D203" s="7">
        <v>103</v>
      </c>
      <c r="E203" s="7">
        <v>60</v>
      </c>
      <c r="F203" s="7">
        <v>59</v>
      </c>
      <c r="G203" s="7">
        <v>61</v>
      </c>
      <c r="H203" s="7">
        <v>73</v>
      </c>
      <c r="I203" s="7">
        <v>54</v>
      </c>
      <c r="J203" s="7">
        <v>135</v>
      </c>
      <c r="K203" s="7">
        <v>220</v>
      </c>
      <c r="L203" s="7">
        <v>439</v>
      </c>
      <c r="M203" s="7">
        <v>805</v>
      </c>
      <c r="N203" s="7">
        <v>2009</v>
      </c>
      <c r="O203" s="7">
        <v>613585.64700000011</v>
      </c>
      <c r="P203" s="7">
        <v>1347431.6160000002</v>
      </c>
      <c r="Q203" s="7">
        <v>1434265.916</v>
      </c>
      <c r="R203" s="7">
        <v>1191776.3409999998</v>
      </c>
      <c r="S203" s="7">
        <v>1331187.4980000004</v>
      </c>
      <c r="T203" s="7">
        <v>1528539.6390000002</v>
      </c>
      <c r="U203" s="7">
        <v>1235166.145</v>
      </c>
      <c r="V203" s="7">
        <v>713450.27299999993</v>
      </c>
      <c r="W203" s="7">
        <v>456158.45699999988</v>
      </c>
      <c r="X203" s="7">
        <v>186450.40599999993</v>
      </c>
      <c r="Y203" s="7">
        <v>10038011.938000001</v>
      </c>
      <c r="Z203" s="8">
        <v>1.6786572584218218E-4</v>
      </c>
      <c r="AA203" s="8">
        <v>4.4529161471004102E-5</v>
      </c>
      <c r="AB203" s="8">
        <v>4.1136025991989066E-5</v>
      </c>
      <c r="AC203" s="8">
        <v>5.1184100490546667E-5</v>
      </c>
      <c r="AD203" s="8">
        <v>5.4838255399541006E-5</v>
      </c>
      <c r="AE203" s="8">
        <v>3.5327837513803584E-5</v>
      </c>
      <c r="AF203" s="8">
        <v>1.0929703712045961E-4</v>
      </c>
      <c r="AG203" s="8">
        <v>3.0836066412157645E-4</v>
      </c>
      <c r="AH203" s="8">
        <v>9.6238487583274188E-4</v>
      </c>
      <c r="AI203" s="8">
        <v>4.3175019956781446E-3</v>
      </c>
      <c r="AJ203" s="8">
        <v>2.0013923199221442E-4</v>
      </c>
    </row>
    <row r="204" spans="1:36" x14ac:dyDescent="0.2">
      <c r="A204" t="s">
        <v>238</v>
      </c>
      <c r="B204">
        <v>2012</v>
      </c>
      <c r="C204" t="s">
        <v>242</v>
      </c>
      <c r="D204" s="7">
        <v>116</v>
      </c>
      <c r="E204" s="7">
        <v>65</v>
      </c>
      <c r="F204" s="7">
        <v>61</v>
      </c>
      <c r="G204" s="7">
        <v>43</v>
      </c>
      <c r="H204" s="7">
        <v>44</v>
      </c>
      <c r="I204" s="7">
        <v>53</v>
      </c>
      <c r="J204" s="7">
        <v>117</v>
      </c>
      <c r="K204" s="7">
        <v>181</v>
      </c>
      <c r="L204" s="7">
        <v>435</v>
      </c>
      <c r="M204" s="7">
        <v>717</v>
      </c>
      <c r="N204" s="7">
        <v>1832</v>
      </c>
      <c r="O204" s="7">
        <v>599910.55200000014</v>
      </c>
      <c r="P204" s="7">
        <v>1319454.4460000002</v>
      </c>
      <c r="Q204" s="7">
        <v>1426900.5529999998</v>
      </c>
      <c r="R204" s="7">
        <v>1186222.6420000002</v>
      </c>
      <c r="S204" s="7">
        <v>1289746.9780000001</v>
      </c>
      <c r="T204" s="7">
        <v>1504700.1200000006</v>
      </c>
      <c r="U204" s="7">
        <v>1261431.676</v>
      </c>
      <c r="V204" s="7">
        <v>734819.66399999987</v>
      </c>
      <c r="W204" s="7">
        <v>450351.77500000008</v>
      </c>
      <c r="X204" s="7">
        <v>192076.19600000011</v>
      </c>
      <c r="Y204" s="7">
        <v>9965614.6020000018</v>
      </c>
      <c r="Z204" s="8">
        <v>1.9336215976411091E-4</v>
      </c>
      <c r="AA204" s="8">
        <v>4.9262784476607836E-5</v>
      </c>
      <c r="AB204" s="8">
        <v>4.2750000952589166E-5</v>
      </c>
      <c r="AC204" s="8">
        <v>3.624951883189563E-5</v>
      </c>
      <c r="AD204" s="8">
        <v>3.4115218527769246E-5</v>
      </c>
      <c r="AE204" s="8">
        <v>3.5222965224459464E-5</v>
      </c>
      <c r="AF204" s="8">
        <v>9.2751753603498378E-5</v>
      </c>
      <c r="AG204" s="8">
        <v>2.463189390097759E-4</v>
      </c>
      <c r="AH204" s="8">
        <v>9.6591159211041177E-4</v>
      </c>
      <c r="AI204" s="8">
        <v>3.7328935856268185E-3</v>
      </c>
      <c r="AJ204" s="8">
        <v>1.8383211404064686E-4</v>
      </c>
    </row>
    <row r="205" spans="1:36" x14ac:dyDescent="0.2">
      <c r="A205" t="s">
        <v>238</v>
      </c>
      <c r="B205">
        <v>2013</v>
      </c>
      <c r="C205" t="s">
        <v>243</v>
      </c>
      <c r="D205" s="7">
        <v>115</v>
      </c>
      <c r="E205" s="7">
        <v>49</v>
      </c>
      <c r="F205" s="7">
        <v>39</v>
      </c>
      <c r="G205" s="7">
        <v>47</v>
      </c>
      <c r="H205" s="7">
        <v>53</v>
      </c>
      <c r="I205" s="7">
        <v>69</v>
      </c>
      <c r="J205" s="7">
        <v>161</v>
      </c>
      <c r="K205" s="7">
        <v>267</v>
      </c>
      <c r="L205" s="7">
        <v>472</v>
      </c>
      <c r="M205" s="7">
        <v>847</v>
      </c>
      <c r="N205" s="7">
        <v>2119</v>
      </c>
      <c r="O205" s="7">
        <v>592084.32299999997</v>
      </c>
      <c r="P205" s="7">
        <v>1311111.5900000001</v>
      </c>
      <c r="Q205" s="7">
        <v>1431368.5860000006</v>
      </c>
      <c r="R205" s="7">
        <v>1186764.9839999999</v>
      </c>
      <c r="S205" s="7">
        <v>1265565.0380000004</v>
      </c>
      <c r="T205" s="7">
        <v>1493002.1159999999</v>
      </c>
      <c r="U205" s="7">
        <v>1305025.889</v>
      </c>
      <c r="V205" s="7">
        <v>771336.26499999966</v>
      </c>
      <c r="W205" s="7">
        <v>448408.83600000001</v>
      </c>
      <c r="X205" s="7">
        <v>197211.83099999992</v>
      </c>
      <c r="Y205" s="7">
        <v>10001879.458000001</v>
      </c>
      <c r="Z205" s="8">
        <v>1.9422909125057177E-4</v>
      </c>
      <c r="AA205" s="8">
        <v>3.7372867705333909E-5</v>
      </c>
      <c r="AB205" s="8">
        <v>2.7246650779857191E-5</v>
      </c>
      <c r="AC205" s="8">
        <v>3.960346035959551E-5</v>
      </c>
      <c r="AD205" s="8">
        <v>4.1878527304892236E-5</v>
      </c>
      <c r="AE205" s="8">
        <v>4.621560764084008E-5</v>
      </c>
      <c r="AF205" s="8">
        <v>1.2336920007262783E-4</v>
      </c>
      <c r="AG205" s="8">
        <v>3.4615253050496739E-4</v>
      </c>
      <c r="AH205" s="8">
        <v>1.0526108365982332E-3</v>
      </c>
      <c r="AI205" s="8">
        <v>4.2948741751705575E-3</v>
      </c>
      <c r="AJ205" s="8">
        <v>2.1186018176864933E-4</v>
      </c>
    </row>
    <row r="206" spans="1:36" x14ac:dyDescent="0.2">
      <c r="A206" t="s">
        <v>238</v>
      </c>
      <c r="B206">
        <v>2014</v>
      </c>
      <c r="C206" t="s">
        <v>244</v>
      </c>
      <c r="D206" s="7">
        <v>121</v>
      </c>
      <c r="E206" s="7">
        <v>59</v>
      </c>
      <c r="F206" s="7">
        <v>50</v>
      </c>
      <c r="G206" s="7">
        <v>40</v>
      </c>
      <c r="H206" s="7">
        <v>58</v>
      </c>
      <c r="I206" s="7">
        <v>81</v>
      </c>
      <c r="J206" s="7">
        <v>145</v>
      </c>
      <c r="K206" s="7">
        <v>267</v>
      </c>
      <c r="L206" s="7">
        <v>457</v>
      </c>
      <c r="M206" s="7">
        <v>829</v>
      </c>
      <c r="N206" s="7">
        <v>2107</v>
      </c>
      <c r="O206" s="7">
        <v>601956.16099999996</v>
      </c>
      <c r="P206" s="7">
        <v>1321074.5979999998</v>
      </c>
      <c r="Q206" s="7">
        <v>1462378.2209999999</v>
      </c>
      <c r="R206" s="7">
        <v>1225757.7560000003</v>
      </c>
      <c r="S206" s="7">
        <v>1265753.4470000004</v>
      </c>
      <c r="T206" s="7">
        <v>1497350.6650000005</v>
      </c>
      <c r="U206" s="7">
        <v>1357621.2179999996</v>
      </c>
      <c r="V206" s="7">
        <v>816396.00699999998</v>
      </c>
      <c r="W206" s="7">
        <v>459371.41400000005</v>
      </c>
      <c r="X206" s="7">
        <v>206073.80799999999</v>
      </c>
      <c r="Y206" s="7">
        <v>10213733.295000002</v>
      </c>
      <c r="Z206" s="8">
        <v>2.0101131583899514E-4</v>
      </c>
      <c r="AA206" s="8">
        <v>4.4660611966440985E-5</v>
      </c>
      <c r="AB206" s="8">
        <v>3.4190881183808331E-5</v>
      </c>
      <c r="AC206" s="8">
        <v>3.2632875300362358E-5</v>
      </c>
      <c r="AD206" s="8">
        <v>4.5822510013674078E-5</v>
      </c>
      <c r="AE206" s="8">
        <v>5.4095544813478927E-5</v>
      </c>
      <c r="AF206" s="8">
        <v>1.0680445920962325E-4</v>
      </c>
      <c r="AG206" s="8">
        <v>3.2704716548178806E-4</v>
      </c>
      <c r="AH206" s="8">
        <v>9.9483769793302793E-4</v>
      </c>
      <c r="AI206" s="8">
        <v>4.0228304996431184E-3</v>
      </c>
      <c r="AJ206" s="8">
        <v>2.0629087711066961E-4</v>
      </c>
    </row>
    <row r="207" spans="1:36" x14ac:dyDescent="0.2">
      <c r="A207" t="s">
        <v>238</v>
      </c>
      <c r="B207">
        <v>2015</v>
      </c>
      <c r="C207" t="s">
        <v>245</v>
      </c>
      <c r="D207" s="7">
        <v>114</v>
      </c>
      <c r="E207" s="7">
        <v>66</v>
      </c>
      <c r="F207" s="7">
        <v>41</v>
      </c>
      <c r="G207" s="7">
        <v>52</v>
      </c>
      <c r="H207" s="7">
        <v>58</v>
      </c>
      <c r="I207" s="7">
        <v>75</v>
      </c>
      <c r="J207" s="7">
        <v>155</v>
      </c>
      <c r="K207" s="7">
        <v>269</v>
      </c>
      <c r="L207" s="7">
        <v>438</v>
      </c>
      <c r="M207" s="7">
        <v>900</v>
      </c>
      <c r="N207" s="7">
        <v>2168</v>
      </c>
      <c r="O207" s="7">
        <v>572513.86199999985</v>
      </c>
      <c r="P207" s="7">
        <v>1258892.4949999999</v>
      </c>
      <c r="Q207" s="7">
        <v>1405404.1150000002</v>
      </c>
      <c r="R207" s="7">
        <v>1182813.0049999999</v>
      </c>
      <c r="S207" s="7">
        <v>1200096.3590000002</v>
      </c>
      <c r="T207" s="7">
        <v>1415202.6569999997</v>
      </c>
      <c r="U207" s="7">
        <v>1333383.9770000002</v>
      </c>
      <c r="V207" s="7">
        <v>821139.54900000012</v>
      </c>
      <c r="W207" s="7">
        <v>446294.15200000012</v>
      </c>
      <c r="X207" s="7">
        <v>200909.89499999999</v>
      </c>
      <c r="Y207" s="7">
        <v>9836650.0659999996</v>
      </c>
      <c r="Z207" s="8">
        <v>1.9912181619805046E-4</v>
      </c>
      <c r="AA207" s="8">
        <v>5.2427034287784842E-5</v>
      </c>
      <c r="AB207" s="8">
        <v>2.9173103709035314E-5</v>
      </c>
      <c r="AC207" s="8">
        <v>4.3962993119102543E-5</v>
      </c>
      <c r="AD207" s="8">
        <v>4.8329452518570627E-5</v>
      </c>
      <c r="AE207" s="8">
        <v>5.2995943463664666E-5</v>
      </c>
      <c r="AF207" s="8">
        <v>1.1624558467301875E-4</v>
      </c>
      <c r="AG207" s="8">
        <v>3.2759352576257409E-4</v>
      </c>
      <c r="AH207" s="8">
        <v>9.8141550373709546E-4</v>
      </c>
      <c r="AI207" s="8">
        <v>4.4796200804345654E-3</v>
      </c>
      <c r="AJ207" s="8">
        <v>2.204002364070679E-4</v>
      </c>
    </row>
    <row r="208" spans="1:36" x14ac:dyDescent="0.2">
      <c r="A208" t="s">
        <v>238</v>
      </c>
      <c r="B208">
        <v>2016</v>
      </c>
      <c r="C208" t="s">
        <v>246</v>
      </c>
      <c r="D208" s="7">
        <v>121</v>
      </c>
      <c r="E208" s="7">
        <v>60</v>
      </c>
      <c r="F208" s="7">
        <v>42</v>
      </c>
      <c r="G208" s="7">
        <v>29</v>
      </c>
      <c r="H208" s="7">
        <v>35</v>
      </c>
      <c r="I208" s="7">
        <v>78</v>
      </c>
      <c r="J208" s="7">
        <v>141</v>
      </c>
      <c r="K208" s="7">
        <v>272</v>
      </c>
      <c r="L208" s="7">
        <v>442</v>
      </c>
      <c r="M208" s="7">
        <v>640</v>
      </c>
      <c r="N208" s="7">
        <v>1860</v>
      </c>
      <c r="O208" s="7">
        <v>584275.99300000002</v>
      </c>
      <c r="P208" s="7">
        <v>1272806.7109999997</v>
      </c>
      <c r="Q208" s="7">
        <v>1429864.6650000003</v>
      </c>
      <c r="R208" s="7">
        <v>1227820.1890000002</v>
      </c>
      <c r="S208" s="7">
        <v>1209749.5760000004</v>
      </c>
      <c r="T208" s="7">
        <v>1413351.9710000001</v>
      </c>
      <c r="U208" s="7">
        <v>1368971.5559999996</v>
      </c>
      <c r="V208" s="7">
        <v>872459.91600000008</v>
      </c>
      <c r="W208" s="7">
        <v>453483.04499999998</v>
      </c>
      <c r="X208" s="7">
        <v>205856.769</v>
      </c>
      <c r="Y208" s="7">
        <v>10038640.390999999</v>
      </c>
      <c r="Z208" s="8">
        <v>2.0709391015488805E-4</v>
      </c>
      <c r="AA208" s="8">
        <v>4.7139914868032165E-5</v>
      </c>
      <c r="AB208" s="8">
        <v>2.9373409265974129E-5</v>
      </c>
      <c r="AC208" s="8">
        <v>2.3619093626094459E-5</v>
      </c>
      <c r="AD208" s="8">
        <v>2.8931607577600002E-5</v>
      </c>
      <c r="AE208" s="8">
        <v>5.5187951480204919E-5</v>
      </c>
      <c r="AF208" s="8">
        <v>1.029970267694883E-4</v>
      </c>
      <c r="AG208" s="8">
        <v>3.1176217383951422E-4</v>
      </c>
      <c r="AH208" s="8">
        <v>9.7467811613552175E-4</v>
      </c>
      <c r="AI208" s="8">
        <v>3.1089577627636815E-3</v>
      </c>
      <c r="AJ208" s="8">
        <v>1.8528405516623114E-4</v>
      </c>
    </row>
    <row r="209" spans="1:36" x14ac:dyDescent="0.2">
      <c r="A209" t="s">
        <v>238</v>
      </c>
      <c r="B209">
        <v>2017</v>
      </c>
      <c r="C209" t="s">
        <v>247</v>
      </c>
      <c r="D209" s="7">
        <v>114</v>
      </c>
      <c r="E209" s="7">
        <v>59</v>
      </c>
      <c r="F209" s="7">
        <v>47</v>
      </c>
      <c r="G209" s="7">
        <v>62</v>
      </c>
      <c r="H209" s="7">
        <v>42</v>
      </c>
      <c r="I209" s="7">
        <v>62</v>
      </c>
      <c r="J209" s="7">
        <v>177</v>
      </c>
      <c r="K209" s="7">
        <v>270</v>
      </c>
      <c r="L209" s="7">
        <v>441</v>
      </c>
      <c r="M209" s="7">
        <v>784</v>
      </c>
      <c r="N209" s="7">
        <v>2058</v>
      </c>
      <c r="O209" s="7">
        <v>572076</v>
      </c>
      <c r="P209" s="7">
        <v>1235768</v>
      </c>
      <c r="Q209" s="7">
        <v>1385654</v>
      </c>
      <c r="R209" s="7">
        <v>1214309</v>
      </c>
      <c r="S209" s="7">
        <v>1173696</v>
      </c>
      <c r="T209" s="7">
        <v>1353847</v>
      </c>
      <c r="U209" s="7">
        <v>1355360</v>
      </c>
      <c r="V209" s="7">
        <v>891473</v>
      </c>
      <c r="W209" s="7">
        <v>450898</v>
      </c>
      <c r="X209" s="7">
        <v>202620</v>
      </c>
      <c r="Y209" s="7">
        <v>9835701</v>
      </c>
      <c r="Z209" s="8">
        <v>1.9927422230612716E-4</v>
      </c>
      <c r="AA209" s="8">
        <v>4.7743589411604769E-5</v>
      </c>
      <c r="AB209" s="8">
        <v>3.3919001424598061E-5</v>
      </c>
      <c r="AC209" s="8">
        <v>5.1057844420159944E-5</v>
      </c>
      <c r="AD209" s="8">
        <v>3.5784393914608209E-5</v>
      </c>
      <c r="AE209" s="8">
        <v>4.5795425923313347E-5</v>
      </c>
      <c r="AF209" s="8">
        <v>1.3059261008145436E-4</v>
      </c>
      <c r="AG209" s="8">
        <v>3.0286952044537526E-4</v>
      </c>
      <c r="AH209" s="8">
        <v>9.7804825038035211E-4</v>
      </c>
      <c r="AI209" s="8">
        <v>3.8693120126344883E-3</v>
      </c>
      <c r="AJ209" s="8">
        <v>2.0923775539740381E-4</v>
      </c>
    </row>
    <row r="210" spans="1:36" x14ac:dyDescent="0.2">
      <c r="A210" t="s">
        <v>248</v>
      </c>
      <c r="B210">
        <v>2009</v>
      </c>
      <c r="C210" t="s">
        <v>249</v>
      </c>
      <c r="D210" s="7">
        <v>108</v>
      </c>
      <c r="E210" s="7">
        <v>68</v>
      </c>
      <c r="F210" s="7">
        <v>53</v>
      </c>
      <c r="G210" s="7">
        <v>48</v>
      </c>
      <c r="H210" s="7">
        <v>31</v>
      </c>
      <c r="I210" s="7">
        <v>54</v>
      </c>
      <c r="J210" s="7">
        <v>45</v>
      </c>
      <c r="K210" s="7">
        <v>62</v>
      </c>
      <c r="L210" s="7">
        <v>113</v>
      </c>
      <c r="M210" s="7">
        <v>348</v>
      </c>
      <c r="N210" s="7">
        <v>930</v>
      </c>
      <c r="O210" s="7">
        <v>355376.36499999987</v>
      </c>
      <c r="P210" s="7">
        <v>682853.10900000005</v>
      </c>
      <c r="Q210" s="7">
        <v>744504.18099999998</v>
      </c>
      <c r="R210" s="7">
        <v>674692.80800000019</v>
      </c>
      <c r="S210" s="7">
        <v>732412.09800000011</v>
      </c>
      <c r="T210" s="7">
        <v>793111.63500000001</v>
      </c>
      <c r="U210" s="7">
        <v>555629.36899999995</v>
      </c>
      <c r="V210" s="7">
        <v>322401.67600000015</v>
      </c>
      <c r="W210" s="7">
        <v>220317.405</v>
      </c>
      <c r="X210" s="7">
        <v>98963.991999999955</v>
      </c>
      <c r="Y210" s="7">
        <v>5180262.6380000003</v>
      </c>
      <c r="Z210" s="8">
        <v>3.039031591197688E-4</v>
      </c>
      <c r="AA210" s="8">
        <v>9.9582178222168709E-5</v>
      </c>
      <c r="AB210" s="8">
        <v>7.1188317477024348E-5</v>
      </c>
      <c r="AC210" s="8">
        <v>7.1143488460010361E-5</v>
      </c>
      <c r="AD210" s="8">
        <v>4.2325898335993889E-5</v>
      </c>
      <c r="AE210" s="8">
        <v>6.8086253708785898E-5</v>
      </c>
      <c r="AF210" s="8">
        <v>8.0989239429494602E-5</v>
      </c>
      <c r="AG210" s="8">
        <v>1.9230669259920338E-4</v>
      </c>
      <c r="AH210" s="8">
        <v>5.1289638238068386E-4</v>
      </c>
      <c r="AI210" s="8">
        <v>3.5164305013079926E-3</v>
      </c>
      <c r="AJ210" s="8">
        <v>1.7952757707262795E-4</v>
      </c>
    </row>
    <row r="211" spans="1:36" x14ac:dyDescent="0.2">
      <c r="A211" t="s">
        <v>248</v>
      </c>
      <c r="B211">
        <v>2010</v>
      </c>
      <c r="C211" t="s">
        <v>250</v>
      </c>
      <c r="D211" s="7">
        <v>105</v>
      </c>
      <c r="E211" s="7">
        <v>45</v>
      </c>
      <c r="F211" s="7">
        <v>56</v>
      </c>
      <c r="G211" s="7">
        <v>55</v>
      </c>
      <c r="H211" s="7">
        <v>44</v>
      </c>
      <c r="I211" s="7">
        <v>54</v>
      </c>
      <c r="J211" s="7">
        <v>56</v>
      </c>
      <c r="K211" s="7">
        <v>59</v>
      </c>
      <c r="L211" s="7">
        <v>118</v>
      </c>
      <c r="M211" s="7">
        <v>355</v>
      </c>
      <c r="N211" s="7">
        <v>947</v>
      </c>
      <c r="O211" s="7">
        <v>356355.61899999989</v>
      </c>
      <c r="P211" s="7">
        <v>709364.80800000019</v>
      </c>
      <c r="Q211" s="7">
        <v>742480.63799999992</v>
      </c>
      <c r="R211" s="7">
        <v>699481.02399999986</v>
      </c>
      <c r="S211" s="7">
        <v>721482.24600000004</v>
      </c>
      <c r="T211" s="7">
        <v>808402.24</v>
      </c>
      <c r="U211" s="7">
        <v>591692.90199999989</v>
      </c>
      <c r="V211" s="7">
        <v>337083.14199999976</v>
      </c>
      <c r="W211" s="7">
        <v>227163.02700000003</v>
      </c>
      <c r="X211" s="7">
        <v>99927.941999999981</v>
      </c>
      <c r="Y211" s="7">
        <v>5293433.5879999995</v>
      </c>
      <c r="Z211" s="8">
        <v>2.9464948607980284E-4</v>
      </c>
      <c r="AA211" s="8">
        <v>6.3437034784505391E-5</v>
      </c>
      <c r="AB211" s="8">
        <v>7.5422842204809132E-5</v>
      </c>
      <c r="AC211" s="8">
        <v>7.8629724199637483E-5</v>
      </c>
      <c r="AD211" s="8">
        <v>6.0985561659960789E-5</v>
      </c>
      <c r="AE211" s="8">
        <v>6.6798429455118785E-5</v>
      </c>
      <c r="AF211" s="8">
        <v>9.4643690689397543E-5</v>
      </c>
      <c r="AG211" s="8">
        <v>1.7503100169868489E-4</v>
      </c>
      <c r="AH211" s="8">
        <v>5.1945072910126338E-4</v>
      </c>
      <c r="AI211" s="8">
        <v>3.5525599036153478E-3</v>
      </c>
      <c r="AJ211" s="8">
        <v>1.7890089376899161E-4</v>
      </c>
    </row>
    <row r="212" spans="1:36" x14ac:dyDescent="0.2">
      <c r="A212" t="s">
        <v>248</v>
      </c>
      <c r="B212">
        <v>2011</v>
      </c>
      <c r="C212" t="s">
        <v>251</v>
      </c>
      <c r="D212" s="7">
        <v>87</v>
      </c>
      <c r="E212" s="7">
        <v>56</v>
      </c>
      <c r="F212" s="7">
        <v>50</v>
      </c>
      <c r="G212" s="7">
        <v>50</v>
      </c>
      <c r="H212" s="7">
        <v>41</v>
      </c>
      <c r="I212" s="7">
        <v>44</v>
      </c>
      <c r="J212" s="7">
        <v>58</v>
      </c>
      <c r="K212" s="7">
        <v>69</v>
      </c>
      <c r="L212" s="7">
        <v>115</v>
      </c>
      <c r="M212" s="7">
        <v>394</v>
      </c>
      <c r="N212" s="7">
        <v>964</v>
      </c>
      <c r="O212" s="7">
        <v>347049.34499999986</v>
      </c>
      <c r="P212" s="7">
        <v>692633.50999999978</v>
      </c>
      <c r="Q212" s="7">
        <v>717509.92899999989</v>
      </c>
      <c r="R212" s="7">
        <v>693966.83900000004</v>
      </c>
      <c r="S212" s="7">
        <v>688189.31</v>
      </c>
      <c r="T212" s="7">
        <v>789209.65899999999</v>
      </c>
      <c r="U212" s="7">
        <v>597251.11299999978</v>
      </c>
      <c r="V212" s="7">
        <v>335296.88500000007</v>
      </c>
      <c r="W212" s="7">
        <v>217665.36299999995</v>
      </c>
      <c r="X212" s="7">
        <v>98867.529999999984</v>
      </c>
      <c r="Y212" s="7">
        <v>5177639.4829999991</v>
      </c>
      <c r="Z212" s="8">
        <v>2.506848125588597E-4</v>
      </c>
      <c r="AA212" s="8">
        <v>8.0850838418141242E-5</v>
      </c>
      <c r="AB212" s="8">
        <v>6.9685446819788899E-5</v>
      </c>
      <c r="AC212" s="8">
        <v>7.204955221210505E-5</v>
      </c>
      <c r="AD212" s="8">
        <v>5.9576630157187411E-5</v>
      </c>
      <c r="AE212" s="8">
        <v>5.5751978575315434E-5</v>
      </c>
      <c r="AF212" s="8">
        <v>9.7111581272180941E-5</v>
      </c>
      <c r="AG212" s="8">
        <v>2.057877752130026E-4</v>
      </c>
      <c r="AH212" s="8">
        <v>5.2833394535078157E-4</v>
      </c>
      <c r="AI212" s="8">
        <v>3.9851304063123665E-3</v>
      </c>
      <c r="AJ212" s="8">
        <v>1.8618523038638535E-4</v>
      </c>
    </row>
    <row r="213" spans="1:36" x14ac:dyDescent="0.2">
      <c r="A213" t="s">
        <v>248</v>
      </c>
      <c r="B213">
        <v>2012</v>
      </c>
      <c r="C213" t="s">
        <v>252</v>
      </c>
      <c r="D213" s="7">
        <v>122</v>
      </c>
      <c r="E213" s="7">
        <v>64</v>
      </c>
      <c r="F213" s="7">
        <v>85</v>
      </c>
      <c r="G213" s="7">
        <v>51</v>
      </c>
      <c r="H213" s="7">
        <v>53</v>
      </c>
      <c r="I213" s="7">
        <v>58</v>
      </c>
      <c r="J213" s="7">
        <v>45</v>
      </c>
      <c r="K213" s="7">
        <v>48</v>
      </c>
      <c r="L213" s="7">
        <v>140</v>
      </c>
      <c r="M213" s="7">
        <v>366</v>
      </c>
      <c r="N213" s="7">
        <v>1032</v>
      </c>
      <c r="O213" s="7">
        <v>341047.29699999996</v>
      </c>
      <c r="P213" s="7">
        <v>683350.68899999955</v>
      </c>
      <c r="Q213" s="7">
        <v>704983.55799999996</v>
      </c>
      <c r="R213" s="7">
        <v>696394.72499999986</v>
      </c>
      <c r="S213" s="7">
        <v>664139.21500000032</v>
      </c>
      <c r="T213" s="7">
        <v>769391.46200000029</v>
      </c>
      <c r="U213" s="7">
        <v>603527.45099999977</v>
      </c>
      <c r="V213" s="7">
        <v>339427.64200000011</v>
      </c>
      <c r="W213" s="7">
        <v>210267.85400000002</v>
      </c>
      <c r="X213" s="7">
        <v>96863.700999999943</v>
      </c>
      <c r="Y213" s="7">
        <v>5109393.5940000005</v>
      </c>
      <c r="Z213" s="8">
        <v>3.5772164469023785E-4</v>
      </c>
      <c r="AA213" s="8">
        <v>9.3656157856014162E-5</v>
      </c>
      <c r="AB213" s="8">
        <v>1.2057018782273502E-4</v>
      </c>
      <c r="AC213" s="8">
        <v>7.3234328419130416E-5</v>
      </c>
      <c r="AD213" s="8">
        <v>7.9802545615379719E-5</v>
      </c>
      <c r="AE213" s="8">
        <v>7.5384252184488077E-5</v>
      </c>
      <c r="AF213" s="8">
        <v>7.4561645746914037E-5</v>
      </c>
      <c r="AG213" s="8">
        <v>1.4141452863759393E-4</v>
      </c>
      <c r="AH213" s="8">
        <v>6.6581741971837494E-4</v>
      </c>
      <c r="AI213" s="8">
        <v>3.778505221476105E-3</v>
      </c>
      <c r="AJ213" s="8">
        <v>2.019809163286785E-4</v>
      </c>
    </row>
    <row r="214" spans="1:36" x14ac:dyDescent="0.2">
      <c r="A214" t="s">
        <v>248</v>
      </c>
      <c r="B214">
        <v>2013</v>
      </c>
      <c r="C214" t="s">
        <v>253</v>
      </c>
      <c r="D214" s="7">
        <v>119</v>
      </c>
      <c r="E214" s="7">
        <v>47</v>
      </c>
      <c r="F214" s="7">
        <v>42</v>
      </c>
      <c r="G214" s="7">
        <v>45</v>
      </c>
      <c r="H214" s="7">
        <v>50</v>
      </c>
      <c r="I214" s="7">
        <v>64</v>
      </c>
      <c r="J214" s="7">
        <v>50</v>
      </c>
      <c r="K214" s="7">
        <v>67</v>
      </c>
      <c r="L214" s="7">
        <v>145</v>
      </c>
      <c r="M214" s="7">
        <v>420</v>
      </c>
      <c r="N214" s="7">
        <v>1049</v>
      </c>
      <c r="O214" s="7">
        <v>370790.61</v>
      </c>
      <c r="P214" s="7">
        <v>753943.83000000007</v>
      </c>
      <c r="Q214" s="7">
        <v>764498.21400000004</v>
      </c>
      <c r="R214" s="7">
        <v>764300.41999999993</v>
      </c>
      <c r="S214" s="7">
        <v>719802.03999999969</v>
      </c>
      <c r="T214" s="7">
        <v>846048.28800000006</v>
      </c>
      <c r="U214" s="7">
        <v>709239.2559999997</v>
      </c>
      <c r="V214" s="7">
        <v>423452.25099999999</v>
      </c>
      <c r="W214" s="7">
        <v>256021.48199999993</v>
      </c>
      <c r="X214" s="7">
        <v>115688.09699999999</v>
      </c>
      <c r="Y214" s="7">
        <v>5723784.4879999999</v>
      </c>
      <c r="Z214" s="8">
        <v>3.2093585109935766E-4</v>
      </c>
      <c r="AA214" s="8">
        <v>6.233886150378072E-5</v>
      </c>
      <c r="AB214" s="8">
        <v>5.4937996231865624E-5</v>
      </c>
      <c r="AC214" s="8">
        <v>5.887737180623295E-5</v>
      </c>
      <c r="AD214" s="8">
        <v>6.9463543059700164E-5</v>
      </c>
      <c r="AE214" s="8">
        <v>7.5645800491236256E-5</v>
      </c>
      <c r="AF214" s="8">
        <v>7.0498071810057875E-5</v>
      </c>
      <c r="AG214" s="8">
        <v>1.5822327037293279E-4</v>
      </c>
      <c r="AH214" s="8">
        <v>5.6635872453859176E-4</v>
      </c>
      <c r="AI214" s="8">
        <v>3.630451281431313E-3</v>
      </c>
      <c r="AJ214" s="8">
        <v>1.8327035236900415E-4</v>
      </c>
    </row>
    <row r="215" spans="1:36" x14ac:dyDescent="0.2">
      <c r="A215" t="s">
        <v>248</v>
      </c>
      <c r="B215">
        <v>2014</v>
      </c>
      <c r="C215" t="s">
        <v>254</v>
      </c>
      <c r="D215" s="7">
        <v>123</v>
      </c>
      <c r="E215" s="7">
        <v>72</v>
      </c>
      <c r="F215" s="7">
        <v>52</v>
      </c>
      <c r="G215" s="7">
        <v>65</v>
      </c>
      <c r="H215" s="7">
        <v>52</v>
      </c>
      <c r="I215" s="7">
        <v>60</v>
      </c>
      <c r="J215" s="7">
        <v>36</v>
      </c>
      <c r="K215" s="7">
        <v>64</v>
      </c>
      <c r="L215" s="7">
        <v>110</v>
      </c>
      <c r="M215" s="7">
        <v>337</v>
      </c>
      <c r="N215" s="7">
        <v>971</v>
      </c>
      <c r="O215" s="7">
        <v>351684.38299999997</v>
      </c>
      <c r="P215" s="7">
        <v>716041.5419999999</v>
      </c>
      <c r="Q215" s="7">
        <v>724881.31200000027</v>
      </c>
      <c r="R215" s="7">
        <v>740832.29500000074</v>
      </c>
      <c r="S215" s="7">
        <v>676225.7080000001</v>
      </c>
      <c r="T215" s="7">
        <v>782852.24499999976</v>
      </c>
      <c r="U215" s="7">
        <v>670177.74699999974</v>
      </c>
      <c r="V215" s="7">
        <v>390400.53500000009</v>
      </c>
      <c r="W215" s="7">
        <v>224499.34299999996</v>
      </c>
      <c r="X215" s="7">
        <v>104745.98300000002</v>
      </c>
      <c r="Y215" s="7">
        <v>5382341.0930000013</v>
      </c>
      <c r="Z215" s="8">
        <v>3.4974541363128997E-4</v>
      </c>
      <c r="AA215" s="8">
        <v>1.0055282518789952E-4</v>
      </c>
      <c r="AB215" s="8">
        <v>7.1735881639062012E-5</v>
      </c>
      <c r="AC215" s="8">
        <v>8.773915559391203E-5</v>
      </c>
      <c r="AD215" s="8">
        <v>7.6897401836133669E-5</v>
      </c>
      <c r="AE215" s="8">
        <v>7.664281527352587E-5</v>
      </c>
      <c r="AF215" s="8">
        <v>5.3717092459651623E-5</v>
      </c>
      <c r="AG215" s="8">
        <v>1.6393420157582517E-4</v>
      </c>
      <c r="AH215" s="8">
        <v>4.8997916221073311E-4</v>
      </c>
      <c r="AI215" s="8">
        <v>3.217307149621193E-3</v>
      </c>
      <c r="AJ215" s="8">
        <v>1.8040476870981534E-4</v>
      </c>
    </row>
    <row r="216" spans="1:36" x14ac:dyDescent="0.2">
      <c r="A216" t="s">
        <v>248</v>
      </c>
      <c r="B216">
        <v>2015</v>
      </c>
      <c r="C216" t="s">
        <v>255</v>
      </c>
      <c r="D216" s="7">
        <v>91</v>
      </c>
      <c r="E216" s="7">
        <v>48</v>
      </c>
      <c r="F216" s="7">
        <v>50</v>
      </c>
      <c r="G216" s="7">
        <v>36</v>
      </c>
      <c r="H216" s="7">
        <v>32</v>
      </c>
      <c r="I216" s="7">
        <v>47</v>
      </c>
      <c r="J216" s="7">
        <v>82</v>
      </c>
      <c r="K216" s="7">
        <v>73</v>
      </c>
      <c r="L216" s="7">
        <v>132</v>
      </c>
      <c r="M216" s="7">
        <v>415</v>
      </c>
      <c r="N216" s="7">
        <v>1006</v>
      </c>
      <c r="O216" s="7">
        <v>351162.272</v>
      </c>
      <c r="P216" s="7">
        <v>720982.77500000002</v>
      </c>
      <c r="Q216" s="7">
        <v>721008.71300000022</v>
      </c>
      <c r="R216" s="7">
        <v>747053.98499999999</v>
      </c>
      <c r="S216" s="7">
        <v>678468.00100000005</v>
      </c>
      <c r="T216" s="7">
        <v>778905.10699999996</v>
      </c>
      <c r="U216" s="7">
        <v>699630.71300000011</v>
      </c>
      <c r="V216" s="7">
        <v>414257.79600000003</v>
      </c>
      <c r="W216" s="7">
        <v>231028.60099999991</v>
      </c>
      <c r="X216" s="7">
        <v>109606.97599999998</v>
      </c>
      <c r="Y216" s="7">
        <v>5452104.9390000002</v>
      </c>
      <c r="Z216" s="8">
        <v>2.5913945561896809E-4</v>
      </c>
      <c r="AA216" s="8">
        <v>6.6575793020852685E-5</v>
      </c>
      <c r="AB216" s="8">
        <v>6.9347289565972259E-5</v>
      </c>
      <c r="AC216" s="8">
        <v>4.8189288488970447E-5</v>
      </c>
      <c r="AD216" s="8">
        <v>4.7165083619028334E-5</v>
      </c>
      <c r="AE216" s="8">
        <v>6.0341111616308871E-5</v>
      </c>
      <c r="AF216" s="8">
        <v>1.1720468881131007E-4</v>
      </c>
      <c r="AG216" s="8">
        <v>1.7621877175245725E-4</v>
      </c>
      <c r="AH216" s="8">
        <v>5.7135782941437647E-4</v>
      </c>
      <c r="AI216" s="8">
        <v>3.7862553565933621E-3</v>
      </c>
      <c r="AJ216" s="8">
        <v>1.8451589088168134E-4</v>
      </c>
    </row>
    <row r="217" spans="1:36" x14ac:dyDescent="0.2">
      <c r="A217" t="s">
        <v>248</v>
      </c>
      <c r="B217">
        <v>2016</v>
      </c>
      <c r="C217" t="s">
        <v>256</v>
      </c>
      <c r="D217" s="7">
        <v>122</v>
      </c>
      <c r="E217" s="7">
        <v>59</v>
      </c>
      <c r="F217" s="7">
        <v>51</v>
      </c>
      <c r="G217" s="7">
        <v>67</v>
      </c>
      <c r="H217" s="7">
        <v>59</v>
      </c>
      <c r="I217" s="7">
        <v>70</v>
      </c>
      <c r="J217" s="7">
        <v>56</v>
      </c>
      <c r="K217" s="7">
        <v>70</v>
      </c>
      <c r="L217" s="7">
        <v>89</v>
      </c>
      <c r="M217" s="7">
        <v>275</v>
      </c>
      <c r="N217" s="7">
        <v>918</v>
      </c>
      <c r="O217" s="7">
        <v>349408.21800000011</v>
      </c>
      <c r="P217" s="7">
        <v>721585.48000000021</v>
      </c>
      <c r="Q217" s="7">
        <v>714904.05</v>
      </c>
      <c r="R217" s="7">
        <v>745732.64899999951</v>
      </c>
      <c r="S217" s="7">
        <v>673195.2899999998</v>
      </c>
      <c r="T217" s="7">
        <v>758629.84099999978</v>
      </c>
      <c r="U217" s="7">
        <v>709636.79099999974</v>
      </c>
      <c r="V217" s="7">
        <v>431223.72999999981</v>
      </c>
      <c r="W217" s="7">
        <v>231958.28800000009</v>
      </c>
      <c r="X217" s="7">
        <v>112451.28400000001</v>
      </c>
      <c r="Y217" s="7">
        <v>5448725.6209999993</v>
      </c>
      <c r="Z217" s="8">
        <v>3.4916179332679565E-4</v>
      </c>
      <c r="AA217" s="8">
        <v>8.1764394704837999E-5</v>
      </c>
      <c r="AB217" s="8">
        <v>7.1338244621778265E-5</v>
      </c>
      <c r="AC217" s="8">
        <v>8.9844530864840872E-5</v>
      </c>
      <c r="AD217" s="8">
        <v>8.7641730232545178E-5</v>
      </c>
      <c r="AE217" s="8">
        <v>9.2271614187662858E-5</v>
      </c>
      <c r="AF217" s="8">
        <v>7.891360863785883E-5</v>
      </c>
      <c r="AG217" s="8">
        <v>1.6232872898715484E-4</v>
      </c>
      <c r="AH217" s="8">
        <v>3.8368967441249595E-4</v>
      </c>
      <c r="AI217" s="8">
        <v>2.4455034235091521E-3</v>
      </c>
      <c r="AJ217" s="8">
        <v>1.6847976276542997E-4</v>
      </c>
    </row>
    <row r="218" spans="1:36" x14ac:dyDescent="0.2">
      <c r="A218" t="s">
        <v>248</v>
      </c>
      <c r="B218">
        <v>2017</v>
      </c>
      <c r="C218" t="s">
        <v>257</v>
      </c>
      <c r="D218" s="7">
        <v>120</v>
      </c>
      <c r="E218" s="7">
        <v>58</v>
      </c>
      <c r="F218" s="7">
        <v>54</v>
      </c>
      <c r="G218" s="7">
        <v>66</v>
      </c>
      <c r="H218" s="7">
        <v>60</v>
      </c>
      <c r="I218" s="7">
        <v>51</v>
      </c>
      <c r="J218" s="7">
        <v>58</v>
      </c>
      <c r="K218" s="7">
        <v>74</v>
      </c>
      <c r="L218" s="7">
        <v>123</v>
      </c>
      <c r="M218" s="7">
        <v>377</v>
      </c>
      <c r="N218" s="7">
        <v>1041</v>
      </c>
      <c r="O218" s="7">
        <v>339385</v>
      </c>
      <c r="P218" s="7">
        <v>702142</v>
      </c>
      <c r="Q218" s="7">
        <v>687775</v>
      </c>
      <c r="R218" s="7">
        <v>727777</v>
      </c>
      <c r="S218" s="7">
        <v>659606</v>
      </c>
      <c r="T218" s="7">
        <v>722635</v>
      </c>
      <c r="U218" s="7">
        <v>700935</v>
      </c>
      <c r="V218" s="7">
        <v>437517</v>
      </c>
      <c r="W218" s="7">
        <v>227864</v>
      </c>
      <c r="X218" s="7">
        <v>108553</v>
      </c>
      <c r="Y218" s="7">
        <v>5314189</v>
      </c>
      <c r="Z218" s="8">
        <v>3.5358074163560556E-4</v>
      </c>
      <c r="AA218" s="8">
        <v>8.2604373474311465E-5</v>
      </c>
      <c r="AB218" s="8">
        <v>7.8514048925884192E-5</v>
      </c>
      <c r="AC218" s="8">
        <v>9.0687119818295986E-5</v>
      </c>
      <c r="AD218" s="8">
        <v>9.0963393298423603E-5</v>
      </c>
      <c r="AE218" s="8">
        <v>7.0575048260878591E-5</v>
      </c>
      <c r="AF218" s="8">
        <v>8.2746617018696455E-5</v>
      </c>
      <c r="AG218" s="8">
        <v>1.6913628499006897E-4</v>
      </c>
      <c r="AH218" s="8">
        <v>5.3979566759119471E-4</v>
      </c>
      <c r="AI218" s="8">
        <v>3.4729579099610328E-3</v>
      </c>
      <c r="AJ218" s="8">
        <v>1.9589066177360271E-4</v>
      </c>
    </row>
    <row r="219" spans="1:36" x14ac:dyDescent="0.2">
      <c r="A219" t="s">
        <v>258</v>
      </c>
      <c r="B219">
        <v>2009</v>
      </c>
      <c r="C219" t="s">
        <v>259</v>
      </c>
      <c r="D219" s="7">
        <v>117</v>
      </c>
      <c r="E219" s="7">
        <v>55</v>
      </c>
      <c r="F219" s="7">
        <v>41</v>
      </c>
      <c r="G219" s="7">
        <v>73</v>
      </c>
      <c r="H219" s="7">
        <v>62</v>
      </c>
      <c r="I219" s="7">
        <v>58</v>
      </c>
      <c r="J219" s="7">
        <v>55</v>
      </c>
      <c r="K219" s="7">
        <v>76</v>
      </c>
      <c r="L219" s="7">
        <v>165</v>
      </c>
      <c r="M219" s="7">
        <v>219</v>
      </c>
      <c r="N219" s="7">
        <v>921</v>
      </c>
      <c r="O219" s="7">
        <v>219349.74400000001</v>
      </c>
      <c r="P219" s="7">
        <v>425342.53299999994</v>
      </c>
      <c r="Q219" s="7">
        <v>455545.85800000001</v>
      </c>
      <c r="R219" s="7">
        <v>389162.83099999995</v>
      </c>
      <c r="S219" s="7">
        <v>392664.90899999999</v>
      </c>
      <c r="T219" s="7">
        <v>413097.86300000007</v>
      </c>
      <c r="U219" s="7">
        <v>318894.9659999999</v>
      </c>
      <c r="V219" s="7">
        <v>199681.30100000001</v>
      </c>
      <c r="W219" s="7">
        <v>127688.69000000002</v>
      </c>
      <c r="X219" s="7">
        <v>47582.691999999995</v>
      </c>
      <c r="Y219" s="7">
        <v>2989011.3869999996</v>
      </c>
      <c r="Z219" s="8">
        <v>5.333947415046903E-4</v>
      </c>
      <c r="AA219" s="8">
        <v>1.2930754799450072E-4</v>
      </c>
      <c r="AB219" s="8">
        <v>9.0001915899320939E-5</v>
      </c>
      <c r="AC219" s="8">
        <v>1.875821486148044E-4</v>
      </c>
      <c r="AD219" s="8">
        <v>1.5789544361856893E-4</v>
      </c>
      <c r="AE219" s="8">
        <v>1.4040256606217299E-4</v>
      </c>
      <c r="AF219" s="8">
        <v>1.7247058079932192E-4</v>
      </c>
      <c r="AG219" s="8">
        <v>3.806064945460266E-4</v>
      </c>
      <c r="AH219" s="8">
        <v>1.2922052845870686E-3</v>
      </c>
      <c r="AI219" s="8">
        <v>4.6025138720608748E-3</v>
      </c>
      <c r="AJ219" s="8">
        <v>3.0812863544303387E-4</v>
      </c>
    </row>
    <row r="220" spans="1:36" x14ac:dyDescent="0.2">
      <c r="A220" t="s">
        <v>258</v>
      </c>
      <c r="B220">
        <v>2010</v>
      </c>
      <c r="C220" t="s">
        <v>260</v>
      </c>
      <c r="D220" s="7">
        <v>128</v>
      </c>
      <c r="E220" s="7">
        <v>38</v>
      </c>
      <c r="F220" s="7">
        <v>63</v>
      </c>
      <c r="G220" s="7">
        <v>59</v>
      </c>
      <c r="H220" s="7">
        <v>51</v>
      </c>
      <c r="I220" s="7">
        <v>58</v>
      </c>
      <c r="J220" s="7">
        <v>64</v>
      </c>
      <c r="K220" s="7">
        <v>91</v>
      </c>
      <c r="L220" s="7">
        <v>138</v>
      </c>
      <c r="M220" s="7">
        <v>220</v>
      </c>
      <c r="N220" s="7">
        <v>910</v>
      </c>
      <c r="O220" s="7">
        <v>200468.73899999997</v>
      </c>
      <c r="P220" s="7">
        <v>399212.23199999996</v>
      </c>
      <c r="Q220" s="7">
        <v>425775.75299999997</v>
      </c>
      <c r="R220" s="7">
        <v>365293.18999999983</v>
      </c>
      <c r="S220" s="7">
        <v>370778.00299999991</v>
      </c>
      <c r="T220" s="7">
        <v>398368.76799999992</v>
      </c>
      <c r="U220" s="7">
        <v>317045.12699999998</v>
      </c>
      <c r="V220" s="7">
        <v>196534.02500000002</v>
      </c>
      <c r="W220" s="7">
        <v>114209.88999999997</v>
      </c>
      <c r="X220" s="7">
        <v>41514.02399999999</v>
      </c>
      <c r="Y220" s="7">
        <v>2829199.7509999997</v>
      </c>
      <c r="Z220" s="8">
        <v>6.3850354244010098E-4</v>
      </c>
      <c r="AA220" s="8">
        <v>9.5187464095539039E-5</v>
      </c>
      <c r="AB220" s="8">
        <v>1.4796521304020804E-4</v>
      </c>
      <c r="AC220" s="8">
        <v>1.6151409775802289E-4</v>
      </c>
      <c r="AD220" s="8">
        <v>1.3754861288251777E-4</v>
      </c>
      <c r="AE220" s="8">
        <v>1.4559374293117279E-4</v>
      </c>
      <c r="AF220" s="8">
        <v>2.0186400783255061E-4</v>
      </c>
      <c r="AG220" s="8">
        <v>4.6302415065279404E-4</v>
      </c>
      <c r="AH220" s="8">
        <v>1.2083016628419835E-3</v>
      </c>
      <c r="AI220" s="8">
        <v>5.2994140004351317E-3</v>
      </c>
      <c r="AJ220" s="8">
        <v>3.2164572320436349E-4</v>
      </c>
    </row>
    <row r="221" spans="1:36" x14ac:dyDescent="0.2">
      <c r="A221" t="s">
        <v>258</v>
      </c>
      <c r="B221">
        <v>2011</v>
      </c>
      <c r="C221" t="s">
        <v>261</v>
      </c>
      <c r="D221" s="7">
        <v>99</v>
      </c>
      <c r="E221" s="7">
        <v>65</v>
      </c>
      <c r="F221" s="7">
        <v>41</v>
      </c>
      <c r="G221" s="7">
        <v>74</v>
      </c>
      <c r="H221" s="7">
        <v>70</v>
      </c>
      <c r="I221" s="7">
        <v>43</v>
      </c>
      <c r="J221" s="7">
        <v>58</v>
      </c>
      <c r="K221" s="7">
        <v>63</v>
      </c>
      <c r="L221" s="7">
        <v>201</v>
      </c>
      <c r="M221" s="7">
        <v>217</v>
      </c>
      <c r="N221" s="7">
        <v>931</v>
      </c>
      <c r="O221" s="7">
        <v>209032.37600000002</v>
      </c>
      <c r="P221" s="7">
        <v>417945.47700000007</v>
      </c>
      <c r="Q221" s="7">
        <v>439581.86399999994</v>
      </c>
      <c r="R221" s="7">
        <v>382884.11</v>
      </c>
      <c r="S221" s="7">
        <v>387000.36099999998</v>
      </c>
      <c r="T221" s="7">
        <v>420773.35799999983</v>
      </c>
      <c r="U221" s="7">
        <v>346064.88700000005</v>
      </c>
      <c r="V221" s="7">
        <v>214910.85500000001</v>
      </c>
      <c r="W221" s="7">
        <v>122847.64200000001</v>
      </c>
      <c r="X221" s="7">
        <v>44281.085000000006</v>
      </c>
      <c r="Y221" s="7">
        <v>2985322.0150000001</v>
      </c>
      <c r="Z221" s="8">
        <v>4.7361084390104238E-4</v>
      </c>
      <c r="AA221" s="8">
        <v>1.5552267838036681E-4</v>
      </c>
      <c r="AB221" s="8">
        <v>9.3270453942112598E-5</v>
      </c>
      <c r="AC221" s="8">
        <v>1.932699688164129E-4</v>
      </c>
      <c r="AD221" s="8">
        <v>1.8087838424522815E-4</v>
      </c>
      <c r="AE221" s="8">
        <v>1.0219278189186117E-4</v>
      </c>
      <c r="AF221" s="8">
        <v>1.6759862724819E-4</v>
      </c>
      <c r="AG221" s="8">
        <v>2.9314480182957719E-4</v>
      </c>
      <c r="AH221" s="8">
        <v>1.636173041074732E-3</v>
      </c>
      <c r="AI221" s="8">
        <v>4.9005122616123786E-3</v>
      </c>
      <c r="AJ221" s="8">
        <v>3.1185915466476065E-4</v>
      </c>
    </row>
    <row r="222" spans="1:36" x14ac:dyDescent="0.2">
      <c r="A222" t="s">
        <v>258</v>
      </c>
      <c r="B222">
        <v>2012</v>
      </c>
      <c r="C222" t="s">
        <v>262</v>
      </c>
      <c r="D222" s="7">
        <v>142</v>
      </c>
      <c r="E222" s="7">
        <v>48</v>
      </c>
      <c r="F222" s="7">
        <v>61</v>
      </c>
      <c r="G222" s="7">
        <v>54</v>
      </c>
      <c r="H222" s="7">
        <v>65</v>
      </c>
      <c r="I222" s="7">
        <v>47</v>
      </c>
      <c r="J222" s="7">
        <v>66</v>
      </c>
      <c r="K222" s="7">
        <v>93</v>
      </c>
      <c r="L222" s="7">
        <v>124</v>
      </c>
      <c r="M222" s="7">
        <v>237</v>
      </c>
      <c r="N222" s="7">
        <v>937</v>
      </c>
      <c r="O222" s="7">
        <v>209073.97199999983</v>
      </c>
      <c r="P222" s="7">
        <v>418486.05200000003</v>
      </c>
      <c r="Q222" s="7">
        <v>440157.78500000009</v>
      </c>
      <c r="R222" s="7">
        <v>385335.04900000006</v>
      </c>
      <c r="S222" s="7">
        <v>379232.7950000001</v>
      </c>
      <c r="T222" s="7">
        <v>418050.90099999984</v>
      </c>
      <c r="U222" s="7">
        <v>354997.50200000004</v>
      </c>
      <c r="V222" s="7">
        <v>221139.69699999981</v>
      </c>
      <c r="W222" s="7">
        <v>123269.31499999994</v>
      </c>
      <c r="X222" s="7">
        <v>45571.674999999988</v>
      </c>
      <c r="Y222" s="7">
        <v>2995314.7429999993</v>
      </c>
      <c r="Z222" s="8">
        <v>6.7918545116653795E-4</v>
      </c>
      <c r="AA222" s="8">
        <v>1.1469916325908993E-4</v>
      </c>
      <c r="AB222" s="8">
        <v>1.3858666614291506E-4</v>
      </c>
      <c r="AC222" s="8">
        <v>1.401377843519238E-4</v>
      </c>
      <c r="AD222" s="8">
        <v>1.7139867874559737E-4</v>
      </c>
      <c r="AE222" s="8">
        <v>1.1242650090592681E-4</v>
      </c>
      <c r="AF222" s="8">
        <v>1.8591680118357565E-4</v>
      </c>
      <c r="AG222" s="8">
        <v>4.2054864532079048E-4</v>
      </c>
      <c r="AH222" s="8">
        <v>1.0059275497718151E-3</v>
      </c>
      <c r="AI222" s="8">
        <v>5.2005988368871688E-3</v>
      </c>
      <c r="AJ222" s="8">
        <v>3.1282188364002597E-4</v>
      </c>
    </row>
    <row r="223" spans="1:36" x14ac:dyDescent="0.2">
      <c r="A223" t="s">
        <v>258</v>
      </c>
      <c r="B223">
        <v>2013</v>
      </c>
      <c r="C223" t="s">
        <v>263</v>
      </c>
      <c r="D223" s="7">
        <v>113</v>
      </c>
      <c r="E223" s="7">
        <v>77</v>
      </c>
      <c r="F223" s="7">
        <v>56</v>
      </c>
      <c r="G223" s="7">
        <v>63</v>
      </c>
      <c r="H223" s="7">
        <v>45</v>
      </c>
      <c r="I223" s="7">
        <v>38</v>
      </c>
      <c r="J223" s="7">
        <v>80</v>
      </c>
      <c r="K223" s="7">
        <v>108</v>
      </c>
      <c r="L223" s="7">
        <v>203</v>
      </c>
      <c r="M223" s="7">
        <v>282</v>
      </c>
      <c r="N223" s="7">
        <v>1065</v>
      </c>
      <c r="O223" s="7">
        <v>210790.39999999999</v>
      </c>
      <c r="P223" s="7">
        <v>426022.76199999976</v>
      </c>
      <c r="Q223" s="7">
        <v>444607.38900000014</v>
      </c>
      <c r="R223" s="7">
        <v>395529.87399999995</v>
      </c>
      <c r="S223" s="7">
        <v>382023.15499999997</v>
      </c>
      <c r="T223" s="7">
        <v>417874.68299999996</v>
      </c>
      <c r="U223" s="7">
        <v>367097.98399999982</v>
      </c>
      <c r="V223" s="7">
        <v>232284.32399999994</v>
      </c>
      <c r="W223" s="7">
        <v>127789.63500000001</v>
      </c>
      <c r="X223" s="7">
        <v>48332.784</v>
      </c>
      <c r="Y223" s="7">
        <v>3052352.9899999993</v>
      </c>
      <c r="Z223" s="8">
        <v>5.3607754432839446E-4</v>
      </c>
      <c r="AA223" s="8">
        <v>1.8074151634179595E-4</v>
      </c>
      <c r="AB223" s="8">
        <v>1.2595382214846632E-4</v>
      </c>
      <c r="AC223" s="8">
        <v>1.5928000422036392E-4</v>
      </c>
      <c r="AD223" s="8">
        <v>1.177939070211595E-4</v>
      </c>
      <c r="AE223" s="8">
        <v>9.093635375847836E-5</v>
      </c>
      <c r="AF223" s="8">
        <v>2.1792546809518856E-4</v>
      </c>
      <c r="AG223" s="8">
        <v>4.6494743226839545E-4</v>
      </c>
      <c r="AH223" s="8">
        <v>1.588548241803805E-3</v>
      </c>
      <c r="AI223" s="8">
        <v>5.8345490712887549E-3</v>
      </c>
      <c r="AJ223" s="8">
        <v>3.4891115263834547E-4</v>
      </c>
    </row>
    <row r="224" spans="1:36" x14ac:dyDescent="0.2">
      <c r="A224" t="s">
        <v>258</v>
      </c>
      <c r="B224">
        <v>2014</v>
      </c>
      <c r="C224" t="s">
        <v>264</v>
      </c>
      <c r="D224" s="7">
        <v>110</v>
      </c>
      <c r="E224" s="7">
        <v>61</v>
      </c>
      <c r="F224" s="7">
        <v>41</v>
      </c>
      <c r="G224" s="7">
        <v>49</v>
      </c>
      <c r="H224" s="7">
        <v>65</v>
      </c>
      <c r="I224" s="7">
        <v>56</v>
      </c>
      <c r="J224" s="7">
        <v>117</v>
      </c>
      <c r="K224" s="7">
        <v>117</v>
      </c>
      <c r="L224" s="7">
        <v>197</v>
      </c>
      <c r="M224" s="7">
        <v>242</v>
      </c>
      <c r="N224" s="7">
        <v>1055</v>
      </c>
      <c r="O224" s="7">
        <v>200907.73800000007</v>
      </c>
      <c r="P224" s="7">
        <v>418776.57000000012</v>
      </c>
      <c r="Q224" s="7">
        <v>428191.39799999987</v>
      </c>
      <c r="R224" s="7">
        <v>389924.33900000009</v>
      </c>
      <c r="S224" s="7">
        <v>377958.24100000004</v>
      </c>
      <c r="T224" s="7">
        <v>413092.03199999995</v>
      </c>
      <c r="U224" s="7">
        <v>375578.74699999997</v>
      </c>
      <c r="V224" s="7">
        <v>241427.43200000006</v>
      </c>
      <c r="W224" s="7">
        <v>132553.93400000004</v>
      </c>
      <c r="X224" s="7">
        <v>49481.268000000011</v>
      </c>
      <c r="Y224" s="7">
        <v>3027891.6990000005</v>
      </c>
      <c r="Z224" s="8">
        <v>5.4751499914851439E-4</v>
      </c>
      <c r="AA224" s="8">
        <v>1.4566239940309931E-4</v>
      </c>
      <c r="AB224" s="8">
        <v>9.575157322520527E-5</v>
      </c>
      <c r="AC224" s="8">
        <v>1.2566540505182464E-4</v>
      </c>
      <c r="AD224" s="8">
        <v>1.7197667083015128E-4</v>
      </c>
      <c r="AE224" s="8">
        <v>1.355630117794187E-4</v>
      </c>
      <c r="AF224" s="8">
        <v>3.1151922448902574E-4</v>
      </c>
      <c r="AG224" s="8">
        <v>4.8461767178139051E-4</v>
      </c>
      <c r="AH224" s="8">
        <v>1.4861875016097218E-3</v>
      </c>
      <c r="AI224" s="8">
        <v>4.8907396633408821E-3</v>
      </c>
      <c r="AJ224" s="8">
        <v>3.4842725727225553E-4</v>
      </c>
    </row>
    <row r="225" spans="1:36" x14ac:dyDescent="0.2">
      <c r="A225" t="s">
        <v>258</v>
      </c>
      <c r="B225">
        <v>2015</v>
      </c>
      <c r="C225" t="s">
        <v>265</v>
      </c>
      <c r="D225" s="7">
        <v>110</v>
      </c>
      <c r="E225" s="7">
        <v>45</v>
      </c>
      <c r="F225" s="7">
        <v>65</v>
      </c>
      <c r="G225" s="7">
        <v>66</v>
      </c>
      <c r="H225" s="7">
        <v>56</v>
      </c>
      <c r="I225" s="7">
        <v>58</v>
      </c>
      <c r="J225" s="7">
        <v>67</v>
      </c>
      <c r="K225" s="7">
        <v>134</v>
      </c>
      <c r="L225" s="7">
        <v>210</v>
      </c>
      <c r="M225" s="7">
        <v>290</v>
      </c>
      <c r="N225" s="7">
        <v>1101</v>
      </c>
      <c r="O225" s="7">
        <v>193171.98900000006</v>
      </c>
      <c r="P225" s="7">
        <v>406368.29299999995</v>
      </c>
      <c r="Q225" s="7">
        <v>423658.79300000018</v>
      </c>
      <c r="R225" s="7">
        <v>381518.62900000007</v>
      </c>
      <c r="S225" s="7">
        <v>366536.23</v>
      </c>
      <c r="T225" s="7">
        <v>391082.69199999992</v>
      </c>
      <c r="U225" s="7">
        <v>363154.08499999996</v>
      </c>
      <c r="V225" s="7">
        <v>238063.43100000004</v>
      </c>
      <c r="W225" s="7">
        <v>124108.67700000001</v>
      </c>
      <c r="X225" s="7">
        <v>46470.573999999993</v>
      </c>
      <c r="Y225" s="7">
        <v>2934133.3930000002</v>
      </c>
      <c r="Z225" s="8">
        <v>5.6944073811860979E-4</v>
      </c>
      <c r="AA225" s="8">
        <v>1.1073698606697153E-4</v>
      </c>
      <c r="AB225" s="8">
        <v>1.5342535331256532E-4</v>
      </c>
      <c r="AC225" s="8">
        <v>1.7299286321350245E-4</v>
      </c>
      <c r="AD225" s="8">
        <v>1.5278162270616468E-4</v>
      </c>
      <c r="AE225" s="8">
        <v>1.4830623084695349E-4</v>
      </c>
      <c r="AF225" s="8">
        <v>1.8449468907943032E-4</v>
      </c>
      <c r="AG225" s="8">
        <v>5.6287519438464272E-4</v>
      </c>
      <c r="AH225" s="8">
        <v>1.692065414572101E-3</v>
      </c>
      <c r="AI225" s="8">
        <v>6.2405082407632848E-3</v>
      </c>
      <c r="AJ225" s="8">
        <v>3.7523856366812423E-4</v>
      </c>
    </row>
    <row r="226" spans="1:36" x14ac:dyDescent="0.2">
      <c r="A226" t="s">
        <v>258</v>
      </c>
      <c r="B226">
        <v>2016</v>
      </c>
      <c r="C226" t="s">
        <v>266</v>
      </c>
      <c r="D226" s="7">
        <v>109</v>
      </c>
      <c r="E226" s="7">
        <v>71</v>
      </c>
      <c r="F226" s="7">
        <v>62</v>
      </c>
      <c r="G226" s="7">
        <v>56</v>
      </c>
      <c r="H226" s="7">
        <v>45</v>
      </c>
      <c r="I226" s="7">
        <v>58</v>
      </c>
      <c r="J226" s="7">
        <v>93</v>
      </c>
      <c r="K226" s="7">
        <v>148</v>
      </c>
      <c r="L226" s="7">
        <v>206</v>
      </c>
      <c r="M226" s="7">
        <v>263</v>
      </c>
      <c r="N226" s="7">
        <v>1111</v>
      </c>
      <c r="O226" s="7">
        <v>194407.17699999991</v>
      </c>
      <c r="P226" s="7">
        <v>418485.33800000005</v>
      </c>
      <c r="Q226" s="7">
        <v>435389.42199999996</v>
      </c>
      <c r="R226" s="7">
        <v>393907.49699999992</v>
      </c>
      <c r="S226" s="7">
        <v>377374.99</v>
      </c>
      <c r="T226" s="7">
        <v>400183.25999999989</v>
      </c>
      <c r="U226" s="7">
        <v>383252.85999999981</v>
      </c>
      <c r="V226" s="7">
        <v>256740.465</v>
      </c>
      <c r="W226" s="7">
        <v>131125.56999999998</v>
      </c>
      <c r="X226" s="7">
        <v>51020.494999999981</v>
      </c>
      <c r="Y226" s="7">
        <v>3041887.0739999996</v>
      </c>
      <c r="Z226" s="8">
        <v>5.6067888892805671E-4</v>
      </c>
      <c r="AA226" s="8">
        <v>1.6965946845191502E-4</v>
      </c>
      <c r="AB226" s="8">
        <v>1.4240125475533489E-4</v>
      </c>
      <c r="AC226" s="8">
        <v>1.4216535716252187E-4</v>
      </c>
      <c r="AD226" s="8">
        <v>1.1924478620059056E-4</v>
      </c>
      <c r="AE226" s="8">
        <v>1.4493359867176857E-4</v>
      </c>
      <c r="AF226" s="8">
        <v>2.4265963729533564E-4</v>
      </c>
      <c r="AG226" s="8">
        <v>5.7645763008180265E-4</v>
      </c>
      <c r="AH226" s="8">
        <v>1.5710131898759338E-3</v>
      </c>
      <c r="AI226" s="8">
        <v>5.1547912265453343E-3</v>
      </c>
      <c r="AJ226" s="8">
        <v>3.6523380815023647E-4</v>
      </c>
    </row>
    <row r="227" spans="1:36" x14ac:dyDescent="0.2">
      <c r="A227" t="s">
        <v>258</v>
      </c>
      <c r="B227">
        <v>2017</v>
      </c>
      <c r="C227" t="s">
        <v>267</v>
      </c>
      <c r="D227" s="7">
        <v>99</v>
      </c>
      <c r="E227" s="7">
        <v>66</v>
      </c>
      <c r="F227" s="7">
        <v>55</v>
      </c>
      <c r="G227" s="7">
        <v>38</v>
      </c>
      <c r="H227" s="7">
        <v>44</v>
      </c>
      <c r="I227" s="7">
        <v>25</v>
      </c>
      <c r="J227" s="7">
        <v>108</v>
      </c>
      <c r="K227" s="7">
        <v>157</v>
      </c>
      <c r="L227" s="7">
        <v>212</v>
      </c>
      <c r="M227" s="7">
        <v>219</v>
      </c>
      <c r="N227" s="7">
        <v>1023</v>
      </c>
      <c r="O227" s="7">
        <v>167025</v>
      </c>
      <c r="P227" s="7">
        <v>362158</v>
      </c>
      <c r="Q227" s="7">
        <v>375183</v>
      </c>
      <c r="R227" s="7">
        <v>343218</v>
      </c>
      <c r="S227" s="7">
        <v>330638</v>
      </c>
      <c r="T227" s="7">
        <v>349128</v>
      </c>
      <c r="U227" s="7">
        <v>346668</v>
      </c>
      <c r="V227" s="7">
        <v>238831</v>
      </c>
      <c r="W227" s="7">
        <v>121400</v>
      </c>
      <c r="X227" s="7">
        <v>45104</v>
      </c>
      <c r="Y227" s="7">
        <v>2679353</v>
      </c>
      <c r="Z227" s="8">
        <v>5.9272563987427032E-4</v>
      </c>
      <c r="AA227" s="8">
        <v>1.822409003804969E-4</v>
      </c>
      <c r="AB227" s="8">
        <v>1.4659512824408355E-4</v>
      </c>
      <c r="AC227" s="8">
        <v>1.107168038972315E-4</v>
      </c>
      <c r="AD227" s="8">
        <v>1.3307605296426908E-4</v>
      </c>
      <c r="AE227" s="8">
        <v>7.1606975092229784E-5</v>
      </c>
      <c r="AF227" s="8">
        <v>3.11537263318218E-4</v>
      </c>
      <c r="AG227" s="8">
        <v>6.573685995536593E-4</v>
      </c>
      <c r="AH227" s="8">
        <v>1.7462932454695222E-3</v>
      </c>
      <c r="AI227" s="8">
        <v>4.8554451933309683E-3</v>
      </c>
      <c r="AJ227" s="8">
        <v>3.8180859334324371E-4</v>
      </c>
    </row>
    <row r="228" spans="1:36" x14ac:dyDescent="0.2">
      <c r="A228" t="s">
        <v>268</v>
      </c>
      <c r="B228">
        <v>2009</v>
      </c>
      <c r="C228" t="s">
        <v>269</v>
      </c>
      <c r="D228" s="7">
        <v>93</v>
      </c>
      <c r="E228" s="7">
        <v>55</v>
      </c>
      <c r="F228" s="7">
        <v>58</v>
      </c>
      <c r="G228" s="7">
        <v>58</v>
      </c>
      <c r="H228" s="7">
        <v>49</v>
      </c>
      <c r="I228" s="7">
        <v>78</v>
      </c>
      <c r="J228" s="7">
        <v>94</v>
      </c>
      <c r="K228" s="7">
        <v>149</v>
      </c>
      <c r="L228" s="7">
        <v>346</v>
      </c>
      <c r="M228" s="7">
        <v>620</v>
      </c>
      <c r="N228" s="7">
        <v>1600</v>
      </c>
      <c r="O228" s="7">
        <v>387831.1779999999</v>
      </c>
      <c r="P228" s="7">
        <v>765931.51899999997</v>
      </c>
      <c r="Q228" s="7">
        <v>823917.65599999996</v>
      </c>
      <c r="R228" s="7">
        <v>743732.13800000004</v>
      </c>
      <c r="S228" s="7">
        <v>785589.5950000002</v>
      </c>
      <c r="T228" s="7">
        <v>855733.82600000047</v>
      </c>
      <c r="U228" s="7">
        <v>643494.84899999993</v>
      </c>
      <c r="V228" s="7">
        <v>399549.63699999987</v>
      </c>
      <c r="W228" s="7">
        <v>269276.93200000015</v>
      </c>
      <c r="X228" s="7">
        <v>108359.32899999998</v>
      </c>
      <c r="Y228" s="7">
        <v>5783416.659</v>
      </c>
      <c r="Z228" s="8">
        <v>2.3979505845711049E-4</v>
      </c>
      <c r="AA228" s="8">
        <v>7.1807986269853451E-5</v>
      </c>
      <c r="AB228" s="8">
        <v>7.0395384268837663E-5</v>
      </c>
      <c r="AC228" s="8">
        <v>7.7985066177145625E-5</v>
      </c>
      <c r="AD228" s="8">
        <v>6.2373534873511131E-5</v>
      </c>
      <c r="AE228" s="8">
        <v>9.1149838454556968E-5</v>
      </c>
      <c r="AF228" s="8">
        <v>1.4607731537568221E-4</v>
      </c>
      <c r="AG228" s="8">
        <v>3.729198732822276E-4</v>
      </c>
      <c r="AH228" s="8">
        <v>1.28492254212106E-3</v>
      </c>
      <c r="AI228" s="8">
        <v>5.7217039429987623E-3</v>
      </c>
      <c r="AJ228" s="8">
        <v>2.766530745299359E-4</v>
      </c>
    </row>
    <row r="229" spans="1:36" x14ac:dyDescent="0.2">
      <c r="A229" t="s">
        <v>268</v>
      </c>
      <c r="B229">
        <v>2010</v>
      </c>
      <c r="C229" t="s">
        <v>270</v>
      </c>
      <c r="D229" s="7">
        <v>127</v>
      </c>
      <c r="E229" s="7">
        <v>39</v>
      </c>
      <c r="F229" s="7">
        <v>61</v>
      </c>
      <c r="G229" s="7">
        <v>56</v>
      </c>
      <c r="H229" s="7">
        <v>36</v>
      </c>
      <c r="I229" s="7">
        <v>61</v>
      </c>
      <c r="J229" s="7">
        <v>65</v>
      </c>
      <c r="K229" s="7">
        <v>121</v>
      </c>
      <c r="L229" s="7">
        <v>312</v>
      </c>
      <c r="M229" s="7">
        <v>568</v>
      </c>
      <c r="N229" s="7">
        <v>1446</v>
      </c>
      <c r="O229" s="7">
        <v>383073.32999999996</v>
      </c>
      <c r="P229" s="7">
        <v>779332.81099999999</v>
      </c>
      <c r="Q229" s="7">
        <v>834426.31500000018</v>
      </c>
      <c r="R229" s="7">
        <v>747361.97999999986</v>
      </c>
      <c r="S229" s="7">
        <v>773101.66400000022</v>
      </c>
      <c r="T229" s="7">
        <v>871703.2300000001</v>
      </c>
      <c r="U229" s="7">
        <v>676562.73299999989</v>
      </c>
      <c r="V229" s="7">
        <v>425435.41999999987</v>
      </c>
      <c r="W229" s="7">
        <v>271516.38299999991</v>
      </c>
      <c r="X229" s="7">
        <v>110521.743</v>
      </c>
      <c r="Y229" s="7">
        <v>5873035.6090000002</v>
      </c>
      <c r="Z229" s="8">
        <v>3.3152921400192496E-4</v>
      </c>
      <c r="AA229" s="8">
        <v>5.0042805139895489E-5</v>
      </c>
      <c r="AB229" s="8">
        <v>7.3104118246798092E-5</v>
      </c>
      <c r="AC229" s="8">
        <v>7.4930223236670417E-5</v>
      </c>
      <c r="AD229" s="8">
        <v>4.6565673929269912E-5</v>
      </c>
      <c r="AE229" s="8">
        <v>6.9977944213881125E-5</v>
      </c>
      <c r="AF229" s="8">
        <v>9.607386991562246E-5</v>
      </c>
      <c r="AG229" s="8">
        <v>2.8441449468405813E-4</v>
      </c>
      <c r="AH229" s="8">
        <v>1.1491019309873471E-3</v>
      </c>
      <c r="AI229" s="8">
        <v>5.1392602449275527E-3</v>
      </c>
      <c r="AJ229" s="8">
        <v>2.4620998343413925E-4</v>
      </c>
    </row>
    <row r="230" spans="1:36" x14ac:dyDescent="0.2">
      <c r="A230" t="s">
        <v>268</v>
      </c>
      <c r="B230">
        <v>2011</v>
      </c>
      <c r="C230" t="s">
        <v>271</v>
      </c>
      <c r="D230" s="7">
        <v>111</v>
      </c>
      <c r="E230" s="7">
        <v>57</v>
      </c>
      <c r="F230" s="7">
        <v>36</v>
      </c>
      <c r="G230" s="7">
        <v>57</v>
      </c>
      <c r="H230" s="7">
        <v>62</v>
      </c>
      <c r="I230" s="7">
        <v>63</v>
      </c>
      <c r="J230" s="7">
        <v>66</v>
      </c>
      <c r="K230" s="7">
        <v>131</v>
      </c>
      <c r="L230" s="7">
        <v>310</v>
      </c>
      <c r="M230" s="7">
        <v>562</v>
      </c>
      <c r="N230" s="7">
        <v>1455</v>
      </c>
      <c r="O230" s="7">
        <v>382036.5959999999</v>
      </c>
      <c r="P230" s="7">
        <v>774861.33199999994</v>
      </c>
      <c r="Q230" s="7">
        <v>830373.95599999977</v>
      </c>
      <c r="R230" s="7">
        <v>760079.88400000019</v>
      </c>
      <c r="S230" s="7">
        <v>756612.52299999993</v>
      </c>
      <c r="T230" s="7">
        <v>871226.80800000008</v>
      </c>
      <c r="U230" s="7">
        <v>698274.00099999981</v>
      </c>
      <c r="V230" s="7">
        <v>431679.55900000007</v>
      </c>
      <c r="W230" s="7">
        <v>269178.20000000013</v>
      </c>
      <c r="X230" s="7">
        <v>110950.84600000003</v>
      </c>
      <c r="Y230" s="7">
        <v>5885273.7050000001</v>
      </c>
      <c r="Z230" s="8">
        <v>2.9054808141992772E-4</v>
      </c>
      <c r="AA230" s="8">
        <v>7.3561549203748379E-5</v>
      </c>
      <c r="AB230" s="8">
        <v>4.3353960874948262E-5</v>
      </c>
      <c r="AC230" s="8">
        <v>7.4992117539055911E-5</v>
      </c>
      <c r="AD230" s="8">
        <v>8.1944189549186202E-5</v>
      </c>
      <c r="AE230" s="8">
        <v>7.2311824454327392E-5</v>
      </c>
      <c r="AF230" s="8">
        <v>9.4518770433212824E-5</v>
      </c>
      <c r="AG230" s="8">
        <v>3.034658400399264E-4</v>
      </c>
      <c r="AH230" s="8">
        <v>1.1516534399888248E-3</v>
      </c>
      <c r="AI230" s="8">
        <v>5.0653061266427825E-3</v>
      </c>
      <c r="AJ230" s="8">
        <v>2.4722724429347503E-4</v>
      </c>
    </row>
    <row r="231" spans="1:36" x14ac:dyDescent="0.2">
      <c r="A231" t="s">
        <v>268</v>
      </c>
      <c r="B231">
        <v>2012</v>
      </c>
      <c r="C231" t="s">
        <v>272</v>
      </c>
      <c r="D231" s="7">
        <v>116</v>
      </c>
      <c r="E231" s="7">
        <v>43</v>
      </c>
      <c r="F231" s="7">
        <v>52</v>
      </c>
      <c r="G231" s="7">
        <v>64</v>
      </c>
      <c r="H231" s="7">
        <v>58</v>
      </c>
      <c r="I231" s="7">
        <v>46</v>
      </c>
      <c r="J231" s="7">
        <v>94</v>
      </c>
      <c r="K231" s="7">
        <v>137</v>
      </c>
      <c r="L231" s="7">
        <v>317</v>
      </c>
      <c r="M231" s="7">
        <v>573</v>
      </c>
      <c r="N231" s="7">
        <v>1500</v>
      </c>
      <c r="O231" s="7">
        <v>386226.3079999999</v>
      </c>
      <c r="P231" s="7">
        <v>787302.22999999963</v>
      </c>
      <c r="Q231" s="7">
        <v>832268.21099999978</v>
      </c>
      <c r="R231" s="7">
        <v>774684.652</v>
      </c>
      <c r="S231" s="7">
        <v>750444.79899999988</v>
      </c>
      <c r="T231" s="7">
        <v>875618.71999999974</v>
      </c>
      <c r="U231" s="7">
        <v>726089.48899999994</v>
      </c>
      <c r="V231" s="7">
        <v>453953.90599999984</v>
      </c>
      <c r="W231" s="7">
        <v>272169.86</v>
      </c>
      <c r="X231" s="7">
        <v>115386.40999999999</v>
      </c>
      <c r="Y231" s="7">
        <v>5974144.584999999</v>
      </c>
      <c r="Z231" s="8">
        <v>3.0034204712952911E-4</v>
      </c>
      <c r="AA231" s="8">
        <v>5.4616890898429207E-5</v>
      </c>
      <c r="AB231" s="8">
        <v>6.2479858431118204E-5</v>
      </c>
      <c r="AC231" s="8">
        <v>8.2614260957373405E-5</v>
      </c>
      <c r="AD231" s="8">
        <v>7.7287496798282167E-5</v>
      </c>
      <c r="AE231" s="8">
        <v>5.2534281130947056E-5</v>
      </c>
      <c r="AF231" s="8">
        <v>1.2946062630580238E-4</v>
      </c>
      <c r="AG231" s="8">
        <v>3.0179275514373487E-4</v>
      </c>
      <c r="AH231" s="8">
        <v>1.1647138298120153E-3</v>
      </c>
      <c r="AI231" s="8">
        <v>4.9659227633479545E-3</v>
      </c>
      <c r="AJ231" s="8">
        <v>2.5108197142838321E-4</v>
      </c>
    </row>
    <row r="232" spans="1:36" x14ac:dyDescent="0.2">
      <c r="A232" t="s">
        <v>268</v>
      </c>
      <c r="B232">
        <v>2013</v>
      </c>
      <c r="C232" t="s">
        <v>273</v>
      </c>
      <c r="D232" s="7">
        <v>118</v>
      </c>
      <c r="E232" s="7">
        <v>36</v>
      </c>
      <c r="F232" s="7">
        <v>42</v>
      </c>
      <c r="G232" s="7">
        <v>37</v>
      </c>
      <c r="H232" s="7">
        <v>58</v>
      </c>
      <c r="I232" s="7">
        <v>58</v>
      </c>
      <c r="J232" s="7">
        <v>96</v>
      </c>
      <c r="K232" s="7">
        <v>173</v>
      </c>
      <c r="L232" s="7">
        <v>318</v>
      </c>
      <c r="M232" s="7">
        <v>647</v>
      </c>
      <c r="N232" s="7">
        <v>1583</v>
      </c>
      <c r="O232" s="7">
        <v>366852.93899999984</v>
      </c>
      <c r="P232" s="7">
        <v>757854.42200000025</v>
      </c>
      <c r="Q232" s="7">
        <v>806260.0079999998</v>
      </c>
      <c r="R232" s="7">
        <v>764542.24400000006</v>
      </c>
      <c r="S232" s="7">
        <v>718110.08699999994</v>
      </c>
      <c r="T232" s="7">
        <v>837058.55900000001</v>
      </c>
      <c r="U232" s="7">
        <v>715109.80899999978</v>
      </c>
      <c r="V232" s="7">
        <v>446154.56099999987</v>
      </c>
      <c r="W232" s="7">
        <v>262112.67100000006</v>
      </c>
      <c r="X232" s="7">
        <v>111869.84799999994</v>
      </c>
      <c r="Y232" s="7">
        <v>5785925.1479999991</v>
      </c>
      <c r="Z232" s="8">
        <v>3.2165477622083343E-4</v>
      </c>
      <c r="AA232" s="8">
        <v>4.7502526811145251E-5</v>
      </c>
      <c r="AB232" s="8">
        <v>5.209237663193138E-5</v>
      </c>
      <c r="AC232" s="8">
        <v>4.8394971357527756E-5</v>
      </c>
      <c r="AD232" s="8">
        <v>8.076756064282941E-5</v>
      </c>
      <c r="AE232" s="8">
        <v>6.929025380170564E-5</v>
      </c>
      <c r="AF232" s="8">
        <v>1.342451170320893E-4</v>
      </c>
      <c r="AG232" s="8">
        <v>3.8775799940774349E-4</v>
      </c>
      <c r="AH232" s="8">
        <v>1.2132187230277011E-3</v>
      </c>
      <c r="AI232" s="8">
        <v>5.7835065620183944E-3</v>
      </c>
      <c r="AJ232" s="8">
        <v>2.7359496701183389E-4</v>
      </c>
    </row>
    <row r="233" spans="1:36" x14ac:dyDescent="0.2">
      <c r="A233" t="s">
        <v>268</v>
      </c>
      <c r="B233">
        <v>2014</v>
      </c>
      <c r="C233" t="s">
        <v>274</v>
      </c>
      <c r="D233" s="7">
        <v>130</v>
      </c>
      <c r="E233" s="7">
        <v>63</v>
      </c>
      <c r="F233" s="7">
        <v>58</v>
      </c>
      <c r="G233" s="7">
        <v>35</v>
      </c>
      <c r="H233" s="7">
        <v>67</v>
      </c>
      <c r="I233" s="7">
        <v>48</v>
      </c>
      <c r="J233" s="7">
        <v>92</v>
      </c>
      <c r="K233" s="7">
        <v>152</v>
      </c>
      <c r="L233" s="7">
        <v>355</v>
      </c>
      <c r="M233" s="7">
        <v>586</v>
      </c>
      <c r="N233" s="7">
        <v>1586</v>
      </c>
      <c r="O233" s="7">
        <v>396839.42200000008</v>
      </c>
      <c r="P233" s="7">
        <v>822185.53000000026</v>
      </c>
      <c r="Q233" s="7">
        <v>877063.47700000007</v>
      </c>
      <c r="R233" s="7">
        <v>823593.40200000023</v>
      </c>
      <c r="S233" s="7">
        <v>769211.45600000035</v>
      </c>
      <c r="T233" s="7">
        <v>893790.88699999976</v>
      </c>
      <c r="U233" s="7">
        <v>804262.40999999968</v>
      </c>
      <c r="V233" s="7">
        <v>508945.58899999986</v>
      </c>
      <c r="W233" s="7">
        <v>289574.777</v>
      </c>
      <c r="X233" s="7">
        <v>125309.30799999999</v>
      </c>
      <c r="Y233" s="7">
        <v>6310776.2580000004</v>
      </c>
      <c r="Z233" s="8">
        <v>3.2758842189826586E-4</v>
      </c>
      <c r="AA233" s="8">
        <v>7.6625041065852832E-5</v>
      </c>
      <c r="AB233" s="8">
        <v>6.6129763148260694E-5</v>
      </c>
      <c r="AC233" s="8">
        <v>4.2496697903366629E-5</v>
      </c>
      <c r="AD233" s="8">
        <v>8.7102186892026696E-5</v>
      </c>
      <c r="AE233" s="8">
        <v>5.3703836879688409E-5</v>
      </c>
      <c r="AF233" s="8">
        <v>1.1439052584839821E-4</v>
      </c>
      <c r="AG233" s="8">
        <v>2.9865668017411588E-4</v>
      </c>
      <c r="AH233" s="8">
        <v>1.225935503353595E-3</v>
      </c>
      <c r="AI233" s="8">
        <v>4.6764283464082335E-3</v>
      </c>
      <c r="AJ233" s="8">
        <v>2.5131615116119361E-4</v>
      </c>
    </row>
    <row r="234" spans="1:36" x14ac:dyDescent="0.2">
      <c r="A234" t="s">
        <v>268</v>
      </c>
      <c r="B234">
        <v>2015</v>
      </c>
      <c r="C234" t="s">
        <v>275</v>
      </c>
      <c r="D234" s="7">
        <v>123</v>
      </c>
      <c r="E234" s="7">
        <v>63</v>
      </c>
      <c r="F234" s="7">
        <v>55</v>
      </c>
      <c r="G234" s="7">
        <v>48</v>
      </c>
      <c r="H234" s="7">
        <v>53</v>
      </c>
      <c r="I234" s="7">
        <v>40</v>
      </c>
      <c r="J234" s="7">
        <v>91</v>
      </c>
      <c r="K234" s="7">
        <v>166</v>
      </c>
      <c r="L234" s="7">
        <v>327</v>
      </c>
      <c r="M234" s="7">
        <v>663</v>
      </c>
      <c r="N234" s="7">
        <v>1629</v>
      </c>
      <c r="O234" s="7">
        <v>370383.11199999996</v>
      </c>
      <c r="P234" s="7">
        <v>769081.91300000006</v>
      </c>
      <c r="Q234" s="7">
        <v>816506.68799999985</v>
      </c>
      <c r="R234" s="7">
        <v>789334.78999999969</v>
      </c>
      <c r="S234" s="7">
        <v>727395.13299999991</v>
      </c>
      <c r="T234" s="7">
        <v>827987.18000000028</v>
      </c>
      <c r="U234" s="7">
        <v>768787.34000000032</v>
      </c>
      <c r="V234" s="7">
        <v>492676.61900000012</v>
      </c>
      <c r="W234" s="7">
        <v>274952.71599999996</v>
      </c>
      <c r="X234" s="7">
        <v>118669.29800000004</v>
      </c>
      <c r="Y234" s="7">
        <v>5955774.7889999999</v>
      </c>
      <c r="Z234" s="8">
        <v>3.3208857535599518E-4</v>
      </c>
      <c r="AA234" s="8">
        <v>8.19158517904191E-5</v>
      </c>
      <c r="AB234" s="8">
        <v>6.7360134103396362E-5</v>
      </c>
      <c r="AC234" s="8">
        <v>6.081069858836454E-5</v>
      </c>
      <c r="AD234" s="8">
        <v>7.2862736627631527E-5</v>
      </c>
      <c r="AE234" s="8">
        <v>4.8309926730991156E-5</v>
      </c>
      <c r="AF234" s="8">
        <v>1.1836823431561707E-4</v>
      </c>
      <c r="AG234" s="8">
        <v>3.3693500685487161E-4</v>
      </c>
      <c r="AH234" s="8">
        <v>1.1892953987041178E-3</v>
      </c>
      <c r="AI234" s="8">
        <v>5.5869547656715703E-3</v>
      </c>
      <c r="AJ234" s="8">
        <v>2.7351605084340605E-4</v>
      </c>
    </row>
    <row r="235" spans="1:36" x14ac:dyDescent="0.2">
      <c r="A235" t="s">
        <v>268</v>
      </c>
      <c r="B235">
        <v>2016</v>
      </c>
      <c r="C235" t="s">
        <v>276</v>
      </c>
      <c r="D235" s="7">
        <v>124</v>
      </c>
      <c r="E235" s="7">
        <v>46</v>
      </c>
      <c r="F235" s="7">
        <v>68</v>
      </c>
      <c r="G235" s="7">
        <v>50</v>
      </c>
      <c r="H235" s="7">
        <v>33</v>
      </c>
      <c r="I235" s="7">
        <v>60</v>
      </c>
      <c r="J235" s="7">
        <v>92</v>
      </c>
      <c r="K235" s="7">
        <v>172</v>
      </c>
      <c r="L235" s="7">
        <v>292</v>
      </c>
      <c r="M235" s="7">
        <v>492</v>
      </c>
      <c r="N235" s="7">
        <v>1429</v>
      </c>
      <c r="O235" s="7">
        <v>381151.55500000011</v>
      </c>
      <c r="P235" s="7">
        <v>796909.43499999994</v>
      </c>
      <c r="Q235" s="7">
        <v>849619.25300000049</v>
      </c>
      <c r="R235" s="7">
        <v>816824.25199999975</v>
      </c>
      <c r="S235" s="7">
        <v>748626.84799999977</v>
      </c>
      <c r="T235" s="7">
        <v>836979.71399999992</v>
      </c>
      <c r="U235" s="7">
        <v>809677.56299999973</v>
      </c>
      <c r="V235" s="7">
        <v>534885.70900000003</v>
      </c>
      <c r="W235" s="7">
        <v>288146.34699999995</v>
      </c>
      <c r="X235" s="7">
        <v>122908.57199999999</v>
      </c>
      <c r="Y235" s="7">
        <v>6185729.2479999997</v>
      </c>
      <c r="Z235" s="8">
        <v>3.2532990715464867E-4</v>
      </c>
      <c r="AA235" s="8">
        <v>5.7722995838291217E-5</v>
      </c>
      <c r="AB235" s="8">
        <v>8.0035851070808963E-5</v>
      </c>
      <c r="AC235" s="8">
        <v>6.1212678097613606E-5</v>
      </c>
      <c r="AD235" s="8">
        <v>4.4080706012830587E-5</v>
      </c>
      <c r="AE235" s="8">
        <v>7.1686325243481362E-5</v>
      </c>
      <c r="AF235" s="8">
        <v>1.136254778496314E-4</v>
      </c>
      <c r="AG235" s="8">
        <v>3.2156402219375799E-4</v>
      </c>
      <c r="AH235" s="8">
        <v>1.0133739436231689E-3</v>
      </c>
      <c r="AI235" s="8">
        <v>4.0029754800177814E-3</v>
      </c>
      <c r="AJ235" s="8">
        <v>2.3101560749074675E-4</v>
      </c>
    </row>
    <row r="236" spans="1:36" x14ac:dyDescent="0.2">
      <c r="A236" t="s">
        <v>268</v>
      </c>
      <c r="B236">
        <v>2017</v>
      </c>
      <c r="C236" t="s">
        <v>277</v>
      </c>
      <c r="D236" s="7">
        <v>105</v>
      </c>
      <c r="E236" s="7">
        <v>54</v>
      </c>
      <c r="F236" s="7">
        <v>46</v>
      </c>
      <c r="G236" s="7">
        <v>31</v>
      </c>
      <c r="H236" s="7">
        <v>56</v>
      </c>
      <c r="I236" s="7">
        <v>61</v>
      </c>
      <c r="J236" s="7">
        <v>59</v>
      </c>
      <c r="K236" s="7">
        <v>171</v>
      </c>
      <c r="L236" s="7">
        <v>365</v>
      </c>
      <c r="M236" s="7">
        <v>566</v>
      </c>
      <c r="N236" s="7">
        <v>1514</v>
      </c>
      <c r="O236" s="7">
        <v>364764</v>
      </c>
      <c r="P236" s="7">
        <v>756130</v>
      </c>
      <c r="Q236" s="7">
        <v>805328</v>
      </c>
      <c r="R236" s="7">
        <v>792812</v>
      </c>
      <c r="S236" s="7">
        <v>713426</v>
      </c>
      <c r="T236" s="7">
        <v>780347</v>
      </c>
      <c r="U236" s="7">
        <v>775162</v>
      </c>
      <c r="V236" s="7">
        <v>519174</v>
      </c>
      <c r="W236" s="7">
        <v>273580</v>
      </c>
      <c r="X236" s="7">
        <v>116853</v>
      </c>
      <c r="Y236" s="7">
        <v>5897576</v>
      </c>
      <c r="Z236" s="8">
        <v>2.8785735434417871E-4</v>
      </c>
      <c r="AA236" s="8">
        <v>7.1416290849457103E-5</v>
      </c>
      <c r="AB236" s="8">
        <v>5.711958357340115E-5</v>
      </c>
      <c r="AC236" s="8">
        <v>3.9101325408798049E-5</v>
      </c>
      <c r="AD236" s="8">
        <v>7.8494475951254927E-5</v>
      </c>
      <c r="AE236" s="8">
        <v>7.8170352420141293E-5</v>
      </c>
      <c r="AF236" s="8">
        <v>7.6113122160271015E-5</v>
      </c>
      <c r="AG236" s="8">
        <v>3.2936934438165241E-4</v>
      </c>
      <c r="AH236" s="8">
        <v>1.3341618539366913E-3</v>
      </c>
      <c r="AI236" s="8">
        <v>4.8436925025459338E-3</v>
      </c>
      <c r="AJ236" s="8">
        <v>2.5671564045974142E-4</v>
      </c>
    </row>
    <row r="237" spans="1:36" x14ac:dyDescent="0.2">
      <c r="A237" t="s">
        <v>278</v>
      </c>
      <c r="B237">
        <v>2009</v>
      </c>
      <c r="C237" t="s">
        <v>279</v>
      </c>
      <c r="D237" s="7">
        <v>130</v>
      </c>
      <c r="E237" s="7">
        <v>45</v>
      </c>
      <c r="F237" s="7">
        <v>46</v>
      </c>
      <c r="G237" s="7">
        <v>57</v>
      </c>
      <c r="H237" s="7">
        <v>64</v>
      </c>
      <c r="I237" s="7">
        <v>50</v>
      </c>
      <c r="J237" s="7">
        <v>54</v>
      </c>
      <c r="K237" s="7">
        <v>55</v>
      </c>
      <c r="L237" s="7">
        <v>65</v>
      </c>
      <c r="M237" s="7">
        <v>87</v>
      </c>
      <c r="N237" s="7">
        <v>653</v>
      </c>
      <c r="O237" s="7">
        <v>58516.93900000002</v>
      </c>
      <c r="P237" s="7">
        <v>116779.96800000005</v>
      </c>
      <c r="Q237" s="7">
        <v>143007.90600000002</v>
      </c>
      <c r="R237" s="7">
        <v>111003.91000000003</v>
      </c>
      <c r="S237" s="7">
        <v>115050.35600000003</v>
      </c>
      <c r="T237" s="7">
        <v>146497.17299999998</v>
      </c>
      <c r="U237" s="7">
        <v>116649.73400000001</v>
      </c>
      <c r="V237" s="7">
        <v>68054.577000000019</v>
      </c>
      <c r="W237" s="7">
        <v>45973.603000000003</v>
      </c>
      <c r="X237" s="7">
        <v>17810.500999999997</v>
      </c>
      <c r="Y237" s="7">
        <v>939344.66700000025</v>
      </c>
      <c r="Z237" s="8">
        <v>2.2215789516946529E-3</v>
      </c>
      <c r="AA237" s="8">
        <v>3.8534006106252729E-4</v>
      </c>
      <c r="AB237" s="8">
        <v>3.2166053812437468E-4</v>
      </c>
      <c r="AC237" s="8">
        <v>5.1349542552149726E-4</v>
      </c>
      <c r="AD237" s="8">
        <v>5.5627815701847971E-4</v>
      </c>
      <c r="AE237" s="8">
        <v>3.4130351443710115E-4</v>
      </c>
      <c r="AF237" s="8">
        <v>4.6292433037181202E-4</v>
      </c>
      <c r="AG237" s="8">
        <v>8.0817488587137912E-4</v>
      </c>
      <c r="AH237" s="8">
        <v>1.4138548157733035E-3</v>
      </c>
      <c r="AI237" s="8">
        <v>4.8847587162202805E-3</v>
      </c>
      <c r="AJ237" s="8">
        <v>6.9516549456281722E-4</v>
      </c>
    </row>
    <row r="238" spans="1:36" x14ac:dyDescent="0.2">
      <c r="A238" t="s">
        <v>278</v>
      </c>
      <c r="B238">
        <v>2010</v>
      </c>
      <c r="C238" t="s">
        <v>280</v>
      </c>
      <c r="D238" s="7">
        <v>120</v>
      </c>
      <c r="E238" s="7">
        <v>58</v>
      </c>
      <c r="F238" s="7">
        <v>66</v>
      </c>
      <c r="G238" s="7">
        <v>48</v>
      </c>
      <c r="H238" s="7">
        <v>48</v>
      </c>
      <c r="I238" s="7">
        <v>64</v>
      </c>
      <c r="J238" s="7">
        <v>46</v>
      </c>
      <c r="K238" s="7">
        <v>51</v>
      </c>
      <c r="L238" s="7">
        <v>75</v>
      </c>
      <c r="M238" s="7">
        <v>93</v>
      </c>
      <c r="N238" s="7">
        <v>669</v>
      </c>
      <c r="O238" s="7">
        <v>57620.566999999995</v>
      </c>
      <c r="P238" s="7">
        <v>117520.73600000002</v>
      </c>
      <c r="Q238" s="7">
        <v>133208.17300000004</v>
      </c>
      <c r="R238" s="7">
        <v>111918.81100000002</v>
      </c>
      <c r="S238" s="7">
        <v>113007.58199999997</v>
      </c>
      <c r="T238" s="7">
        <v>146682.57399999999</v>
      </c>
      <c r="U238" s="7">
        <v>124051.33700000006</v>
      </c>
      <c r="V238" s="7">
        <v>71833.939999999988</v>
      </c>
      <c r="W238" s="7">
        <v>45056.373000000007</v>
      </c>
      <c r="X238" s="7">
        <v>17196.359000000004</v>
      </c>
      <c r="Y238" s="7">
        <v>938096.45200000005</v>
      </c>
      <c r="Z238" s="8">
        <v>2.0825897114132878E-3</v>
      </c>
      <c r="AA238" s="8">
        <v>4.9352992479556959E-4</v>
      </c>
      <c r="AB238" s="8">
        <v>4.9546509432270335E-4</v>
      </c>
      <c r="AC238" s="8">
        <v>4.2888232613550543E-4</v>
      </c>
      <c r="AD238" s="8">
        <v>4.2475026144705947E-4</v>
      </c>
      <c r="AE238" s="8">
        <v>4.3631631389288273E-4</v>
      </c>
      <c r="AF238" s="8">
        <v>3.7081422185719756E-4</v>
      </c>
      <c r="AG238" s="8">
        <v>7.099708021027387E-4</v>
      </c>
      <c r="AH238" s="8">
        <v>1.6645813900732754E-3</v>
      </c>
      <c r="AI238" s="8">
        <v>5.4081215680598423E-3</v>
      </c>
      <c r="AJ238" s="8">
        <v>7.1314628530329412E-4</v>
      </c>
    </row>
    <row r="239" spans="1:36" x14ac:dyDescent="0.2">
      <c r="A239" t="s">
        <v>278</v>
      </c>
      <c r="B239">
        <v>2011</v>
      </c>
      <c r="C239" t="s">
        <v>281</v>
      </c>
      <c r="D239" s="7">
        <v>118</v>
      </c>
      <c r="E239" s="7">
        <v>65</v>
      </c>
      <c r="F239" s="7">
        <v>63</v>
      </c>
      <c r="G239" s="7">
        <v>71</v>
      </c>
      <c r="H239" s="7">
        <v>57</v>
      </c>
      <c r="I239" s="7">
        <v>55</v>
      </c>
      <c r="J239" s="7">
        <v>34</v>
      </c>
      <c r="K239" s="7">
        <v>68</v>
      </c>
      <c r="L239" s="7">
        <v>57</v>
      </c>
      <c r="M239" s="7">
        <v>68</v>
      </c>
      <c r="N239" s="7">
        <v>656</v>
      </c>
      <c r="O239" s="7">
        <v>61237.816999999995</v>
      </c>
      <c r="P239" s="7">
        <v>124349.43099999998</v>
      </c>
      <c r="Q239" s="7">
        <v>137954.67799999999</v>
      </c>
      <c r="R239" s="7">
        <v>122841.62899999999</v>
      </c>
      <c r="S239" s="7">
        <v>117625.018</v>
      </c>
      <c r="T239" s="7">
        <v>150899.33100000001</v>
      </c>
      <c r="U239" s="7">
        <v>134596.59500000003</v>
      </c>
      <c r="V239" s="7">
        <v>78913.376999999993</v>
      </c>
      <c r="W239" s="7">
        <v>47575.159000000007</v>
      </c>
      <c r="X239" s="7">
        <v>19461.026999999998</v>
      </c>
      <c r="Y239" s="7">
        <v>995454.06200000003</v>
      </c>
      <c r="Z239" s="8">
        <v>1.9269138872144971E-3</v>
      </c>
      <c r="AA239" s="8">
        <v>5.227205261598665E-4</v>
      </c>
      <c r="AB239" s="8">
        <v>4.5667171938888512E-4</v>
      </c>
      <c r="AC239" s="8">
        <v>5.7797996149985939E-4</v>
      </c>
      <c r="AD239" s="8">
        <v>4.8459078663010282E-4</v>
      </c>
      <c r="AE239" s="8">
        <v>3.6448140383074325E-4</v>
      </c>
      <c r="AF239" s="8">
        <v>2.5260668741285759E-4</v>
      </c>
      <c r="AG239" s="8">
        <v>8.6170434703358354E-4</v>
      </c>
      <c r="AH239" s="8">
        <v>1.1981042459574332E-3</v>
      </c>
      <c r="AI239" s="8">
        <v>3.4941629750577913E-3</v>
      </c>
      <c r="AJ239" s="8">
        <v>6.5899575383921631E-4</v>
      </c>
    </row>
    <row r="240" spans="1:36" x14ac:dyDescent="0.2">
      <c r="A240" t="s">
        <v>278</v>
      </c>
      <c r="B240">
        <v>2012</v>
      </c>
      <c r="C240" t="s">
        <v>282</v>
      </c>
      <c r="D240" s="7">
        <v>105</v>
      </c>
      <c r="E240" s="7">
        <v>67</v>
      </c>
      <c r="F240" s="7">
        <v>45</v>
      </c>
      <c r="G240" s="7">
        <v>56</v>
      </c>
      <c r="H240" s="7">
        <v>70</v>
      </c>
      <c r="I240" s="7">
        <v>38</v>
      </c>
      <c r="J240" s="7">
        <v>74</v>
      </c>
      <c r="K240" s="7">
        <v>41</v>
      </c>
      <c r="L240" s="7">
        <v>53</v>
      </c>
      <c r="M240" s="7">
        <v>92</v>
      </c>
      <c r="N240" s="7">
        <v>641</v>
      </c>
      <c r="O240" s="7">
        <v>58749.192999999977</v>
      </c>
      <c r="P240" s="7">
        <v>119702.79300000002</v>
      </c>
      <c r="Q240" s="7">
        <v>132047.36499999999</v>
      </c>
      <c r="R240" s="7">
        <v>119134.93100000006</v>
      </c>
      <c r="S240" s="7">
        <v>112008.90999999999</v>
      </c>
      <c r="T240" s="7">
        <v>144575.198</v>
      </c>
      <c r="U240" s="7">
        <v>136812.84200000003</v>
      </c>
      <c r="V240" s="7">
        <v>80537.611999999994</v>
      </c>
      <c r="W240" s="7">
        <v>46816.699000000001</v>
      </c>
      <c r="X240" s="7">
        <v>19603.517999999996</v>
      </c>
      <c r="Y240" s="7">
        <v>969989.0610000001</v>
      </c>
      <c r="Z240" s="8">
        <v>1.787258592641435E-3</v>
      </c>
      <c r="AA240" s="8">
        <v>5.5971960487170912E-4</v>
      </c>
      <c r="AB240" s="8">
        <v>3.4078680782460147E-4</v>
      </c>
      <c r="AC240" s="8">
        <v>4.7005525188913714E-4</v>
      </c>
      <c r="AD240" s="8">
        <v>6.2495028297302423E-4</v>
      </c>
      <c r="AE240" s="8">
        <v>2.6283899676900321E-4</v>
      </c>
      <c r="AF240" s="8">
        <v>5.4088489734026562E-4</v>
      </c>
      <c r="AG240" s="8">
        <v>5.0907891334051481E-4</v>
      </c>
      <c r="AH240" s="8">
        <v>1.1320746898451769E-3</v>
      </c>
      <c r="AI240" s="8">
        <v>4.6930351990902867E-3</v>
      </c>
      <c r="AJ240" s="8">
        <v>6.6083219468389442E-4</v>
      </c>
    </row>
    <row r="241" spans="1:36" x14ac:dyDescent="0.2">
      <c r="A241" t="s">
        <v>278</v>
      </c>
      <c r="B241">
        <v>2013</v>
      </c>
      <c r="C241" t="s">
        <v>283</v>
      </c>
      <c r="D241" s="7">
        <v>101</v>
      </c>
      <c r="E241" s="7">
        <v>57</v>
      </c>
      <c r="F241" s="7">
        <v>40</v>
      </c>
      <c r="G241" s="7">
        <v>63</v>
      </c>
      <c r="H241" s="7">
        <v>49</v>
      </c>
      <c r="I241" s="7">
        <v>37</v>
      </c>
      <c r="J241" s="7">
        <v>47</v>
      </c>
      <c r="K241" s="7">
        <v>64</v>
      </c>
      <c r="L241" s="7">
        <v>72</v>
      </c>
      <c r="M241" s="7">
        <v>96</v>
      </c>
      <c r="N241" s="7">
        <v>626</v>
      </c>
      <c r="O241" s="7">
        <v>58206.162999999993</v>
      </c>
      <c r="P241" s="7">
        <v>119133.329</v>
      </c>
      <c r="Q241" s="7">
        <v>131102.63099999999</v>
      </c>
      <c r="R241" s="7">
        <v>120919.78800000002</v>
      </c>
      <c r="S241" s="7">
        <v>110080.14600000001</v>
      </c>
      <c r="T241" s="7">
        <v>138613.44800000003</v>
      </c>
      <c r="U241" s="7">
        <v>137737.13799999998</v>
      </c>
      <c r="V241" s="7">
        <v>81925.35100000001</v>
      </c>
      <c r="W241" s="7">
        <v>46013.217999999986</v>
      </c>
      <c r="X241" s="7">
        <v>19647.348999999998</v>
      </c>
      <c r="Y241" s="7">
        <v>963378.56100000022</v>
      </c>
      <c r="Z241" s="8">
        <v>1.7352114414413472E-3</v>
      </c>
      <c r="AA241" s="8">
        <v>4.7845552943458837E-4</v>
      </c>
      <c r="AB241" s="8">
        <v>3.0510447955846135E-4</v>
      </c>
      <c r="AC241" s="8">
        <v>5.2100653699459014E-4</v>
      </c>
      <c r="AD241" s="8">
        <v>4.4513022357364968E-4</v>
      </c>
      <c r="AE241" s="8">
        <v>2.6692936748821077E-4</v>
      </c>
      <c r="AF241" s="8">
        <v>3.4122968345690475E-4</v>
      </c>
      <c r="AG241" s="8">
        <v>7.8119897222045463E-4</v>
      </c>
      <c r="AH241" s="8">
        <v>1.5647677586905575E-3</v>
      </c>
      <c r="AI241" s="8">
        <v>4.8861553790284888E-3</v>
      </c>
      <c r="AJ241" s="8">
        <v>6.4979648223664364E-4</v>
      </c>
    </row>
    <row r="242" spans="1:36" x14ac:dyDescent="0.2">
      <c r="A242" t="s">
        <v>278</v>
      </c>
      <c r="B242">
        <v>2014</v>
      </c>
      <c r="C242" t="s">
        <v>284</v>
      </c>
      <c r="D242" s="7">
        <v>109</v>
      </c>
      <c r="E242" s="7">
        <v>74</v>
      </c>
      <c r="F242" s="7">
        <v>54</v>
      </c>
      <c r="G242" s="7">
        <v>54</v>
      </c>
      <c r="H242" s="7">
        <v>42</v>
      </c>
      <c r="I242" s="7">
        <v>34</v>
      </c>
      <c r="J242" s="7">
        <v>52</v>
      </c>
      <c r="K242" s="7">
        <v>49</v>
      </c>
      <c r="L242" s="7">
        <v>43</v>
      </c>
      <c r="M242" s="7">
        <v>90</v>
      </c>
      <c r="N242" s="7">
        <v>601</v>
      </c>
      <c r="O242" s="7">
        <v>56386.606999999996</v>
      </c>
      <c r="P242" s="7">
        <v>114221.845</v>
      </c>
      <c r="Q242" s="7">
        <v>126299.29699999996</v>
      </c>
      <c r="R242" s="7">
        <v>117366.951</v>
      </c>
      <c r="S242" s="7">
        <v>104472.91899999998</v>
      </c>
      <c r="T242" s="7">
        <v>126347.967</v>
      </c>
      <c r="U242" s="7">
        <v>131776.99</v>
      </c>
      <c r="V242" s="7">
        <v>80406.40399999998</v>
      </c>
      <c r="W242" s="7">
        <v>43139.957999999999</v>
      </c>
      <c r="X242" s="7">
        <v>18422.037</v>
      </c>
      <c r="Y242" s="7">
        <v>918840.97499999986</v>
      </c>
      <c r="Z242" s="8">
        <v>1.933083152174771E-3</v>
      </c>
      <c r="AA242" s="8">
        <v>6.4786206176235372E-4</v>
      </c>
      <c r="AB242" s="8">
        <v>4.2755582400430954E-4</v>
      </c>
      <c r="AC242" s="8">
        <v>4.6009544884573168E-4</v>
      </c>
      <c r="AD242" s="8">
        <v>4.0201805790455618E-4</v>
      </c>
      <c r="AE242" s="8">
        <v>2.6909811694872778E-4</v>
      </c>
      <c r="AF242" s="8">
        <v>3.9460606893510018E-4</v>
      </c>
      <c r="AG242" s="8">
        <v>6.0940419621302816E-4</v>
      </c>
      <c r="AH242" s="8">
        <v>9.9675572238619252E-4</v>
      </c>
      <c r="AI242" s="8">
        <v>4.88545322105259E-3</v>
      </c>
      <c r="AJ242" s="8">
        <v>6.540848921109554E-4</v>
      </c>
    </row>
    <row r="243" spans="1:36" x14ac:dyDescent="0.2">
      <c r="A243" t="s">
        <v>278</v>
      </c>
      <c r="B243">
        <v>2015</v>
      </c>
      <c r="C243" t="s">
        <v>285</v>
      </c>
      <c r="D243" s="7">
        <v>105</v>
      </c>
      <c r="E243" s="7">
        <v>58</v>
      </c>
      <c r="F243" s="7">
        <v>62</v>
      </c>
      <c r="G243" s="7">
        <v>61</v>
      </c>
      <c r="H243" s="7">
        <v>55</v>
      </c>
      <c r="I243" s="7">
        <v>54</v>
      </c>
      <c r="J243" s="7">
        <v>64</v>
      </c>
      <c r="K243" s="7">
        <v>54</v>
      </c>
      <c r="L243" s="7">
        <v>61</v>
      </c>
      <c r="M243" s="7">
        <v>96</v>
      </c>
      <c r="N243" s="7">
        <v>670</v>
      </c>
      <c r="O243" s="7">
        <v>63694.790000000037</v>
      </c>
      <c r="P243" s="7">
        <v>131752.16899999999</v>
      </c>
      <c r="Q243" s="7">
        <v>143832.50000000003</v>
      </c>
      <c r="R243" s="7">
        <v>134179.96100000004</v>
      </c>
      <c r="S243" s="7">
        <v>120896.79300000002</v>
      </c>
      <c r="T243" s="7">
        <v>142572.43899999995</v>
      </c>
      <c r="U243" s="7">
        <v>154987.47799999997</v>
      </c>
      <c r="V243" s="7">
        <v>99994.296000000017</v>
      </c>
      <c r="W243" s="7">
        <v>52447.585000000006</v>
      </c>
      <c r="X243" s="7">
        <v>22696.687000000005</v>
      </c>
      <c r="Y243" s="7">
        <v>1067054.6979999999</v>
      </c>
      <c r="Z243" s="8">
        <v>1.6484864774654244E-3</v>
      </c>
      <c r="AA243" s="8">
        <v>4.4022045663627747E-4</v>
      </c>
      <c r="AB243" s="8">
        <v>4.3105695861505564E-4</v>
      </c>
      <c r="AC243" s="8">
        <v>4.5461333827634653E-4</v>
      </c>
      <c r="AD243" s="8">
        <v>4.5493349025395563E-4</v>
      </c>
      <c r="AE243" s="8">
        <v>3.7875483072853948E-4</v>
      </c>
      <c r="AF243" s="8">
        <v>4.1293658575436665E-4</v>
      </c>
      <c r="AG243" s="8">
        <v>5.4003080335702342E-4</v>
      </c>
      <c r="AH243" s="8">
        <v>1.1630659447904035E-3</v>
      </c>
      <c r="AI243" s="8">
        <v>4.2296922013331717E-3</v>
      </c>
      <c r="AJ243" s="8">
        <v>6.2789658417304497E-4</v>
      </c>
    </row>
    <row r="244" spans="1:36" x14ac:dyDescent="0.2">
      <c r="A244" t="s">
        <v>278</v>
      </c>
      <c r="B244">
        <v>2016</v>
      </c>
      <c r="C244" t="s">
        <v>286</v>
      </c>
      <c r="D244" s="7">
        <v>99</v>
      </c>
      <c r="E244" s="7">
        <v>64</v>
      </c>
      <c r="F244" s="7">
        <v>52</v>
      </c>
      <c r="G244" s="7">
        <v>52</v>
      </c>
      <c r="H244" s="7">
        <v>58</v>
      </c>
      <c r="I244" s="7">
        <v>47</v>
      </c>
      <c r="J244" s="7">
        <v>50</v>
      </c>
      <c r="K244" s="7">
        <v>65</v>
      </c>
      <c r="L244" s="7">
        <v>59</v>
      </c>
      <c r="M244" s="7">
        <v>65</v>
      </c>
      <c r="N244" s="7">
        <v>611</v>
      </c>
      <c r="O244" s="7">
        <v>62210.553000000007</v>
      </c>
      <c r="P244" s="7">
        <v>128598.48000000001</v>
      </c>
      <c r="Q244" s="7">
        <v>137165.63000000006</v>
      </c>
      <c r="R244" s="7">
        <v>130693.43199999997</v>
      </c>
      <c r="S244" s="7">
        <v>117865.26700000001</v>
      </c>
      <c r="T244" s="7">
        <v>132921.76500000001</v>
      </c>
      <c r="U244" s="7">
        <v>149490.027</v>
      </c>
      <c r="V244" s="7">
        <v>99167.483999999982</v>
      </c>
      <c r="W244" s="7">
        <v>50592.657000000007</v>
      </c>
      <c r="X244" s="7">
        <v>21439.637999999999</v>
      </c>
      <c r="Y244" s="7">
        <v>1030144.9330000001</v>
      </c>
      <c r="Z244" s="8">
        <v>1.5913698757829718E-3</v>
      </c>
      <c r="AA244" s="8">
        <v>4.9767306736440422E-4</v>
      </c>
      <c r="AB244" s="8">
        <v>3.7910371570487426E-4</v>
      </c>
      <c r="AC244" s="8">
        <v>3.9787768370793118E-4</v>
      </c>
      <c r="AD244" s="8">
        <v>4.9208729150038741E-4</v>
      </c>
      <c r="AE244" s="8">
        <v>3.5359145283693754E-4</v>
      </c>
      <c r="AF244" s="8">
        <v>3.3447047273595044E-4</v>
      </c>
      <c r="AG244" s="8">
        <v>6.5545678258813157E-4</v>
      </c>
      <c r="AH244" s="8">
        <v>1.1661771391053843E-3</v>
      </c>
      <c r="AI244" s="8">
        <v>3.0317676072702348E-3</v>
      </c>
      <c r="AJ244" s="8">
        <v>5.9312042454127175E-4</v>
      </c>
    </row>
    <row r="245" spans="1:36" x14ac:dyDescent="0.2">
      <c r="A245" t="s">
        <v>278</v>
      </c>
      <c r="B245">
        <v>2017</v>
      </c>
      <c r="C245" t="s">
        <v>287</v>
      </c>
      <c r="D245" s="7">
        <v>119</v>
      </c>
      <c r="E245" s="7">
        <v>42</v>
      </c>
      <c r="F245" s="7">
        <v>58</v>
      </c>
      <c r="G245" s="7">
        <v>44</v>
      </c>
      <c r="H245" s="7">
        <v>61</v>
      </c>
      <c r="I245" s="7">
        <v>47</v>
      </c>
      <c r="J245" s="7">
        <v>45</v>
      </c>
      <c r="K245" s="7">
        <v>53</v>
      </c>
      <c r="L245" s="7">
        <v>60</v>
      </c>
      <c r="M245" s="7">
        <v>74</v>
      </c>
      <c r="N245" s="7">
        <v>603</v>
      </c>
      <c r="O245" s="7">
        <v>56272</v>
      </c>
      <c r="P245" s="7">
        <v>115752</v>
      </c>
      <c r="Q245" s="7">
        <v>127478</v>
      </c>
      <c r="R245" s="7">
        <v>119587</v>
      </c>
      <c r="S245" s="7">
        <v>107395</v>
      </c>
      <c r="T245" s="7">
        <v>114763</v>
      </c>
      <c r="U245" s="7">
        <v>129638</v>
      </c>
      <c r="V245" s="7">
        <v>89819</v>
      </c>
      <c r="W245" s="7">
        <v>45137</v>
      </c>
      <c r="X245" s="7">
        <v>18875</v>
      </c>
      <c r="Y245" s="7">
        <v>924716</v>
      </c>
      <c r="Z245" s="8">
        <v>2.1147284617571795E-3</v>
      </c>
      <c r="AA245" s="8">
        <v>3.6284470246734398E-4</v>
      </c>
      <c r="AB245" s="8">
        <v>4.5498046721787291E-4</v>
      </c>
      <c r="AC245" s="8">
        <v>3.6793296930268338E-4</v>
      </c>
      <c r="AD245" s="8">
        <v>5.679966478886354E-4</v>
      </c>
      <c r="AE245" s="8">
        <v>4.0953965999494612E-4</v>
      </c>
      <c r="AF245" s="8">
        <v>3.4712044307996115E-4</v>
      </c>
      <c r="AG245" s="8">
        <v>5.9007559647736004E-4</v>
      </c>
      <c r="AH245" s="8">
        <v>1.3292863947537497E-3</v>
      </c>
      <c r="AI245" s="8">
        <v>3.9205298013245031E-3</v>
      </c>
      <c r="AJ245" s="8">
        <v>6.5209210179125268E-4</v>
      </c>
    </row>
    <row r="246" spans="1:36" x14ac:dyDescent="0.2">
      <c r="A246" t="s">
        <v>288</v>
      </c>
      <c r="B246">
        <v>2009</v>
      </c>
      <c r="C246" t="s">
        <v>289</v>
      </c>
      <c r="D246" s="7">
        <v>110</v>
      </c>
      <c r="E246" s="7">
        <v>33</v>
      </c>
      <c r="F246" s="7">
        <v>70</v>
      </c>
      <c r="G246" s="7">
        <v>53</v>
      </c>
      <c r="H246" s="7">
        <v>38</v>
      </c>
      <c r="I246" s="7">
        <v>47</v>
      </c>
      <c r="J246" s="7">
        <v>51</v>
      </c>
      <c r="K246" s="7">
        <v>53</v>
      </c>
      <c r="L246" s="7">
        <v>75</v>
      </c>
      <c r="M246" s="7">
        <v>127</v>
      </c>
      <c r="N246" s="7">
        <v>657</v>
      </c>
      <c r="O246" s="7">
        <v>128807.69600000001</v>
      </c>
      <c r="P246" s="7">
        <v>234966.69200000007</v>
      </c>
      <c r="Q246" s="7">
        <v>267905.40299999993</v>
      </c>
      <c r="R246" s="7">
        <v>220683.32500000007</v>
      </c>
      <c r="S246" s="7">
        <v>225037.19099999996</v>
      </c>
      <c r="T246" s="7">
        <v>249710.81600000005</v>
      </c>
      <c r="U246" s="7">
        <v>184180.802</v>
      </c>
      <c r="V246" s="7">
        <v>112647.25299999998</v>
      </c>
      <c r="W246" s="7">
        <v>83372.232999999978</v>
      </c>
      <c r="X246" s="7">
        <v>36213.652999999984</v>
      </c>
      <c r="Y246" s="7">
        <v>1743525.064</v>
      </c>
      <c r="Z246" s="8">
        <v>8.5398624007683509E-4</v>
      </c>
      <c r="AA246" s="8">
        <v>1.4044543811341564E-4</v>
      </c>
      <c r="AB246" s="8">
        <v>2.6128625707485273E-4</v>
      </c>
      <c r="AC246" s="8">
        <v>2.4016313874190533E-4</v>
      </c>
      <c r="AD246" s="8">
        <v>1.6886097729508189E-4</v>
      </c>
      <c r="AE246" s="8">
        <v>1.8821771821049188E-4</v>
      </c>
      <c r="AF246" s="8">
        <v>2.7690182389367596E-4</v>
      </c>
      <c r="AG246" s="8">
        <v>4.7049527253008121E-4</v>
      </c>
      <c r="AH246" s="8">
        <v>8.9958007961715529E-4</v>
      </c>
      <c r="AI246" s="8">
        <v>3.5069646246403273E-3</v>
      </c>
      <c r="AJ246" s="8">
        <v>3.7682280201507904E-4</v>
      </c>
    </row>
    <row r="247" spans="1:36" x14ac:dyDescent="0.2">
      <c r="A247" t="s">
        <v>288</v>
      </c>
      <c r="B247">
        <v>2010</v>
      </c>
      <c r="C247" t="s">
        <v>290</v>
      </c>
      <c r="D247" s="7">
        <v>87</v>
      </c>
      <c r="E247" s="7">
        <v>53</v>
      </c>
      <c r="F247" s="7">
        <v>50</v>
      </c>
      <c r="G247" s="7">
        <v>50</v>
      </c>
      <c r="H247" s="7">
        <v>49</v>
      </c>
      <c r="I247" s="7">
        <v>47</v>
      </c>
      <c r="J247" s="7">
        <v>39</v>
      </c>
      <c r="K247" s="7">
        <v>69</v>
      </c>
      <c r="L247" s="7">
        <v>48</v>
      </c>
      <c r="M247" s="7">
        <v>140</v>
      </c>
      <c r="N247" s="7">
        <v>632</v>
      </c>
      <c r="O247" s="7">
        <v>128861.07100000001</v>
      </c>
      <c r="P247" s="7">
        <v>244926.78199999992</v>
      </c>
      <c r="Q247" s="7">
        <v>259376.90700000006</v>
      </c>
      <c r="R247" s="7">
        <v>234111.01999999993</v>
      </c>
      <c r="S247" s="7">
        <v>225902.64499999999</v>
      </c>
      <c r="T247" s="7">
        <v>257586.22200000004</v>
      </c>
      <c r="U247" s="7">
        <v>198797.91999999998</v>
      </c>
      <c r="V247" s="7">
        <v>118200.94400000005</v>
      </c>
      <c r="W247" s="7">
        <v>84765.873999999967</v>
      </c>
      <c r="X247" s="7">
        <v>37082.849000000002</v>
      </c>
      <c r="Y247" s="7">
        <v>1789612.2339999999</v>
      </c>
      <c r="Z247" s="8">
        <v>6.7514571565216929E-4</v>
      </c>
      <c r="AA247" s="8">
        <v>2.1639119890122925E-4</v>
      </c>
      <c r="AB247" s="8">
        <v>1.9276966703901666E-4</v>
      </c>
      <c r="AC247" s="8">
        <v>2.1357388473212417E-4</v>
      </c>
      <c r="AD247" s="8">
        <v>2.1690759751839117E-4</v>
      </c>
      <c r="AE247" s="8">
        <v>1.8246317537899987E-4</v>
      </c>
      <c r="AF247" s="8">
        <v>1.9617911495251058E-4</v>
      </c>
      <c r="AG247" s="8">
        <v>5.8375168306608425E-4</v>
      </c>
      <c r="AH247" s="8">
        <v>5.6626561769421526E-4</v>
      </c>
      <c r="AI247" s="8">
        <v>3.775330207234077E-3</v>
      </c>
      <c r="AJ247" s="8">
        <v>3.5314912805854232E-4</v>
      </c>
    </row>
    <row r="248" spans="1:36" x14ac:dyDescent="0.2">
      <c r="A248" t="s">
        <v>288</v>
      </c>
      <c r="B248">
        <v>2011</v>
      </c>
      <c r="C248" t="s">
        <v>291</v>
      </c>
      <c r="D248" s="7">
        <v>129</v>
      </c>
      <c r="E248" s="7">
        <v>63</v>
      </c>
      <c r="F248" s="7">
        <v>69</v>
      </c>
      <c r="G248" s="7">
        <v>65</v>
      </c>
      <c r="H248" s="7">
        <v>75</v>
      </c>
      <c r="I248" s="7">
        <v>68</v>
      </c>
      <c r="J248" s="7">
        <v>46</v>
      </c>
      <c r="K248" s="7">
        <v>75</v>
      </c>
      <c r="L248" s="7">
        <v>44</v>
      </c>
      <c r="M248" s="7">
        <v>194</v>
      </c>
      <c r="N248" s="7">
        <v>828</v>
      </c>
      <c r="O248" s="7">
        <v>130091.44800000006</v>
      </c>
      <c r="P248" s="7">
        <v>247906.44799999992</v>
      </c>
      <c r="Q248" s="7">
        <v>260632.15500000006</v>
      </c>
      <c r="R248" s="7">
        <v>239865.26300000004</v>
      </c>
      <c r="S248" s="7">
        <v>226434.36100000003</v>
      </c>
      <c r="T248" s="7">
        <v>259912.31800000003</v>
      </c>
      <c r="U248" s="7">
        <v>209475.11799999999</v>
      </c>
      <c r="V248" s="7">
        <v>122299.64100000003</v>
      </c>
      <c r="W248" s="7">
        <v>85172.567000000039</v>
      </c>
      <c r="X248" s="7">
        <v>37748.618000000009</v>
      </c>
      <c r="Y248" s="7">
        <v>1819537.9370000002</v>
      </c>
      <c r="Z248" s="8">
        <v>9.9161014796299253E-4</v>
      </c>
      <c r="AA248" s="8">
        <v>2.5412812175018546E-4</v>
      </c>
      <c r="AB248" s="8">
        <v>2.6474093344315086E-4</v>
      </c>
      <c r="AC248" s="8">
        <v>2.7098546570288501E-4</v>
      </c>
      <c r="AD248" s="8">
        <v>3.3122181487287608E-4</v>
      </c>
      <c r="AE248" s="8">
        <v>2.6162669212161002E-4</v>
      </c>
      <c r="AF248" s="8">
        <v>2.195964868724886E-4</v>
      </c>
      <c r="AG248" s="8">
        <v>6.1324791623877282E-4</v>
      </c>
      <c r="AH248" s="8">
        <v>5.1659826103397802E-4</v>
      </c>
      <c r="AI248" s="8">
        <v>5.1392609922832127E-3</v>
      </c>
      <c r="AJ248" s="8">
        <v>4.5506058607669469E-4</v>
      </c>
    </row>
    <row r="249" spans="1:36" x14ac:dyDescent="0.2">
      <c r="A249" t="s">
        <v>288</v>
      </c>
      <c r="B249">
        <v>2012</v>
      </c>
      <c r="C249" t="s">
        <v>292</v>
      </c>
      <c r="D249" s="7">
        <v>95</v>
      </c>
      <c r="E249" s="7">
        <v>60</v>
      </c>
      <c r="F249" s="7">
        <v>45</v>
      </c>
      <c r="G249" s="7">
        <v>68</v>
      </c>
      <c r="H249" s="7">
        <v>62</v>
      </c>
      <c r="I249" s="7">
        <v>56</v>
      </c>
      <c r="J249" s="7">
        <v>54</v>
      </c>
      <c r="K249" s="7">
        <v>54</v>
      </c>
      <c r="L249" s="7">
        <v>71</v>
      </c>
      <c r="M249" s="7">
        <v>153</v>
      </c>
      <c r="N249" s="7">
        <v>718</v>
      </c>
      <c r="O249" s="7">
        <v>126707.24600000001</v>
      </c>
      <c r="P249" s="7">
        <v>243158.37600000002</v>
      </c>
      <c r="Q249" s="7">
        <v>254136.67200000002</v>
      </c>
      <c r="R249" s="7">
        <v>240413.64700000006</v>
      </c>
      <c r="S249" s="7">
        <v>218365.30499999993</v>
      </c>
      <c r="T249" s="7">
        <v>248317.57599999997</v>
      </c>
      <c r="U249" s="7">
        <v>208016.98099999988</v>
      </c>
      <c r="V249" s="7">
        <v>121086.64599999998</v>
      </c>
      <c r="W249" s="7">
        <v>81159.295000000013</v>
      </c>
      <c r="X249" s="7">
        <v>36155.097000000009</v>
      </c>
      <c r="Y249" s="7">
        <v>1777516.8409999998</v>
      </c>
      <c r="Z249" s="8">
        <v>7.4975980458134167E-4</v>
      </c>
      <c r="AA249" s="8">
        <v>2.4675275837506006E-4</v>
      </c>
      <c r="AB249" s="8">
        <v>1.7707007668692535E-4</v>
      </c>
      <c r="AC249" s="8">
        <v>2.828458402779439E-4</v>
      </c>
      <c r="AD249" s="8">
        <v>2.8392788863597184E-4</v>
      </c>
      <c r="AE249" s="8">
        <v>2.2551766533030271E-4</v>
      </c>
      <c r="AF249" s="8">
        <v>2.5959419149535693E-4</v>
      </c>
      <c r="AG249" s="8">
        <v>4.4596164634042311E-4</v>
      </c>
      <c r="AH249" s="8">
        <v>8.7482277907909359E-4</v>
      </c>
      <c r="AI249" s="8">
        <v>4.2317684834312563E-3</v>
      </c>
      <c r="AJ249" s="8">
        <v>4.0393428823777886E-4</v>
      </c>
    </row>
    <row r="250" spans="1:36" x14ac:dyDescent="0.2">
      <c r="A250" t="s">
        <v>288</v>
      </c>
      <c r="B250">
        <v>2013</v>
      </c>
      <c r="C250" t="s">
        <v>293</v>
      </c>
      <c r="D250" s="7">
        <v>107</v>
      </c>
      <c r="E250" s="7">
        <v>71</v>
      </c>
      <c r="F250" s="7">
        <v>54</v>
      </c>
      <c r="G250" s="7">
        <v>46</v>
      </c>
      <c r="H250" s="7">
        <v>69</v>
      </c>
      <c r="I250" s="7">
        <v>46</v>
      </c>
      <c r="J250" s="7">
        <v>59</v>
      </c>
      <c r="K250" s="7">
        <v>53</v>
      </c>
      <c r="L250" s="7">
        <v>67</v>
      </c>
      <c r="M250" s="7">
        <v>213</v>
      </c>
      <c r="N250" s="7">
        <v>785</v>
      </c>
      <c r="O250" s="7">
        <v>128246.51299999998</v>
      </c>
      <c r="P250" s="7">
        <v>250574.36100000006</v>
      </c>
      <c r="Q250" s="7">
        <v>256240.74400000004</v>
      </c>
      <c r="R250" s="7">
        <v>245495.12399999995</v>
      </c>
      <c r="S250" s="7">
        <v>219685.79300000001</v>
      </c>
      <c r="T250" s="7">
        <v>248598.20099999997</v>
      </c>
      <c r="U250" s="7">
        <v>216533.492</v>
      </c>
      <c r="V250" s="7">
        <v>126549.02900000001</v>
      </c>
      <c r="W250" s="7">
        <v>80981.023000000045</v>
      </c>
      <c r="X250" s="7">
        <v>37526.907000000014</v>
      </c>
      <c r="Y250" s="7">
        <v>1810431.1870000004</v>
      </c>
      <c r="Z250" s="8">
        <v>8.3433067688943729E-4</v>
      </c>
      <c r="AA250" s="8">
        <v>2.8334902149067031E-4</v>
      </c>
      <c r="AB250" s="8">
        <v>2.1073931942689017E-4</v>
      </c>
      <c r="AC250" s="8">
        <v>1.8737643033594432E-4</v>
      </c>
      <c r="AD250" s="8">
        <v>3.1408494403641296E-4</v>
      </c>
      <c r="AE250" s="8">
        <v>1.8503754176402913E-4</v>
      </c>
      <c r="AF250" s="8">
        <v>2.7247516979959848E-4</v>
      </c>
      <c r="AG250" s="8">
        <v>4.1881000920204606E-4</v>
      </c>
      <c r="AH250" s="8">
        <v>8.2735432966807494E-4</v>
      </c>
      <c r="AI250" s="8">
        <v>5.6759274085658035E-3</v>
      </c>
      <c r="AJ250" s="8">
        <v>4.3359836354829644E-4</v>
      </c>
    </row>
    <row r="251" spans="1:36" x14ac:dyDescent="0.2">
      <c r="A251" t="s">
        <v>288</v>
      </c>
      <c r="B251">
        <v>2014</v>
      </c>
      <c r="C251" t="s">
        <v>294</v>
      </c>
      <c r="D251" s="7">
        <v>120</v>
      </c>
      <c r="E251" s="7">
        <v>49</v>
      </c>
      <c r="F251" s="7">
        <v>55</v>
      </c>
      <c r="G251" s="7">
        <v>46</v>
      </c>
      <c r="H251" s="7">
        <v>64</v>
      </c>
      <c r="I251" s="7">
        <v>65</v>
      </c>
      <c r="J251" s="7">
        <v>60</v>
      </c>
      <c r="K251" s="7">
        <v>60</v>
      </c>
      <c r="L251" s="7">
        <v>82</v>
      </c>
      <c r="M251" s="7">
        <v>160</v>
      </c>
      <c r="N251" s="7">
        <v>761</v>
      </c>
      <c r="O251" s="7">
        <v>129020.321</v>
      </c>
      <c r="P251" s="7">
        <v>255818.63699999993</v>
      </c>
      <c r="Q251" s="7">
        <v>256737.56899999987</v>
      </c>
      <c r="R251" s="7">
        <v>248802.95100000003</v>
      </c>
      <c r="S251" s="7">
        <v>223413.01299999992</v>
      </c>
      <c r="T251" s="7">
        <v>251811.48500000004</v>
      </c>
      <c r="U251" s="7">
        <v>230238.56400000001</v>
      </c>
      <c r="V251" s="7">
        <v>137035.69400000002</v>
      </c>
      <c r="W251" s="7">
        <v>85142.43</v>
      </c>
      <c r="X251" s="7">
        <v>39179.158999999992</v>
      </c>
      <c r="Y251" s="7">
        <v>1857199.8229999996</v>
      </c>
      <c r="Z251" s="8">
        <v>9.3008604435265664E-4</v>
      </c>
      <c r="AA251" s="8">
        <v>1.9154194774323661E-4</v>
      </c>
      <c r="AB251" s="8">
        <v>2.1422653573540702E-4</v>
      </c>
      <c r="AC251" s="8">
        <v>1.848852668954075E-4</v>
      </c>
      <c r="AD251" s="8">
        <v>2.8646496074962303E-4</v>
      </c>
      <c r="AE251" s="8">
        <v>2.5812960834570346E-4</v>
      </c>
      <c r="AF251" s="8">
        <v>2.6059926259790255E-4</v>
      </c>
      <c r="AG251" s="8">
        <v>4.3784212892737271E-4</v>
      </c>
      <c r="AH251" s="8">
        <v>9.6309207994181058E-4</v>
      </c>
      <c r="AI251" s="8">
        <v>4.0838038407103134E-3</v>
      </c>
      <c r="AJ251" s="8">
        <v>4.0975666192490269E-4</v>
      </c>
    </row>
    <row r="252" spans="1:36" x14ac:dyDescent="0.2">
      <c r="A252" t="s">
        <v>288</v>
      </c>
      <c r="B252">
        <v>2015</v>
      </c>
      <c r="C252" t="s">
        <v>295</v>
      </c>
      <c r="D252" s="7">
        <v>95</v>
      </c>
      <c r="E252" s="7">
        <v>38</v>
      </c>
      <c r="F252" s="7">
        <v>56</v>
      </c>
      <c r="G252" s="7">
        <v>38</v>
      </c>
      <c r="H252" s="7">
        <v>69</v>
      </c>
      <c r="I252" s="7">
        <v>58</v>
      </c>
      <c r="J252" s="7">
        <v>66</v>
      </c>
      <c r="K252" s="7">
        <v>53</v>
      </c>
      <c r="L252" s="7">
        <v>84</v>
      </c>
      <c r="M252" s="7">
        <v>201</v>
      </c>
      <c r="N252" s="7">
        <v>758</v>
      </c>
      <c r="O252" s="7">
        <v>130860.575</v>
      </c>
      <c r="P252" s="7">
        <v>263745.02100000007</v>
      </c>
      <c r="Q252" s="7">
        <v>272831.72000000015</v>
      </c>
      <c r="R252" s="7">
        <v>257873.02899999992</v>
      </c>
      <c r="S252" s="7">
        <v>234152.83699999997</v>
      </c>
      <c r="T252" s="7">
        <v>252784.46199999985</v>
      </c>
      <c r="U252" s="7">
        <v>239952.31699999995</v>
      </c>
      <c r="V252" s="7">
        <v>150767.94899999999</v>
      </c>
      <c r="W252" s="7">
        <v>86104.306000000041</v>
      </c>
      <c r="X252" s="7">
        <v>40126.359000000011</v>
      </c>
      <c r="Y252" s="7">
        <v>1929198.5750000002</v>
      </c>
      <c r="Z252" s="8">
        <v>7.2596349206015644E-4</v>
      </c>
      <c r="AA252" s="8">
        <v>1.4407854925913461E-4</v>
      </c>
      <c r="AB252" s="8">
        <v>2.0525472624664012E-4</v>
      </c>
      <c r="AC252" s="8">
        <v>1.473593424925412E-4</v>
      </c>
      <c r="AD252" s="8">
        <v>2.9467932519647419E-4</v>
      </c>
      <c r="AE252" s="8">
        <v>2.2944448223245634E-4</v>
      </c>
      <c r="AF252" s="8">
        <v>2.7505464762817862E-4</v>
      </c>
      <c r="AG252" s="8">
        <v>3.5153360081856657E-4</v>
      </c>
      <c r="AH252" s="8">
        <v>9.7556096671866746E-4</v>
      </c>
      <c r="AI252" s="8">
        <v>5.00917613781006E-3</v>
      </c>
      <c r="AJ252" s="8">
        <v>3.9290926803633986E-4</v>
      </c>
    </row>
    <row r="253" spans="1:36" x14ac:dyDescent="0.2">
      <c r="A253" t="s">
        <v>288</v>
      </c>
      <c r="B253">
        <v>2016</v>
      </c>
      <c r="C253" t="s">
        <v>296</v>
      </c>
      <c r="D253" s="7">
        <v>99</v>
      </c>
      <c r="E253" s="7">
        <v>35</v>
      </c>
      <c r="F253" s="7">
        <v>52</v>
      </c>
      <c r="G253" s="7">
        <v>56</v>
      </c>
      <c r="H253" s="7">
        <v>59</v>
      </c>
      <c r="I253" s="7">
        <v>55</v>
      </c>
      <c r="J253" s="7">
        <v>43</v>
      </c>
      <c r="K253" s="7">
        <v>56</v>
      </c>
      <c r="L253" s="7">
        <v>53</v>
      </c>
      <c r="M253" s="7">
        <v>182</v>
      </c>
      <c r="N253" s="7">
        <v>690</v>
      </c>
      <c r="O253" s="7">
        <v>133596.51399999994</v>
      </c>
      <c r="P253" s="7">
        <v>268824.45699999994</v>
      </c>
      <c r="Q253" s="7">
        <v>270472.59699999983</v>
      </c>
      <c r="R253" s="7">
        <v>259860.84999999998</v>
      </c>
      <c r="S253" s="7">
        <v>233904.5339999999</v>
      </c>
      <c r="T253" s="7">
        <v>246746.46200000003</v>
      </c>
      <c r="U253" s="7">
        <v>242822.50799999997</v>
      </c>
      <c r="V253" s="7">
        <v>154255.802</v>
      </c>
      <c r="W253" s="7">
        <v>87683.14899999999</v>
      </c>
      <c r="X253" s="7">
        <v>41501.364999999991</v>
      </c>
      <c r="Y253" s="7">
        <v>1939668.2379999994</v>
      </c>
      <c r="Z253" s="8">
        <v>7.4103729982056307E-4</v>
      </c>
      <c r="AA253" s="8">
        <v>1.3019648729356499E-4</v>
      </c>
      <c r="AB253" s="8">
        <v>1.9225607539088342E-4</v>
      </c>
      <c r="AC253" s="8">
        <v>2.1549994929978872E-4</v>
      </c>
      <c r="AD253" s="8">
        <v>2.522396594501243E-4</v>
      </c>
      <c r="AE253" s="8">
        <v>2.2290086574777308E-4</v>
      </c>
      <c r="AF253" s="8">
        <v>1.7708407821897631E-4</v>
      </c>
      <c r="AG253" s="8">
        <v>3.6303334638913614E-4</v>
      </c>
      <c r="AH253" s="8">
        <v>6.0444909431799727E-4</v>
      </c>
      <c r="AI253" s="8">
        <v>4.3853979260682161E-3</v>
      </c>
      <c r="AJ253" s="8">
        <v>3.5573093711709281E-4</v>
      </c>
    </row>
    <row r="254" spans="1:36" x14ac:dyDescent="0.2">
      <c r="A254" t="s">
        <v>288</v>
      </c>
      <c r="B254">
        <v>2017</v>
      </c>
      <c r="C254" t="s">
        <v>297</v>
      </c>
      <c r="D254" s="7">
        <v>58</v>
      </c>
      <c r="E254" s="7">
        <v>42</v>
      </c>
      <c r="F254" s="7">
        <v>46</v>
      </c>
      <c r="G254" s="7">
        <v>69</v>
      </c>
      <c r="H254" s="7">
        <v>67</v>
      </c>
      <c r="I254" s="7">
        <v>57</v>
      </c>
      <c r="J254" s="7">
        <v>59</v>
      </c>
      <c r="K254" s="7">
        <v>65</v>
      </c>
      <c r="L254" s="7">
        <v>73</v>
      </c>
      <c r="M254" s="7">
        <v>216</v>
      </c>
      <c r="N254" s="7">
        <v>752</v>
      </c>
      <c r="O254" s="7">
        <v>127388</v>
      </c>
      <c r="P254" s="7">
        <v>256136</v>
      </c>
      <c r="Q254" s="7">
        <v>257819</v>
      </c>
      <c r="R254" s="7">
        <v>248172</v>
      </c>
      <c r="S254" s="7">
        <v>223639</v>
      </c>
      <c r="T254" s="7">
        <v>226855</v>
      </c>
      <c r="U254" s="7">
        <v>229877</v>
      </c>
      <c r="V254" s="7">
        <v>149138</v>
      </c>
      <c r="W254" s="7">
        <v>80321</v>
      </c>
      <c r="X254" s="7">
        <v>37761</v>
      </c>
      <c r="Y254" s="7">
        <v>1837106</v>
      </c>
      <c r="Z254" s="8">
        <v>4.5530191226803154E-4</v>
      </c>
      <c r="AA254" s="8">
        <v>1.639753880750851E-4</v>
      </c>
      <c r="AB254" s="8">
        <v>1.7841974408402795E-4</v>
      </c>
      <c r="AC254" s="8">
        <v>2.7803297712876554E-4</v>
      </c>
      <c r="AD254" s="8">
        <v>2.9958996418334905E-4</v>
      </c>
      <c r="AE254" s="8">
        <v>2.5126181922373319E-4</v>
      </c>
      <c r="AF254" s="8">
        <v>2.5665899589780622E-4</v>
      </c>
      <c r="AG254" s="8">
        <v>4.358379487454572E-4</v>
      </c>
      <c r="AH254" s="8">
        <v>9.0885322642895387E-4</v>
      </c>
      <c r="AI254" s="8">
        <v>5.7201874950345592E-3</v>
      </c>
      <c r="AJ254" s="8">
        <v>4.0933947197385452E-4</v>
      </c>
    </row>
    <row r="255" spans="1:36" x14ac:dyDescent="0.2">
      <c r="A255" t="s">
        <v>298</v>
      </c>
      <c r="B255">
        <v>2009</v>
      </c>
      <c r="C255" t="s">
        <v>299</v>
      </c>
      <c r="D255" s="7">
        <v>118</v>
      </c>
      <c r="E255" s="7">
        <v>47</v>
      </c>
      <c r="F255" s="7">
        <v>64</v>
      </c>
      <c r="G255" s="7">
        <v>63</v>
      </c>
      <c r="H255" s="7">
        <v>60</v>
      </c>
      <c r="I255" s="7">
        <v>67</v>
      </c>
      <c r="J255" s="7">
        <v>58</v>
      </c>
      <c r="K255" s="7">
        <v>91</v>
      </c>
      <c r="L255" s="7">
        <v>117</v>
      </c>
      <c r="M255" s="7">
        <v>152</v>
      </c>
      <c r="N255" s="7">
        <v>837</v>
      </c>
      <c r="O255" s="7">
        <v>195159.26299999998</v>
      </c>
      <c r="P255" s="7">
        <v>355676.5610000001</v>
      </c>
      <c r="Q255" s="7">
        <v>327975.00299999997</v>
      </c>
      <c r="R255" s="7">
        <v>376724.60199999996</v>
      </c>
      <c r="S255" s="7">
        <v>370811.63000000006</v>
      </c>
      <c r="T255" s="7">
        <v>346273.29500000004</v>
      </c>
      <c r="U255" s="7">
        <v>278050.35899999994</v>
      </c>
      <c r="V255" s="7">
        <v>164275.18400000001</v>
      </c>
      <c r="W255" s="7">
        <v>94969.47199999998</v>
      </c>
      <c r="X255" s="7">
        <v>28295.126999999993</v>
      </c>
      <c r="Y255" s="7">
        <v>2538210.4960000003</v>
      </c>
      <c r="Z255" s="8">
        <v>6.046343800755182E-4</v>
      </c>
      <c r="AA255" s="8">
        <v>1.321425282224318E-4</v>
      </c>
      <c r="AB255" s="8">
        <v>1.9513682266815929E-4</v>
      </c>
      <c r="AC255" s="8">
        <v>1.6723091527746841E-4</v>
      </c>
      <c r="AD255" s="8">
        <v>1.6180722271305243E-4</v>
      </c>
      <c r="AE255" s="8">
        <v>1.9348878751969595E-4</v>
      </c>
      <c r="AF255" s="8">
        <v>2.0859530701055492E-4</v>
      </c>
      <c r="AG255" s="8">
        <v>5.5394855013524136E-4</v>
      </c>
      <c r="AH255" s="8">
        <v>1.2319748392409723E-3</v>
      </c>
      <c r="AI255" s="8">
        <v>5.3719497353731625E-3</v>
      </c>
      <c r="AJ255" s="8">
        <v>3.2975988450092671E-4</v>
      </c>
    </row>
    <row r="256" spans="1:36" x14ac:dyDescent="0.2">
      <c r="A256" t="s">
        <v>298</v>
      </c>
      <c r="B256">
        <v>2010</v>
      </c>
      <c r="C256" t="s">
        <v>300</v>
      </c>
      <c r="D256" s="7">
        <v>104</v>
      </c>
      <c r="E256" s="7">
        <v>50</v>
      </c>
      <c r="F256" s="7">
        <v>49</v>
      </c>
      <c r="G256" s="7">
        <v>49</v>
      </c>
      <c r="H256" s="7">
        <v>52</v>
      </c>
      <c r="I256" s="7">
        <v>43</v>
      </c>
      <c r="J256" s="7">
        <v>29</v>
      </c>
      <c r="K256" s="7">
        <v>63</v>
      </c>
      <c r="L256" s="7">
        <v>144</v>
      </c>
      <c r="M256" s="7">
        <v>117</v>
      </c>
      <c r="N256" s="7">
        <v>700</v>
      </c>
      <c r="O256" s="7">
        <v>188938.50899999993</v>
      </c>
      <c r="P256" s="7">
        <v>358346.5199999999</v>
      </c>
      <c r="Q256" s="7">
        <v>352832.17200000002</v>
      </c>
      <c r="R256" s="7">
        <v>380831.01599999995</v>
      </c>
      <c r="S256" s="7">
        <v>385294.76699999982</v>
      </c>
      <c r="T256" s="7">
        <v>365177.89699999988</v>
      </c>
      <c r="U256" s="7">
        <v>299854.80399999995</v>
      </c>
      <c r="V256" s="7">
        <v>181075.54400000002</v>
      </c>
      <c r="W256" s="7">
        <v>92019.991999999998</v>
      </c>
      <c r="X256" s="7">
        <v>28664.335999999996</v>
      </c>
      <c r="Y256" s="7">
        <v>2633035.5569999996</v>
      </c>
      <c r="Z256" s="8">
        <v>5.5044363666487931E-4</v>
      </c>
      <c r="AA256" s="8">
        <v>1.395297490261661E-4</v>
      </c>
      <c r="AB256" s="8">
        <v>1.3887622469982696E-4</v>
      </c>
      <c r="AC256" s="8">
        <v>1.2866599079734622E-4</v>
      </c>
      <c r="AD256" s="8">
        <v>1.3496160460440415E-4</v>
      </c>
      <c r="AE256" s="8">
        <v>1.1775082871458678E-4</v>
      </c>
      <c r="AF256" s="8">
        <v>9.6713474698907956E-5</v>
      </c>
      <c r="AG256" s="8">
        <v>3.4792108646101869E-4</v>
      </c>
      <c r="AH256" s="8">
        <v>1.5648773366552782E-3</v>
      </c>
      <c r="AI256" s="8">
        <v>4.0817272027511824E-3</v>
      </c>
      <c r="AJ256" s="8">
        <v>2.6585284734914811E-4</v>
      </c>
    </row>
    <row r="257" spans="1:36" x14ac:dyDescent="0.2">
      <c r="A257" t="s">
        <v>298</v>
      </c>
      <c r="B257">
        <v>2011</v>
      </c>
      <c r="C257" t="s">
        <v>301</v>
      </c>
      <c r="D257" s="7">
        <v>122</v>
      </c>
      <c r="E257" s="7">
        <v>56</v>
      </c>
      <c r="F257" s="7">
        <v>48</v>
      </c>
      <c r="G257" s="7">
        <v>48</v>
      </c>
      <c r="H257" s="7">
        <v>42</v>
      </c>
      <c r="I257" s="7">
        <v>53</v>
      </c>
      <c r="J257" s="7">
        <v>64</v>
      </c>
      <c r="K257" s="7">
        <v>92</v>
      </c>
      <c r="L257" s="7">
        <v>138</v>
      </c>
      <c r="M257" s="7">
        <v>111</v>
      </c>
      <c r="N257" s="7">
        <v>774</v>
      </c>
      <c r="O257" s="7">
        <v>189268.04699999999</v>
      </c>
      <c r="P257" s="7">
        <v>362588.69300000003</v>
      </c>
      <c r="Q257" s="7">
        <v>357540.35800000001</v>
      </c>
      <c r="R257" s="7">
        <v>385689.29200000007</v>
      </c>
      <c r="S257" s="7">
        <v>386021.32699999999</v>
      </c>
      <c r="T257" s="7">
        <v>369467.07900000014</v>
      </c>
      <c r="U257" s="7">
        <v>307405.85700000002</v>
      </c>
      <c r="V257" s="7">
        <v>191346.67499999999</v>
      </c>
      <c r="W257" s="7">
        <v>94112.501999999993</v>
      </c>
      <c r="X257" s="7">
        <v>29642.749999999996</v>
      </c>
      <c r="Y257" s="7">
        <v>2673082.58</v>
      </c>
      <c r="Z257" s="8">
        <v>6.4458846558500184E-4</v>
      </c>
      <c r="AA257" s="8">
        <v>1.5444497051649649E-4</v>
      </c>
      <c r="AB257" s="8">
        <v>1.3425057878361244E-4</v>
      </c>
      <c r="AC257" s="8">
        <v>1.2445250878263944E-4</v>
      </c>
      <c r="AD257" s="8">
        <v>1.0880227868860727E-4</v>
      </c>
      <c r="AE257" s="8">
        <v>1.4344985795067272E-4</v>
      </c>
      <c r="AF257" s="8">
        <v>2.0819382110861992E-4</v>
      </c>
      <c r="AG257" s="8">
        <v>4.8080271057754207E-4</v>
      </c>
      <c r="AH257" s="8">
        <v>1.466330158771042E-3</v>
      </c>
      <c r="AI257" s="8">
        <v>3.7445918479223424E-3</v>
      </c>
      <c r="AJ257" s="8">
        <v>2.8955334406466409E-4</v>
      </c>
    </row>
    <row r="258" spans="1:36" x14ac:dyDescent="0.2">
      <c r="A258" t="s">
        <v>298</v>
      </c>
      <c r="B258">
        <v>2012</v>
      </c>
      <c r="C258" t="s">
        <v>302</v>
      </c>
      <c r="D258" s="7">
        <v>109</v>
      </c>
      <c r="E258" s="7">
        <v>42</v>
      </c>
      <c r="F258" s="7">
        <v>44</v>
      </c>
      <c r="G258" s="7">
        <v>49</v>
      </c>
      <c r="H258" s="7">
        <v>53</v>
      </c>
      <c r="I258" s="7">
        <v>64</v>
      </c>
      <c r="J258" s="7">
        <v>43</v>
      </c>
      <c r="K258" s="7">
        <v>72</v>
      </c>
      <c r="L258" s="7">
        <v>161</v>
      </c>
      <c r="M258" s="7">
        <v>127</v>
      </c>
      <c r="N258" s="7">
        <v>764</v>
      </c>
      <c r="O258" s="7">
        <v>184873.56100000005</v>
      </c>
      <c r="P258" s="7">
        <v>361516.19199999992</v>
      </c>
      <c r="Q258" s="7">
        <v>363554.41999999993</v>
      </c>
      <c r="R258" s="7">
        <v>384475.72900000005</v>
      </c>
      <c r="S258" s="7">
        <v>381112.74900000001</v>
      </c>
      <c r="T258" s="7">
        <v>370639.60199999996</v>
      </c>
      <c r="U258" s="7">
        <v>313984.50000000006</v>
      </c>
      <c r="V258" s="7">
        <v>198861.97</v>
      </c>
      <c r="W258" s="7">
        <v>96376.457000000009</v>
      </c>
      <c r="X258" s="7">
        <v>32581.690999999999</v>
      </c>
      <c r="Y258" s="7">
        <v>2687976.8710000003</v>
      </c>
      <c r="Z258" s="8">
        <v>5.8959214833320586E-4</v>
      </c>
      <c r="AA258" s="8">
        <v>1.1617736889638406E-4</v>
      </c>
      <c r="AB258" s="8">
        <v>1.210272728908096E-4</v>
      </c>
      <c r="AC258" s="8">
        <v>1.2744627632918799E-4</v>
      </c>
      <c r="AD258" s="8">
        <v>1.3906645773217101E-4</v>
      </c>
      <c r="AE258" s="8">
        <v>1.7267447853562074E-4</v>
      </c>
      <c r="AF258" s="8">
        <v>1.36949435402066E-4</v>
      </c>
      <c r="AG258" s="8">
        <v>3.6206017671453221E-4</v>
      </c>
      <c r="AH258" s="8">
        <v>1.6705324620928945E-3</v>
      </c>
      <c r="AI258" s="8">
        <v>3.8978946795609841E-3</v>
      </c>
      <c r="AJ258" s="8">
        <v>2.8422863613248699E-4</v>
      </c>
    </row>
    <row r="259" spans="1:36" x14ac:dyDescent="0.2">
      <c r="A259" t="s">
        <v>298</v>
      </c>
      <c r="B259">
        <v>2013</v>
      </c>
      <c r="C259" t="s">
        <v>303</v>
      </c>
      <c r="D259" s="7">
        <v>95</v>
      </c>
      <c r="E259" s="7">
        <v>68</v>
      </c>
      <c r="F259" s="7">
        <v>59</v>
      </c>
      <c r="G259" s="7">
        <v>65</v>
      </c>
      <c r="H259" s="7">
        <v>66</v>
      </c>
      <c r="I259" s="7">
        <v>62</v>
      </c>
      <c r="J259" s="7">
        <v>63</v>
      </c>
      <c r="K259" s="7">
        <v>98</v>
      </c>
      <c r="L259" s="7">
        <v>114</v>
      </c>
      <c r="M259" s="7">
        <v>130</v>
      </c>
      <c r="N259" s="7">
        <v>820</v>
      </c>
      <c r="O259" s="7">
        <v>182623.70799999996</v>
      </c>
      <c r="P259" s="7">
        <v>366958.66699999996</v>
      </c>
      <c r="Q259" s="7">
        <v>360805.538</v>
      </c>
      <c r="R259" s="7">
        <v>390637.24100000004</v>
      </c>
      <c r="S259" s="7">
        <v>381684.18300000002</v>
      </c>
      <c r="T259" s="7">
        <v>375757.26500000001</v>
      </c>
      <c r="U259" s="7">
        <v>322567.43699999992</v>
      </c>
      <c r="V259" s="7">
        <v>211643.97500000001</v>
      </c>
      <c r="W259" s="7">
        <v>99278.626999999964</v>
      </c>
      <c r="X259" s="7">
        <v>33530.402999999998</v>
      </c>
      <c r="Y259" s="7">
        <v>2725487.0439999998</v>
      </c>
      <c r="Z259" s="8">
        <v>5.2019532973232596E-4</v>
      </c>
      <c r="AA259" s="8">
        <v>1.8530697355078414E-4</v>
      </c>
      <c r="AB259" s="8">
        <v>1.6352298894037486E-4</v>
      </c>
      <c r="AC259" s="8">
        <v>1.6639478569325651E-4</v>
      </c>
      <c r="AD259" s="8">
        <v>1.7291782824545285E-4</v>
      </c>
      <c r="AE259" s="8">
        <v>1.6500013645777414E-4</v>
      </c>
      <c r="AF259" s="8">
        <v>1.9530799694452734E-4</v>
      </c>
      <c r="AG259" s="8">
        <v>4.6304176624919276E-4</v>
      </c>
      <c r="AH259" s="8">
        <v>1.1482834064576663E-3</v>
      </c>
      <c r="AI259" s="8">
        <v>3.877078363776302E-3</v>
      </c>
      <c r="AJ259" s="8">
        <v>3.0086365730674892E-4</v>
      </c>
    </row>
    <row r="260" spans="1:36" x14ac:dyDescent="0.2">
      <c r="A260" t="s">
        <v>298</v>
      </c>
      <c r="B260">
        <v>2014</v>
      </c>
      <c r="C260" t="s">
        <v>304</v>
      </c>
      <c r="D260" s="7">
        <v>102</v>
      </c>
      <c r="E260" s="7">
        <v>73</v>
      </c>
      <c r="F260" s="7">
        <v>62</v>
      </c>
      <c r="G260" s="7">
        <v>40</v>
      </c>
      <c r="H260" s="7">
        <v>74</v>
      </c>
      <c r="I260" s="7">
        <v>50</v>
      </c>
      <c r="J260" s="7">
        <v>71</v>
      </c>
      <c r="K260" s="7">
        <v>152</v>
      </c>
      <c r="L260" s="7">
        <v>174</v>
      </c>
      <c r="M260" s="7">
        <v>174</v>
      </c>
      <c r="N260" s="7">
        <v>972</v>
      </c>
      <c r="O260" s="7">
        <v>180470.13899999997</v>
      </c>
      <c r="P260" s="7">
        <v>370742.07700000005</v>
      </c>
      <c r="Q260" s="7">
        <v>363722.77500000002</v>
      </c>
      <c r="R260" s="7">
        <v>395077.07100000005</v>
      </c>
      <c r="S260" s="7">
        <v>381152.913</v>
      </c>
      <c r="T260" s="7">
        <v>379241.96200000006</v>
      </c>
      <c r="U260" s="7">
        <v>332337.93999999994</v>
      </c>
      <c r="V260" s="7">
        <v>225144.01800000001</v>
      </c>
      <c r="W260" s="7">
        <v>102998.06</v>
      </c>
      <c r="X260" s="7">
        <v>36500.082000000002</v>
      </c>
      <c r="Y260" s="7">
        <v>2767387.0370000005</v>
      </c>
      <c r="Z260" s="8">
        <v>5.6519045513673605E-4</v>
      </c>
      <c r="AA260" s="8">
        <v>1.969023872086685E-4</v>
      </c>
      <c r="AB260" s="8">
        <v>1.7045949349748583E-4</v>
      </c>
      <c r="AC260" s="8">
        <v>1.0124606801086666E-4</v>
      </c>
      <c r="AD260" s="8">
        <v>1.9414780125266942E-4</v>
      </c>
      <c r="AE260" s="8">
        <v>1.3184195054871063E-4</v>
      </c>
      <c r="AF260" s="8">
        <v>2.1363796140759617E-4</v>
      </c>
      <c r="AG260" s="8">
        <v>6.7512342255524635E-4</v>
      </c>
      <c r="AH260" s="8">
        <v>1.6893522072163301E-3</v>
      </c>
      <c r="AI260" s="8">
        <v>4.7671125779936603E-3</v>
      </c>
      <c r="AJ260" s="8">
        <v>3.5123384875492567E-4</v>
      </c>
    </row>
    <row r="261" spans="1:36" x14ac:dyDescent="0.2">
      <c r="A261" t="s">
        <v>298</v>
      </c>
      <c r="B261">
        <v>2015</v>
      </c>
      <c r="C261" t="s">
        <v>305</v>
      </c>
      <c r="D261" s="7">
        <v>111</v>
      </c>
      <c r="E261" s="7">
        <v>65</v>
      </c>
      <c r="F261" s="7">
        <v>58</v>
      </c>
      <c r="G261" s="7">
        <v>51</v>
      </c>
      <c r="H261" s="7">
        <v>41</v>
      </c>
      <c r="I261" s="7">
        <v>69</v>
      </c>
      <c r="J261" s="7">
        <v>64</v>
      </c>
      <c r="K261" s="7">
        <v>121</v>
      </c>
      <c r="L261" s="7">
        <v>169</v>
      </c>
      <c r="M261" s="7">
        <v>171</v>
      </c>
      <c r="N261" s="7">
        <v>920</v>
      </c>
      <c r="O261" s="7">
        <v>187093.74999999994</v>
      </c>
      <c r="P261" s="7">
        <v>387047.14999999997</v>
      </c>
      <c r="Q261" s="7">
        <v>375336.86600000004</v>
      </c>
      <c r="R261" s="7">
        <v>411755.55800000002</v>
      </c>
      <c r="S261" s="7">
        <v>394541.11299999995</v>
      </c>
      <c r="T261" s="7">
        <v>393081.49400000001</v>
      </c>
      <c r="U261" s="7">
        <v>348747.56200000003</v>
      </c>
      <c r="V261" s="7">
        <v>241844.30899999998</v>
      </c>
      <c r="W261" s="7">
        <v>111420.5</v>
      </c>
      <c r="X261" s="7">
        <v>37972.133000000002</v>
      </c>
      <c r="Y261" s="7">
        <v>2888840.4349999996</v>
      </c>
      <c r="Z261" s="8">
        <v>5.9328545181226006E-4</v>
      </c>
      <c r="AA261" s="8">
        <v>1.6793819564360572E-4</v>
      </c>
      <c r="AB261" s="8">
        <v>1.5452785285418778E-4</v>
      </c>
      <c r="AC261" s="8">
        <v>1.2385989456394902E-4</v>
      </c>
      <c r="AD261" s="8">
        <v>1.0391819419843327E-4</v>
      </c>
      <c r="AE261" s="8">
        <v>1.7553611923536649E-4</v>
      </c>
      <c r="AF261" s="8">
        <v>1.8351382768949648E-4</v>
      </c>
      <c r="AG261" s="8">
        <v>5.0032188270347105E-4</v>
      </c>
      <c r="AH261" s="8">
        <v>1.5167765357362425E-3</v>
      </c>
      <c r="AI261" s="8">
        <v>4.5033024613076117E-3</v>
      </c>
      <c r="AJ261" s="8">
        <v>3.1846687994728241E-4</v>
      </c>
    </row>
    <row r="262" spans="1:36" x14ac:dyDescent="0.2">
      <c r="A262" t="s">
        <v>298</v>
      </c>
      <c r="B262">
        <v>2016</v>
      </c>
      <c r="C262" t="s">
        <v>306</v>
      </c>
      <c r="D262" s="7">
        <v>121</v>
      </c>
      <c r="E262" s="7">
        <v>57</v>
      </c>
      <c r="F262" s="7">
        <v>51</v>
      </c>
      <c r="G262" s="7">
        <v>56</v>
      </c>
      <c r="H262" s="7">
        <v>56</v>
      </c>
      <c r="I262" s="7">
        <v>60</v>
      </c>
      <c r="J262" s="7">
        <v>80</v>
      </c>
      <c r="K262" s="7">
        <v>112</v>
      </c>
      <c r="L262" s="7">
        <v>152</v>
      </c>
      <c r="M262" s="7">
        <v>107</v>
      </c>
      <c r="N262" s="7">
        <v>852</v>
      </c>
      <c r="O262" s="7">
        <v>185252.14199999996</v>
      </c>
      <c r="P262" s="7">
        <v>385965.69699999993</v>
      </c>
      <c r="Q262" s="7">
        <v>375452.94000000006</v>
      </c>
      <c r="R262" s="7">
        <v>418954.84399999992</v>
      </c>
      <c r="S262" s="7">
        <v>395164.5799999999</v>
      </c>
      <c r="T262" s="7">
        <v>397617.23400000011</v>
      </c>
      <c r="U262" s="7">
        <v>358294.01400000002</v>
      </c>
      <c r="V262" s="7">
        <v>262381.64899999998</v>
      </c>
      <c r="W262" s="7">
        <v>120551.361</v>
      </c>
      <c r="X262" s="7">
        <v>39351.644999999997</v>
      </c>
      <c r="Y262" s="7">
        <v>2938986.1059999997</v>
      </c>
      <c r="Z262" s="8">
        <v>6.5316383764134844E-4</v>
      </c>
      <c r="AA262" s="8">
        <v>1.4768151792515387E-4</v>
      </c>
      <c r="AB262" s="8">
        <v>1.3583593192798007E-4</v>
      </c>
      <c r="AC262" s="8">
        <v>1.3366595661082751E-4</v>
      </c>
      <c r="AD262" s="8">
        <v>1.4171310596713911E-4</v>
      </c>
      <c r="AE262" s="8">
        <v>1.5089889187247849E-4</v>
      </c>
      <c r="AF262" s="8">
        <v>2.2328031413887923E-4</v>
      </c>
      <c r="AG262" s="8">
        <v>4.2685912077639244E-4</v>
      </c>
      <c r="AH262" s="8">
        <v>1.2608733633459352E-3</v>
      </c>
      <c r="AI262" s="8">
        <v>2.7190731162572749E-3</v>
      </c>
      <c r="AJ262" s="8">
        <v>2.8989589241698853E-4</v>
      </c>
    </row>
    <row r="263" spans="1:36" x14ac:dyDescent="0.2">
      <c r="A263" t="s">
        <v>298</v>
      </c>
      <c r="B263">
        <v>2017</v>
      </c>
      <c r="C263" t="s">
        <v>307</v>
      </c>
      <c r="D263" s="7">
        <v>113</v>
      </c>
      <c r="E263" s="7">
        <v>51</v>
      </c>
      <c r="F263" s="7">
        <v>52</v>
      </c>
      <c r="G263" s="7">
        <v>58</v>
      </c>
      <c r="H263" s="7">
        <v>75</v>
      </c>
      <c r="I263" s="7">
        <v>40</v>
      </c>
      <c r="J263" s="7">
        <v>66</v>
      </c>
      <c r="K263" s="7">
        <v>161</v>
      </c>
      <c r="L263" s="7">
        <v>134</v>
      </c>
      <c r="M263" s="7">
        <v>153</v>
      </c>
      <c r="N263" s="7">
        <v>903</v>
      </c>
      <c r="O263" s="7">
        <v>179734</v>
      </c>
      <c r="P263" s="7">
        <v>373939</v>
      </c>
      <c r="Q263" s="7">
        <v>359722</v>
      </c>
      <c r="R263" s="7">
        <v>414543</v>
      </c>
      <c r="S263" s="7">
        <v>385303</v>
      </c>
      <c r="T263" s="7">
        <v>385152</v>
      </c>
      <c r="U263" s="7">
        <v>351068</v>
      </c>
      <c r="V263" s="7">
        <v>263281</v>
      </c>
      <c r="W263" s="7">
        <v>119059</v>
      </c>
      <c r="X263" s="7">
        <v>39350</v>
      </c>
      <c r="Y263" s="7">
        <v>2871151</v>
      </c>
      <c r="Z263" s="8">
        <v>6.2870686681429225E-4</v>
      </c>
      <c r="AA263" s="8">
        <v>1.3638588111964786E-4</v>
      </c>
      <c r="AB263" s="8">
        <v>1.4455607385703404E-4</v>
      </c>
      <c r="AC263" s="8">
        <v>1.3991310913463742E-4</v>
      </c>
      <c r="AD263" s="8">
        <v>1.9465200115233985E-4</v>
      </c>
      <c r="AE263" s="8">
        <v>1.0385510136257894E-4</v>
      </c>
      <c r="AF263" s="8">
        <v>1.8799776681440632E-4</v>
      </c>
      <c r="AG263" s="8">
        <v>6.1151393378177689E-4</v>
      </c>
      <c r="AH263" s="8">
        <v>1.1254924029262803E-3</v>
      </c>
      <c r="AI263" s="8">
        <v>3.8881829733163915E-3</v>
      </c>
      <c r="AJ263" s="8">
        <v>3.1450801438168873E-4</v>
      </c>
    </row>
    <row r="264" spans="1:36" x14ac:dyDescent="0.2">
      <c r="A264" t="s">
        <v>308</v>
      </c>
      <c r="B264">
        <v>2009</v>
      </c>
      <c r="C264" t="s">
        <v>309</v>
      </c>
      <c r="D264" s="7">
        <v>112</v>
      </c>
      <c r="E264" s="7">
        <v>45</v>
      </c>
      <c r="F264" s="7">
        <v>50</v>
      </c>
      <c r="G264" s="7">
        <v>49</v>
      </c>
      <c r="H264" s="7">
        <v>59</v>
      </c>
      <c r="I264" s="7">
        <v>53</v>
      </c>
      <c r="J264" s="7">
        <v>59</v>
      </c>
      <c r="K264" s="7">
        <v>49</v>
      </c>
      <c r="L264" s="7">
        <v>64</v>
      </c>
      <c r="M264" s="7">
        <v>87</v>
      </c>
      <c r="N264" s="7">
        <v>627</v>
      </c>
      <c r="O264" s="7">
        <v>75863.43299999999</v>
      </c>
      <c r="P264" s="7">
        <v>165634.94400000002</v>
      </c>
      <c r="Q264" s="7">
        <v>184752.06599999999</v>
      </c>
      <c r="R264" s="7">
        <v>148506.95500000002</v>
      </c>
      <c r="S264" s="7">
        <v>197501.076</v>
      </c>
      <c r="T264" s="7">
        <v>217261.481</v>
      </c>
      <c r="U264" s="7">
        <v>157433.073</v>
      </c>
      <c r="V264" s="7">
        <v>87886.143999999986</v>
      </c>
      <c r="W264" s="7">
        <v>57525.013999999996</v>
      </c>
      <c r="X264" s="7">
        <v>23766.960000000003</v>
      </c>
      <c r="Y264" s="7">
        <v>1316131.1460000002</v>
      </c>
      <c r="Z264" s="8">
        <v>1.4763370911516753E-3</v>
      </c>
      <c r="AA264" s="8">
        <v>2.7168180163721973E-4</v>
      </c>
      <c r="AB264" s="8">
        <v>2.7063296818558989E-4</v>
      </c>
      <c r="AC264" s="8">
        <v>3.2995087671146441E-4</v>
      </c>
      <c r="AD264" s="8">
        <v>2.9873254969000777E-4</v>
      </c>
      <c r="AE264" s="8">
        <v>2.4394568128714911E-4</v>
      </c>
      <c r="AF264" s="8">
        <v>3.7476242364906386E-4</v>
      </c>
      <c r="AG264" s="8">
        <v>5.5753953660772745E-4</v>
      </c>
      <c r="AH264" s="8">
        <v>1.112559485861229E-3</v>
      </c>
      <c r="AI264" s="8">
        <v>3.6605438810853384E-3</v>
      </c>
      <c r="AJ264" s="8">
        <v>4.7639629371707E-4</v>
      </c>
    </row>
    <row r="265" spans="1:36" x14ac:dyDescent="0.2">
      <c r="A265" t="s">
        <v>308</v>
      </c>
      <c r="B265">
        <v>2010</v>
      </c>
      <c r="C265" t="s">
        <v>310</v>
      </c>
      <c r="D265" s="7">
        <v>81</v>
      </c>
      <c r="E265" s="7">
        <v>74</v>
      </c>
      <c r="F265" s="7">
        <v>28</v>
      </c>
      <c r="G265" s="7">
        <v>61</v>
      </c>
      <c r="H265" s="7">
        <v>63</v>
      </c>
      <c r="I265" s="7">
        <v>57</v>
      </c>
      <c r="J265" s="7">
        <v>48</v>
      </c>
      <c r="K265" s="7">
        <v>53</v>
      </c>
      <c r="L265" s="7">
        <v>48</v>
      </c>
      <c r="M265" s="7">
        <v>105</v>
      </c>
      <c r="N265" s="7">
        <v>618</v>
      </c>
      <c r="O265" s="7">
        <v>72299.672999999995</v>
      </c>
      <c r="P265" s="7">
        <v>166228.61099999998</v>
      </c>
      <c r="Q265" s="7">
        <v>179679.99300000002</v>
      </c>
      <c r="R265" s="7">
        <v>144228.57900000003</v>
      </c>
      <c r="S265" s="7">
        <v>192146.20799999998</v>
      </c>
      <c r="T265" s="7">
        <v>221676.63199999998</v>
      </c>
      <c r="U265" s="7">
        <v>166817.65400000004</v>
      </c>
      <c r="V265" s="7">
        <v>90483.390000000029</v>
      </c>
      <c r="W265" s="7">
        <v>56783.514000000003</v>
      </c>
      <c r="X265" s="7">
        <v>23051.814000000002</v>
      </c>
      <c r="Y265" s="7">
        <v>1313396.0680000002</v>
      </c>
      <c r="Z265" s="8">
        <v>1.1203370172919039E-3</v>
      </c>
      <c r="AA265" s="8">
        <v>4.4517005559289676E-4</v>
      </c>
      <c r="AB265" s="8">
        <v>1.5583259734432424E-4</v>
      </c>
      <c r="AC265" s="8">
        <v>4.2293975592729087E-4</v>
      </c>
      <c r="AD265" s="8">
        <v>3.2787532294158004E-4</v>
      </c>
      <c r="AE265" s="8">
        <v>2.5713129744771659E-4</v>
      </c>
      <c r="AF265" s="8">
        <v>2.8773933003517716E-4</v>
      </c>
      <c r="AG265" s="8">
        <v>5.8574286396652451E-4</v>
      </c>
      <c r="AH265" s="8">
        <v>8.4531577246170421E-4</v>
      </c>
      <c r="AI265" s="8">
        <v>4.5549560654966235E-3</v>
      </c>
      <c r="AJ265" s="8">
        <v>4.7053589930497636E-4</v>
      </c>
    </row>
    <row r="266" spans="1:36" x14ac:dyDescent="0.2">
      <c r="A266" t="s">
        <v>308</v>
      </c>
      <c r="B266">
        <v>2011</v>
      </c>
      <c r="C266" t="s">
        <v>311</v>
      </c>
      <c r="D266" s="7">
        <v>108</v>
      </c>
      <c r="E266" s="7">
        <v>54</v>
      </c>
      <c r="F266" s="7">
        <v>61</v>
      </c>
      <c r="G266" s="7">
        <v>64</v>
      </c>
      <c r="H266" s="7">
        <v>64</v>
      </c>
      <c r="I266" s="7">
        <v>44</v>
      </c>
      <c r="J266" s="7">
        <v>52</v>
      </c>
      <c r="K266" s="7">
        <v>39</v>
      </c>
      <c r="L266" s="7">
        <v>56</v>
      </c>
      <c r="M266" s="7">
        <v>121</v>
      </c>
      <c r="N266" s="7">
        <v>663</v>
      </c>
      <c r="O266" s="7">
        <v>73138.479999999981</v>
      </c>
      <c r="P266" s="7">
        <v>167793.647</v>
      </c>
      <c r="Q266" s="7">
        <v>183086.321</v>
      </c>
      <c r="R266" s="7">
        <v>147094.807</v>
      </c>
      <c r="S266" s="7">
        <v>188179.95399999997</v>
      </c>
      <c r="T266" s="7">
        <v>224788.50899999999</v>
      </c>
      <c r="U266" s="7">
        <v>173300.06800000003</v>
      </c>
      <c r="V266" s="7">
        <v>94939.10100000001</v>
      </c>
      <c r="W266" s="7">
        <v>57630.631999999998</v>
      </c>
      <c r="X266" s="7">
        <v>23463.38</v>
      </c>
      <c r="Y266" s="7">
        <v>1333414.899</v>
      </c>
      <c r="Z266" s="8">
        <v>1.4766508683254017E-3</v>
      </c>
      <c r="AA266" s="8">
        <v>3.218238650000855E-4</v>
      </c>
      <c r="AB266" s="8">
        <v>3.3317617431397295E-4</v>
      </c>
      <c r="AC266" s="8">
        <v>4.3509353800640972E-4</v>
      </c>
      <c r="AD266" s="8">
        <v>3.4009998748325772E-4</v>
      </c>
      <c r="AE266" s="8">
        <v>1.9573954289629636E-4</v>
      </c>
      <c r="AF266" s="8">
        <v>3.0005758566695997E-4</v>
      </c>
      <c r="AG266" s="8">
        <v>4.1078964925104984E-4</v>
      </c>
      <c r="AH266" s="8">
        <v>9.7170546385817876E-4</v>
      </c>
      <c r="AI266" s="8">
        <v>5.1569722691274652E-3</v>
      </c>
      <c r="AJ266" s="8">
        <v>4.9721958296492679E-4</v>
      </c>
    </row>
    <row r="267" spans="1:36" x14ac:dyDescent="0.2">
      <c r="A267" t="s">
        <v>308</v>
      </c>
      <c r="B267">
        <v>2012</v>
      </c>
      <c r="C267" t="s">
        <v>312</v>
      </c>
      <c r="D267" s="7">
        <v>107</v>
      </c>
      <c r="E267" s="7">
        <v>70</v>
      </c>
      <c r="F267" s="7">
        <v>71</v>
      </c>
      <c r="G267" s="7">
        <v>62</v>
      </c>
      <c r="H267" s="7">
        <v>58</v>
      </c>
      <c r="I267" s="7">
        <v>46</v>
      </c>
      <c r="J267" s="7">
        <v>48</v>
      </c>
      <c r="K267" s="7">
        <v>61</v>
      </c>
      <c r="L267" s="7">
        <v>56</v>
      </c>
      <c r="M267" s="7">
        <v>126</v>
      </c>
      <c r="N267" s="7">
        <v>705</v>
      </c>
      <c r="O267" s="7">
        <v>69384.82699999999</v>
      </c>
      <c r="P267" s="7">
        <v>161671.59400000001</v>
      </c>
      <c r="Q267" s="7">
        <v>178786.35499999998</v>
      </c>
      <c r="R267" s="7">
        <v>145685.83500000002</v>
      </c>
      <c r="S267" s="7">
        <v>179323.076</v>
      </c>
      <c r="T267" s="7">
        <v>223223.81800000003</v>
      </c>
      <c r="U267" s="7">
        <v>179230.81899999999</v>
      </c>
      <c r="V267" s="7">
        <v>99044.56299999998</v>
      </c>
      <c r="W267" s="7">
        <v>57766.875000000007</v>
      </c>
      <c r="X267" s="7">
        <v>24345.947</v>
      </c>
      <c r="Y267" s="7">
        <v>1318463.709</v>
      </c>
      <c r="Z267" s="8">
        <v>1.5421238997972858E-3</v>
      </c>
      <c r="AA267" s="8">
        <v>4.3297649431229087E-4</v>
      </c>
      <c r="AB267" s="8">
        <v>3.9712202869173104E-4</v>
      </c>
      <c r="AC267" s="8">
        <v>4.2557328926315992E-4</v>
      </c>
      <c r="AD267" s="8">
        <v>3.234385740739803E-4</v>
      </c>
      <c r="AE267" s="8">
        <v>2.0607119980359798E-4</v>
      </c>
      <c r="AF267" s="8">
        <v>2.6781108443185768E-4</v>
      </c>
      <c r="AG267" s="8">
        <v>6.1588438731361773E-4</v>
      </c>
      <c r="AH267" s="8">
        <v>9.6941369946011431E-4</v>
      </c>
      <c r="AI267" s="8">
        <v>5.1753994206920765E-3</v>
      </c>
      <c r="AJ267" s="8">
        <v>5.3471323873958824E-4</v>
      </c>
    </row>
    <row r="268" spans="1:36" x14ac:dyDescent="0.2">
      <c r="A268" t="s">
        <v>308</v>
      </c>
      <c r="B268">
        <v>2013</v>
      </c>
      <c r="C268" t="s">
        <v>313</v>
      </c>
      <c r="D268" s="7">
        <v>93</v>
      </c>
      <c r="E268" s="7">
        <v>38</v>
      </c>
      <c r="F268" s="7">
        <v>47</v>
      </c>
      <c r="G268" s="7">
        <v>50</v>
      </c>
      <c r="H268" s="7">
        <v>63</v>
      </c>
      <c r="I268" s="7">
        <v>54</v>
      </c>
      <c r="J268" s="7">
        <v>45</v>
      </c>
      <c r="K268" s="7">
        <v>54</v>
      </c>
      <c r="L268" s="7">
        <v>72</v>
      </c>
      <c r="M268" s="7">
        <v>116</v>
      </c>
      <c r="N268" s="7">
        <v>632</v>
      </c>
      <c r="O268" s="7">
        <v>68047.467999999993</v>
      </c>
      <c r="P268" s="7">
        <v>159088.83499999999</v>
      </c>
      <c r="Q268" s="7">
        <v>178920.85900000003</v>
      </c>
      <c r="R268" s="7">
        <v>147078.234</v>
      </c>
      <c r="S268" s="7">
        <v>172304.95500000002</v>
      </c>
      <c r="T268" s="7">
        <v>221963.51199999996</v>
      </c>
      <c r="U268" s="7">
        <v>184648.23199999996</v>
      </c>
      <c r="V268" s="7">
        <v>104007.094</v>
      </c>
      <c r="W268" s="7">
        <v>57908.991000000002</v>
      </c>
      <c r="X268" s="7">
        <v>24943.477000000003</v>
      </c>
      <c r="Y268" s="7">
        <v>1318911.6569999999</v>
      </c>
      <c r="Z268" s="8">
        <v>1.3666930266971874E-3</v>
      </c>
      <c r="AA268" s="8">
        <v>2.3886025691243512E-4</v>
      </c>
      <c r="AB268" s="8">
        <v>2.62685973355404E-4</v>
      </c>
      <c r="AC268" s="8">
        <v>3.3995512891458844E-4</v>
      </c>
      <c r="AD268" s="8">
        <v>3.656308084697854E-4</v>
      </c>
      <c r="AE268" s="8">
        <v>2.4328322936249095E-4</v>
      </c>
      <c r="AF268" s="8">
        <v>2.4370663890245107E-4</v>
      </c>
      <c r="AG268" s="8">
        <v>5.1919535411690287E-4</v>
      </c>
      <c r="AH268" s="8">
        <v>1.2433302455572054E-3</v>
      </c>
      <c r="AI268" s="8">
        <v>4.6505144411101941E-3</v>
      </c>
      <c r="AJ268" s="8">
        <v>4.791829662325898E-4</v>
      </c>
    </row>
    <row r="269" spans="1:36" x14ac:dyDescent="0.2">
      <c r="A269" t="s">
        <v>308</v>
      </c>
      <c r="B269">
        <v>2014</v>
      </c>
      <c r="C269" t="s">
        <v>314</v>
      </c>
      <c r="D269" s="7">
        <v>96</v>
      </c>
      <c r="E269" s="7">
        <v>58</v>
      </c>
      <c r="F269" s="7">
        <v>49</v>
      </c>
      <c r="G269" s="7">
        <v>55</v>
      </c>
      <c r="H269" s="7">
        <v>52</v>
      </c>
      <c r="I269" s="7">
        <v>42</v>
      </c>
      <c r="J269" s="7">
        <v>55</v>
      </c>
      <c r="K269" s="7">
        <v>47</v>
      </c>
      <c r="L269" s="7">
        <v>53</v>
      </c>
      <c r="M269" s="7">
        <v>77</v>
      </c>
      <c r="N269" s="7">
        <v>584</v>
      </c>
      <c r="O269" s="7">
        <v>64619.513000000006</v>
      </c>
      <c r="P269" s="7">
        <v>151333.09699999998</v>
      </c>
      <c r="Q269" s="7">
        <v>174621.723</v>
      </c>
      <c r="R269" s="7">
        <v>144657.85</v>
      </c>
      <c r="S269" s="7">
        <v>162287.33700000003</v>
      </c>
      <c r="T269" s="7">
        <v>211505.092</v>
      </c>
      <c r="U269" s="7">
        <v>182791.454</v>
      </c>
      <c r="V269" s="7">
        <v>105526.042</v>
      </c>
      <c r="W269" s="7">
        <v>56334.345999999998</v>
      </c>
      <c r="X269" s="7">
        <v>24367.115000000002</v>
      </c>
      <c r="Y269" s="7">
        <v>1278043.5689999997</v>
      </c>
      <c r="Z269" s="8">
        <v>1.4856193670168946E-3</v>
      </c>
      <c r="AA269" s="8">
        <v>3.8326051042225092E-4</v>
      </c>
      <c r="AB269" s="8">
        <v>2.8060655431741443E-4</v>
      </c>
      <c r="AC269" s="8">
        <v>3.8020750342964446E-4</v>
      </c>
      <c r="AD269" s="8">
        <v>3.204193313000138E-4</v>
      </c>
      <c r="AE269" s="8">
        <v>1.9857677941862505E-4</v>
      </c>
      <c r="AF269" s="8">
        <v>3.008893402642336E-4</v>
      </c>
      <c r="AG269" s="8">
        <v>4.453876892303039E-4</v>
      </c>
      <c r="AH269" s="8">
        <v>9.4081149002777102E-4</v>
      </c>
      <c r="AI269" s="8">
        <v>3.1599965773543561E-3</v>
      </c>
      <c r="AJ269" s="8">
        <v>4.569484281799161E-4</v>
      </c>
    </row>
    <row r="270" spans="1:36" x14ac:dyDescent="0.2">
      <c r="A270" t="s">
        <v>308</v>
      </c>
      <c r="B270">
        <v>2015</v>
      </c>
      <c r="C270" t="s">
        <v>315</v>
      </c>
      <c r="D270" s="7">
        <v>121</v>
      </c>
      <c r="E270" s="7">
        <v>60</v>
      </c>
      <c r="F270" s="7">
        <v>65</v>
      </c>
      <c r="G270" s="7">
        <v>56</v>
      </c>
      <c r="H270" s="7">
        <v>36</v>
      </c>
      <c r="I270" s="7">
        <v>55</v>
      </c>
      <c r="J270" s="7">
        <v>63</v>
      </c>
      <c r="K270" s="7">
        <v>69</v>
      </c>
      <c r="L270" s="7">
        <v>57</v>
      </c>
      <c r="M270" s="7">
        <v>157</v>
      </c>
      <c r="N270" s="7">
        <v>739</v>
      </c>
      <c r="O270" s="7">
        <v>62585.561000000009</v>
      </c>
      <c r="P270" s="7">
        <v>146657.34100000001</v>
      </c>
      <c r="Q270" s="7">
        <v>171239.77600000001</v>
      </c>
      <c r="R270" s="7">
        <v>144131.30300000001</v>
      </c>
      <c r="S270" s="7">
        <v>154145.52100000001</v>
      </c>
      <c r="T270" s="7">
        <v>201829.31700000001</v>
      </c>
      <c r="U270" s="7">
        <v>180085.924</v>
      </c>
      <c r="V270" s="7">
        <v>105753.231</v>
      </c>
      <c r="W270" s="7">
        <v>54450.631000000001</v>
      </c>
      <c r="X270" s="7">
        <v>23990.132000000001</v>
      </c>
      <c r="Y270" s="7">
        <v>1244868.7370000002</v>
      </c>
      <c r="Z270" s="8">
        <v>1.9333532857522837E-3</v>
      </c>
      <c r="AA270" s="8">
        <v>4.0911692241849657E-4</v>
      </c>
      <c r="AB270" s="8">
        <v>3.7958470583376609E-4</v>
      </c>
      <c r="AC270" s="8">
        <v>3.88534612775963E-4</v>
      </c>
      <c r="AD270" s="8">
        <v>2.3354554687320431E-4</v>
      </c>
      <c r="AE270" s="8">
        <v>2.7250748710604811E-4</v>
      </c>
      <c r="AF270" s="8">
        <v>3.4983300527141701E-4</v>
      </c>
      <c r="AG270" s="8">
        <v>6.5246233469689447E-4</v>
      </c>
      <c r="AH270" s="8">
        <v>1.0468198247326095E-3</v>
      </c>
      <c r="AI270" s="8">
        <v>6.5443574883206138E-3</v>
      </c>
      <c r="AJ270" s="8">
        <v>5.9363688558916703E-4</v>
      </c>
    </row>
    <row r="271" spans="1:36" x14ac:dyDescent="0.2">
      <c r="A271" t="s">
        <v>308</v>
      </c>
      <c r="B271">
        <v>2016</v>
      </c>
      <c r="C271" t="s">
        <v>316</v>
      </c>
      <c r="D271" s="7">
        <v>86</v>
      </c>
      <c r="E271" s="7">
        <v>61</v>
      </c>
      <c r="F271" s="7">
        <v>42</v>
      </c>
      <c r="G271" s="7">
        <v>52</v>
      </c>
      <c r="H271" s="7">
        <v>47</v>
      </c>
      <c r="I271" s="7">
        <v>48</v>
      </c>
      <c r="J271" s="7">
        <v>55</v>
      </c>
      <c r="K271" s="7">
        <v>44</v>
      </c>
      <c r="L271" s="7">
        <v>55</v>
      </c>
      <c r="M271" s="7">
        <v>84</v>
      </c>
      <c r="N271" s="7">
        <v>574</v>
      </c>
      <c r="O271" s="7">
        <v>64868.707000000002</v>
      </c>
      <c r="P271" s="7">
        <v>151531.22199999998</v>
      </c>
      <c r="Q271" s="7">
        <v>178849.23400000003</v>
      </c>
      <c r="R271" s="7">
        <v>154721.16699999999</v>
      </c>
      <c r="S271" s="7">
        <v>158882.97700000001</v>
      </c>
      <c r="T271" s="7">
        <v>209898.07700000002</v>
      </c>
      <c r="U271" s="7">
        <v>197882.35100000002</v>
      </c>
      <c r="V271" s="7">
        <v>123489.546</v>
      </c>
      <c r="W271" s="7">
        <v>59862.113000000005</v>
      </c>
      <c r="X271" s="7">
        <v>27162.325000000001</v>
      </c>
      <c r="Y271" s="7">
        <v>1327147.719</v>
      </c>
      <c r="Z271" s="8">
        <v>1.3257548050094477E-3</v>
      </c>
      <c r="AA271" s="8">
        <v>4.0255730267917995E-4</v>
      </c>
      <c r="AB271" s="8">
        <v>2.3483466526896053E-4</v>
      </c>
      <c r="AC271" s="8">
        <v>3.3608846810210527E-4</v>
      </c>
      <c r="AD271" s="8">
        <v>2.958152024052268E-4</v>
      </c>
      <c r="AE271" s="8">
        <v>2.2868241903902718E-4</v>
      </c>
      <c r="AF271" s="8">
        <v>2.7794292781573021E-4</v>
      </c>
      <c r="AG271" s="8">
        <v>3.5630546410786868E-4</v>
      </c>
      <c r="AH271" s="8">
        <v>9.1877812599097523E-4</v>
      </c>
      <c r="AI271" s="8">
        <v>3.0925187737058592E-3</v>
      </c>
      <c r="AJ271" s="8">
        <v>4.3250648875206333E-4</v>
      </c>
    </row>
    <row r="272" spans="1:36" x14ac:dyDescent="0.2">
      <c r="A272" t="s">
        <v>308</v>
      </c>
      <c r="B272">
        <v>2017</v>
      </c>
      <c r="C272" t="s">
        <v>317</v>
      </c>
      <c r="D272" s="7">
        <v>113</v>
      </c>
      <c r="E272" s="7">
        <v>53</v>
      </c>
      <c r="F272" s="7">
        <v>57</v>
      </c>
      <c r="G272" s="7">
        <v>61</v>
      </c>
      <c r="H272" s="7">
        <v>58</v>
      </c>
      <c r="I272" s="7">
        <v>70</v>
      </c>
      <c r="J272" s="7">
        <v>64</v>
      </c>
      <c r="K272" s="7">
        <v>68</v>
      </c>
      <c r="L272" s="7">
        <v>54</v>
      </c>
      <c r="M272" s="7">
        <v>112</v>
      </c>
      <c r="N272" s="7">
        <v>710</v>
      </c>
      <c r="O272" s="7">
        <v>67363</v>
      </c>
      <c r="P272" s="7">
        <v>155987</v>
      </c>
      <c r="Q272" s="7">
        <v>184658</v>
      </c>
      <c r="R272" s="7">
        <v>162018</v>
      </c>
      <c r="S272" s="7">
        <v>161691</v>
      </c>
      <c r="T272" s="7">
        <v>210968</v>
      </c>
      <c r="U272" s="7">
        <v>207397</v>
      </c>
      <c r="V272" s="7">
        <v>133240</v>
      </c>
      <c r="W272" s="7">
        <v>62943</v>
      </c>
      <c r="X272" s="7">
        <v>29117</v>
      </c>
      <c r="Y272" s="7">
        <v>1375382</v>
      </c>
      <c r="Z272" s="8">
        <v>1.6774787346169261E-3</v>
      </c>
      <c r="AA272" s="8">
        <v>3.3977190406892882E-4</v>
      </c>
      <c r="AB272" s="8">
        <v>3.0867874665598026E-4</v>
      </c>
      <c r="AC272" s="8">
        <v>3.7650137639027762E-4</v>
      </c>
      <c r="AD272" s="8">
        <v>3.5870889536214137E-4</v>
      </c>
      <c r="AE272" s="8">
        <v>3.3180387546926548E-4</v>
      </c>
      <c r="AF272" s="8">
        <v>3.0858691302188554E-4</v>
      </c>
      <c r="AG272" s="8">
        <v>5.1035725007505248E-4</v>
      </c>
      <c r="AH272" s="8">
        <v>8.579190696344311E-4</v>
      </c>
      <c r="AI272" s="8">
        <v>3.846550125356321E-3</v>
      </c>
      <c r="AJ272" s="8">
        <v>5.1622022100042029E-4</v>
      </c>
    </row>
    <row r="273" spans="1:36" x14ac:dyDescent="0.2">
      <c r="A273" t="s">
        <v>318</v>
      </c>
      <c r="B273">
        <v>2009</v>
      </c>
      <c r="C273" t="s">
        <v>319</v>
      </c>
      <c r="D273" s="7">
        <v>103</v>
      </c>
      <c r="E273" s="7">
        <v>45</v>
      </c>
      <c r="F273" s="7">
        <v>50</v>
      </c>
      <c r="G273" s="7">
        <v>71</v>
      </c>
      <c r="H273" s="7">
        <v>53</v>
      </c>
      <c r="I273" s="7">
        <v>70</v>
      </c>
      <c r="J273" s="7">
        <v>88</v>
      </c>
      <c r="K273" s="7">
        <v>129</v>
      </c>
      <c r="L273" s="7">
        <v>363</v>
      </c>
      <c r="M273" s="7">
        <v>605</v>
      </c>
      <c r="N273" s="7">
        <v>1577</v>
      </c>
      <c r="O273" s="7">
        <v>561478.07100000011</v>
      </c>
      <c r="P273" s="7">
        <v>1146089.3670000001</v>
      </c>
      <c r="Q273" s="7">
        <v>1100047.173</v>
      </c>
      <c r="R273" s="7">
        <v>1103869.0340000002</v>
      </c>
      <c r="S273" s="7">
        <v>1315711.2049999998</v>
      </c>
      <c r="T273" s="7">
        <v>1329099.5839999998</v>
      </c>
      <c r="U273" s="7">
        <v>953247.45</v>
      </c>
      <c r="V273" s="7">
        <v>577340.72400000016</v>
      </c>
      <c r="W273" s="7">
        <v>402428.85099999997</v>
      </c>
      <c r="X273" s="7">
        <v>161651.43399999998</v>
      </c>
      <c r="Y273" s="7">
        <v>8650962.8930000011</v>
      </c>
      <c r="Z273" s="8">
        <v>1.8344438602304732E-4</v>
      </c>
      <c r="AA273" s="8">
        <v>3.9263953837903457E-5</v>
      </c>
      <c r="AB273" s="8">
        <v>4.5452596240615946E-5</v>
      </c>
      <c r="AC273" s="8">
        <v>6.4319224303922257E-5</v>
      </c>
      <c r="AD273" s="8">
        <v>4.0282396166110027E-5</v>
      </c>
      <c r="AE273" s="8">
        <v>5.2667234902994302E-5</v>
      </c>
      <c r="AF273" s="8">
        <v>9.2316008818067128E-5</v>
      </c>
      <c r="AG273" s="8">
        <v>2.2343824822584308E-4</v>
      </c>
      <c r="AH273" s="8">
        <v>9.0202280253509962E-4</v>
      </c>
      <c r="AI273" s="8">
        <v>3.7426206809894435E-3</v>
      </c>
      <c r="AJ273" s="8">
        <v>1.8229184652682336E-4</v>
      </c>
    </row>
    <row r="274" spans="1:36" x14ac:dyDescent="0.2">
      <c r="A274" t="s">
        <v>318</v>
      </c>
      <c r="B274">
        <v>2010</v>
      </c>
      <c r="C274" t="s">
        <v>320</v>
      </c>
      <c r="D274" s="7">
        <v>121</v>
      </c>
      <c r="E274" s="7">
        <v>49</v>
      </c>
      <c r="F274" s="7">
        <v>77</v>
      </c>
      <c r="G274" s="7">
        <v>52</v>
      </c>
      <c r="H274" s="7">
        <v>40</v>
      </c>
      <c r="I274" s="7">
        <v>43</v>
      </c>
      <c r="J274" s="7">
        <v>71</v>
      </c>
      <c r="K274" s="7">
        <v>114</v>
      </c>
      <c r="L274" s="7">
        <v>286</v>
      </c>
      <c r="M274" s="7">
        <v>546</v>
      </c>
      <c r="N274" s="7">
        <v>1399</v>
      </c>
      <c r="O274" s="7">
        <v>547056.55200000003</v>
      </c>
      <c r="P274" s="7">
        <v>1156223.9809999999</v>
      </c>
      <c r="Q274" s="7">
        <v>1127535.173</v>
      </c>
      <c r="R274" s="7">
        <v>1096904.2930000001</v>
      </c>
      <c r="S274" s="7">
        <v>1294285.4619999998</v>
      </c>
      <c r="T274" s="7">
        <v>1350560.2340000004</v>
      </c>
      <c r="U274" s="7">
        <v>993147.88700000034</v>
      </c>
      <c r="V274" s="7">
        <v>586230.98399999994</v>
      </c>
      <c r="W274" s="7">
        <v>402941.603</v>
      </c>
      <c r="X274" s="7">
        <v>166413.69899999999</v>
      </c>
      <c r="Y274" s="7">
        <v>8721299.8679999989</v>
      </c>
      <c r="Z274" s="8">
        <v>2.2118371411078538E-4</v>
      </c>
      <c r="AA274" s="8">
        <v>4.2379332037051047E-5</v>
      </c>
      <c r="AB274" s="8">
        <v>6.8290552564429852E-5</v>
      </c>
      <c r="AC274" s="8">
        <v>4.7406141385208344E-5</v>
      </c>
      <c r="AD274" s="8">
        <v>3.0905083286796591E-5</v>
      </c>
      <c r="AE274" s="8">
        <v>3.1838639193933198E-5</v>
      </c>
      <c r="AF274" s="8">
        <v>7.1489856575609846E-5</v>
      </c>
      <c r="AG274" s="8">
        <v>1.9446259769852084E-4</v>
      </c>
      <c r="AH274" s="8">
        <v>7.0978027056689899E-4</v>
      </c>
      <c r="AI274" s="8">
        <v>3.280979890964385E-3</v>
      </c>
      <c r="AJ274" s="8">
        <v>1.6041186763147313E-4</v>
      </c>
    </row>
    <row r="275" spans="1:36" x14ac:dyDescent="0.2">
      <c r="A275" t="s">
        <v>318</v>
      </c>
      <c r="B275">
        <v>2011</v>
      </c>
      <c r="C275" t="s">
        <v>321</v>
      </c>
      <c r="D275" s="7">
        <v>117</v>
      </c>
      <c r="E275" s="7">
        <v>64</v>
      </c>
      <c r="F275" s="7">
        <v>34</v>
      </c>
      <c r="G275" s="7">
        <v>55</v>
      </c>
      <c r="H275" s="7">
        <v>51</v>
      </c>
      <c r="I275" s="7">
        <v>70</v>
      </c>
      <c r="J275" s="7">
        <v>77</v>
      </c>
      <c r="K275" s="7">
        <v>137</v>
      </c>
      <c r="L275" s="7">
        <v>292</v>
      </c>
      <c r="M275" s="7">
        <v>603</v>
      </c>
      <c r="N275" s="7">
        <v>1500</v>
      </c>
      <c r="O275" s="7">
        <v>543388.18300000008</v>
      </c>
      <c r="P275" s="7">
        <v>1150384.0800000003</v>
      </c>
      <c r="Q275" s="7">
        <v>1131399.8459999999</v>
      </c>
      <c r="R275" s="7">
        <v>1103400.0019999999</v>
      </c>
      <c r="S275" s="7">
        <v>1265709.344</v>
      </c>
      <c r="T275" s="7">
        <v>1361404.7469999997</v>
      </c>
      <c r="U275" s="7">
        <v>1021105.956</v>
      </c>
      <c r="V275" s="7">
        <v>600153.15600000008</v>
      </c>
      <c r="W275" s="7">
        <v>400734.31099999999</v>
      </c>
      <c r="X275" s="7">
        <v>172153.21099999998</v>
      </c>
      <c r="Y275" s="7">
        <v>8749832.8359999992</v>
      </c>
      <c r="Z275" s="8">
        <v>2.1531568712822007E-4</v>
      </c>
      <c r="AA275" s="8">
        <v>5.5633593260435231E-5</v>
      </c>
      <c r="AB275" s="8">
        <v>3.0051268011220856E-5</v>
      </c>
      <c r="AC275" s="8">
        <v>4.9845930669121028E-5</v>
      </c>
      <c r="AD275" s="8">
        <v>4.0293611042504872E-5</v>
      </c>
      <c r="AE275" s="8">
        <v>5.1417479007806055E-5</v>
      </c>
      <c r="AF275" s="8">
        <v>7.5408432932497747E-5</v>
      </c>
      <c r="AG275" s="8">
        <v>2.2827506384053738E-4</v>
      </c>
      <c r="AH275" s="8">
        <v>7.286623380746652E-4</v>
      </c>
      <c r="AI275" s="8">
        <v>3.502693888178479E-3</v>
      </c>
      <c r="AJ275" s="8">
        <v>1.714318465409366E-4</v>
      </c>
    </row>
    <row r="276" spans="1:36" x14ac:dyDescent="0.2">
      <c r="A276" t="s">
        <v>318</v>
      </c>
      <c r="B276">
        <v>2012</v>
      </c>
      <c r="C276" t="s">
        <v>322</v>
      </c>
      <c r="D276" s="7">
        <v>95</v>
      </c>
      <c r="E276" s="7">
        <v>49</v>
      </c>
      <c r="F276" s="7">
        <v>44</v>
      </c>
      <c r="G276" s="7">
        <v>53</v>
      </c>
      <c r="H276" s="7">
        <v>46</v>
      </c>
      <c r="I276" s="7">
        <v>49</v>
      </c>
      <c r="J276" s="7">
        <v>69</v>
      </c>
      <c r="K276" s="7">
        <v>114</v>
      </c>
      <c r="L276" s="7">
        <v>283</v>
      </c>
      <c r="M276" s="7">
        <v>571</v>
      </c>
      <c r="N276" s="7">
        <v>1373</v>
      </c>
      <c r="O276" s="7">
        <v>538329.97499999998</v>
      </c>
      <c r="P276" s="7">
        <v>1149042.6030000001</v>
      </c>
      <c r="Q276" s="7">
        <v>1137600.6180000002</v>
      </c>
      <c r="R276" s="7">
        <v>1113213.6040000003</v>
      </c>
      <c r="S276" s="7">
        <v>1242357.8949999998</v>
      </c>
      <c r="T276" s="7">
        <v>1366570.034</v>
      </c>
      <c r="U276" s="7">
        <v>1050462.6259999999</v>
      </c>
      <c r="V276" s="7">
        <v>622646.61100000003</v>
      </c>
      <c r="W276" s="7">
        <v>397869.21799999994</v>
      </c>
      <c r="X276" s="7">
        <v>177893.38400000002</v>
      </c>
      <c r="Y276" s="7">
        <v>8795986.568</v>
      </c>
      <c r="Z276" s="8">
        <v>1.764716891345313E-4</v>
      </c>
      <c r="AA276" s="8">
        <v>4.2644197762613326E-5</v>
      </c>
      <c r="AB276" s="8">
        <v>3.8677897413026888E-5</v>
      </c>
      <c r="AC276" s="8">
        <v>4.7609910451651276E-5</v>
      </c>
      <c r="AD276" s="8">
        <v>3.7026367510627854E-5</v>
      </c>
      <c r="AE276" s="8">
        <v>3.5856193814359612E-5</v>
      </c>
      <c r="AF276" s="8">
        <v>6.5685345001507945E-5</v>
      </c>
      <c r="AG276" s="8">
        <v>1.8308940896170716E-4</v>
      </c>
      <c r="AH276" s="8">
        <v>7.1128900451906799E-4</v>
      </c>
      <c r="AI276" s="8">
        <v>3.2097877231904246E-3</v>
      </c>
      <c r="AJ276" s="8">
        <v>1.5609391730940169E-4</v>
      </c>
    </row>
    <row r="277" spans="1:36" x14ac:dyDescent="0.2">
      <c r="A277" t="s">
        <v>318</v>
      </c>
      <c r="B277">
        <v>2013</v>
      </c>
      <c r="C277" t="s">
        <v>323</v>
      </c>
      <c r="D277" s="7">
        <v>76</v>
      </c>
      <c r="E277" s="7">
        <v>58</v>
      </c>
      <c r="F277" s="7">
        <v>50</v>
      </c>
      <c r="G277" s="7">
        <v>62</v>
      </c>
      <c r="H277" s="7">
        <v>81</v>
      </c>
      <c r="I277" s="7">
        <v>67</v>
      </c>
      <c r="J277" s="7">
        <v>90</v>
      </c>
      <c r="K277" s="7">
        <v>136</v>
      </c>
      <c r="L277" s="7">
        <v>334</v>
      </c>
      <c r="M277" s="7">
        <v>690</v>
      </c>
      <c r="N277" s="7">
        <v>1644</v>
      </c>
      <c r="O277" s="7">
        <v>538319.11199999996</v>
      </c>
      <c r="P277" s="7">
        <v>1142388.9810000001</v>
      </c>
      <c r="Q277" s="7">
        <v>1143321.8849999998</v>
      </c>
      <c r="R277" s="7">
        <v>1122071.4100000001</v>
      </c>
      <c r="S277" s="7">
        <v>1216612.6679999998</v>
      </c>
      <c r="T277" s="7">
        <v>1369036.4140000001</v>
      </c>
      <c r="U277" s="7">
        <v>1078717.834</v>
      </c>
      <c r="V277" s="7">
        <v>643651.13800000015</v>
      </c>
      <c r="W277" s="7">
        <v>393734.27300000016</v>
      </c>
      <c r="X277" s="7">
        <v>184432.49400000004</v>
      </c>
      <c r="Y277" s="7">
        <v>8832286.2090000007</v>
      </c>
      <c r="Z277" s="8">
        <v>1.4118020019322666E-4</v>
      </c>
      <c r="AA277" s="8">
        <v>5.0770797832126492E-5</v>
      </c>
      <c r="AB277" s="8">
        <v>4.3732216321565479E-5</v>
      </c>
      <c r="AC277" s="8">
        <v>5.5254950306594114E-5</v>
      </c>
      <c r="AD277" s="8">
        <v>6.6578297374756586E-5</v>
      </c>
      <c r="AE277" s="8">
        <v>4.8939530983140086E-5</v>
      </c>
      <c r="AF277" s="8">
        <v>8.3432383486486419E-5</v>
      </c>
      <c r="AG277" s="8">
        <v>2.1129458486252218E-4</v>
      </c>
      <c r="AH277" s="8">
        <v>8.4828785021719426E-4</v>
      </c>
      <c r="AI277" s="8">
        <v>3.7412062540346054E-3</v>
      </c>
      <c r="AJ277" s="8">
        <v>1.8613527246487806E-4</v>
      </c>
    </row>
    <row r="278" spans="1:36" x14ac:dyDescent="0.2">
      <c r="A278" t="s">
        <v>318</v>
      </c>
      <c r="B278">
        <v>2014</v>
      </c>
      <c r="C278" t="s">
        <v>324</v>
      </c>
      <c r="D278" s="7">
        <v>113</v>
      </c>
      <c r="E278" s="7">
        <v>46</v>
      </c>
      <c r="F278" s="7">
        <v>37</v>
      </c>
      <c r="G278" s="7">
        <v>62</v>
      </c>
      <c r="H278" s="7">
        <v>47</v>
      </c>
      <c r="I278" s="7">
        <v>50</v>
      </c>
      <c r="J278" s="7">
        <v>73</v>
      </c>
      <c r="K278" s="7">
        <v>137</v>
      </c>
      <c r="L278" s="7">
        <v>274</v>
      </c>
      <c r="M278" s="7">
        <v>633</v>
      </c>
      <c r="N278" s="7">
        <v>1472</v>
      </c>
      <c r="O278" s="7">
        <v>536678.34100000001</v>
      </c>
      <c r="P278" s="7">
        <v>1139360.4140000003</v>
      </c>
      <c r="Q278" s="7">
        <v>1148660.9940000002</v>
      </c>
      <c r="R278" s="7">
        <v>1132698.93</v>
      </c>
      <c r="S278" s="7">
        <v>1201296.1939999999</v>
      </c>
      <c r="T278" s="7">
        <v>1364410.5430000001</v>
      </c>
      <c r="U278" s="7">
        <v>1107086.1979999996</v>
      </c>
      <c r="V278" s="7">
        <v>669593.62399999995</v>
      </c>
      <c r="W278" s="7">
        <v>389664.587</v>
      </c>
      <c r="X278" s="7">
        <v>188698.62600000005</v>
      </c>
      <c r="Y278" s="7">
        <v>8878148.4510000013</v>
      </c>
      <c r="Z278" s="8">
        <v>2.1055442593313076E-4</v>
      </c>
      <c r="AA278" s="8">
        <v>4.0373528371506142E-5</v>
      </c>
      <c r="AB278" s="8">
        <v>3.221141850665123E-5</v>
      </c>
      <c r="AC278" s="8">
        <v>5.4736522087118071E-5</v>
      </c>
      <c r="AD278" s="8">
        <v>3.912440598309263E-5</v>
      </c>
      <c r="AE278" s="8">
        <v>3.6645861655438703E-5</v>
      </c>
      <c r="AF278" s="8">
        <v>6.5938858357983098E-5</v>
      </c>
      <c r="AG278" s="8">
        <v>2.0460170928987223E-4</v>
      </c>
      <c r="AH278" s="8">
        <v>7.0316885121510925E-4</v>
      </c>
      <c r="AI278" s="8">
        <v>3.3545554274465139E-3</v>
      </c>
      <c r="AJ278" s="8">
        <v>1.6580033642422362E-4</v>
      </c>
    </row>
    <row r="279" spans="1:36" x14ac:dyDescent="0.2">
      <c r="A279" t="s">
        <v>318</v>
      </c>
      <c r="B279">
        <v>2015</v>
      </c>
      <c r="C279" t="s">
        <v>325</v>
      </c>
      <c r="D279" s="7">
        <v>117</v>
      </c>
      <c r="E279" s="7">
        <v>60</v>
      </c>
      <c r="F279" s="7">
        <v>33</v>
      </c>
      <c r="G279" s="7">
        <v>46</v>
      </c>
      <c r="H279" s="7">
        <v>65</v>
      </c>
      <c r="I279" s="7">
        <v>53</v>
      </c>
      <c r="J279" s="7">
        <v>84</v>
      </c>
      <c r="K279" s="7">
        <v>144</v>
      </c>
      <c r="L279" s="7">
        <v>331</v>
      </c>
      <c r="M279" s="7">
        <v>754</v>
      </c>
      <c r="N279" s="7">
        <v>1687</v>
      </c>
      <c r="O279" s="7">
        <v>532953.62</v>
      </c>
      <c r="P279" s="7">
        <v>1130431.9390000002</v>
      </c>
      <c r="Q279" s="7">
        <v>1147502.5780000002</v>
      </c>
      <c r="R279" s="7">
        <v>1140738.6950000003</v>
      </c>
      <c r="S279" s="7">
        <v>1188731.6530000002</v>
      </c>
      <c r="T279" s="7">
        <v>1352773.8669999996</v>
      </c>
      <c r="U279" s="7">
        <v>1131040.22</v>
      </c>
      <c r="V279" s="7">
        <v>699335.39600000007</v>
      </c>
      <c r="W279" s="7">
        <v>388815.15600000002</v>
      </c>
      <c r="X279" s="7">
        <v>191618.64100000003</v>
      </c>
      <c r="Y279" s="7">
        <v>8903941.7650000006</v>
      </c>
      <c r="Z279" s="8">
        <v>2.1953129805178919E-4</v>
      </c>
      <c r="AA279" s="8">
        <v>5.3077056592258922E-5</v>
      </c>
      <c r="AB279" s="8">
        <v>2.8758105326016963E-5</v>
      </c>
      <c r="AC279" s="8">
        <v>4.0324747640825831E-5</v>
      </c>
      <c r="AD279" s="8">
        <v>5.4680128888601226E-5</v>
      </c>
      <c r="AE279" s="8">
        <v>3.9178758026673213E-5</v>
      </c>
      <c r="AF279" s="8">
        <v>7.4267915954394619E-5</v>
      </c>
      <c r="AG279" s="8">
        <v>2.0590978352252599E-4</v>
      </c>
      <c r="AH279" s="8">
        <v>8.5130426345828968E-4</v>
      </c>
      <c r="AI279" s="8">
        <v>3.9348990059897143E-3</v>
      </c>
      <c r="AJ279" s="8">
        <v>1.8946664797734106E-4</v>
      </c>
    </row>
    <row r="280" spans="1:36" x14ac:dyDescent="0.2">
      <c r="A280" t="s">
        <v>318</v>
      </c>
      <c r="B280">
        <v>2016</v>
      </c>
      <c r="C280" t="s">
        <v>326</v>
      </c>
      <c r="D280" s="7">
        <v>124</v>
      </c>
      <c r="E280" s="7">
        <v>56</v>
      </c>
      <c r="F280" s="7">
        <v>50</v>
      </c>
      <c r="G280" s="7">
        <v>52</v>
      </c>
      <c r="H280" s="7">
        <v>64</v>
      </c>
      <c r="I280" s="7">
        <v>54</v>
      </c>
      <c r="J280" s="7">
        <v>97</v>
      </c>
      <c r="K280" s="7">
        <v>167</v>
      </c>
      <c r="L280" s="7">
        <v>281</v>
      </c>
      <c r="M280" s="7">
        <v>581</v>
      </c>
      <c r="N280" s="7">
        <v>1526</v>
      </c>
      <c r="O280" s="7">
        <v>524747.13300000003</v>
      </c>
      <c r="P280" s="7">
        <v>1116586.865</v>
      </c>
      <c r="Q280" s="7">
        <v>1142048.6300000001</v>
      </c>
      <c r="R280" s="7">
        <v>1140935.7439999999</v>
      </c>
      <c r="S280" s="7">
        <v>1161364.8970000003</v>
      </c>
      <c r="T280" s="7">
        <v>1322254.4309999996</v>
      </c>
      <c r="U280" s="7">
        <v>1142373.9539999999</v>
      </c>
      <c r="V280" s="7">
        <v>720345.48700000008</v>
      </c>
      <c r="W280" s="7">
        <v>387963.21000000008</v>
      </c>
      <c r="X280" s="7">
        <v>193387.77899999995</v>
      </c>
      <c r="Y280" s="7">
        <v>8852008.1300000008</v>
      </c>
      <c r="Z280" s="8">
        <v>2.363042924905318E-4</v>
      </c>
      <c r="AA280" s="8">
        <v>5.0152837862730907E-5</v>
      </c>
      <c r="AB280" s="8">
        <v>4.3780972794477233E-5</v>
      </c>
      <c r="AC280" s="8">
        <v>4.5576624514973561E-5</v>
      </c>
      <c r="AD280" s="8">
        <v>5.5107572275796087E-5</v>
      </c>
      <c r="AE280" s="8">
        <v>4.0839341305258984E-5</v>
      </c>
      <c r="AF280" s="8">
        <v>8.4910899500427524E-5</v>
      </c>
      <c r="AG280" s="8">
        <v>2.3183320089294871E-4</v>
      </c>
      <c r="AH280" s="8">
        <v>7.2429548152259059E-4</v>
      </c>
      <c r="AI280" s="8">
        <v>3.0043263488744041E-3</v>
      </c>
      <c r="AJ280" s="8">
        <v>1.7239026191450185E-4</v>
      </c>
    </row>
    <row r="281" spans="1:36" x14ac:dyDescent="0.2">
      <c r="A281" t="s">
        <v>318</v>
      </c>
      <c r="B281">
        <v>2017</v>
      </c>
      <c r="C281" t="s">
        <v>327</v>
      </c>
      <c r="D281" s="7">
        <v>127</v>
      </c>
      <c r="E281" s="7">
        <v>65</v>
      </c>
      <c r="F281" s="7">
        <v>60</v>
      </c>
      <c r="G281" s="7">
        <v>44</v>
      </c>
      <c r="H281" s="7">
        <v>57</v>
      </c>
      <c r="I281" s="7">
        <v>72</v>
      </c>
      <c r="J281" s="7">
        <v>101</v>
      </c>
      <c r="K281" s="7">
        <v>150</v>
      </c>
      <c r="L281" s="7">
        <v>343</v>
      </c>
      <c r="M281" s="7">
        <v>650</v>
      </c>
      <c r="N281" s="7">
        <v>1669</v>
      </c>
      <c r="O281" s="7">
        <v>540954</v>
      </c>
      <c r="P281" s="7">
        <v>1144564</v>
      </c>
      <c r="Q281" s="7">
        <v>1174553</v>
      </c>
      <c r="R281" s="7">
        <v>1176857</v>
      </c>
      <c r="S281" s="7">
        <v>1184412</v>
      </c>
      <c r="T281" s="7">
        <v>1334784</v>
      </c>
      <c r="U281" s="7">
        <v>1190989</v>
      </c>
      <c r="V281" s="7">
        <v>763913</v>
      </c>
      <c r="W281" s="7">
        <v>404170</v>
      </c>
      <c r="X281" s="7">
        <v>200709</v>
      </c>
      <c r="Y281" s="7">
        <v>9115905</v>
      </c>
      <c r="Z281" s="8">
        <v>2.3477042410260392E-4</v>
      </c>
      <c r="AA281" s="8">
        <v>5.6790183860404484E-5</v>
      </c>
      <c r="AB281" s="8">
        <v>5.1083263164795455E-5</v>
      </c>
      <c r="AC281" s="8">
        <v>3.7387720003364892E-5</v>
      </c>
      <c r="AD281" s="8">
        <v>4.8125145641888128E-5</v>
      </c>
      <c r="AE281" s="8">
        <v>5.3941311852704254E-5</v>
      </c>
      <c r="AF281" s="8">
        <v>8.480347005723815E-5</v>
      </c>
      <c r="AG281" s="8">
        <v>1.9635743860884681E-4</v>
      </c>
      <c r="AH281" s="8">
        <v>8.4865279461612689E-4</v>
      </c>
      <c r="AI281" s="8">
        <v>3.238519448554873E-3</v>
      </c>
      <c r="AJ281" s="8">
        <v>1.8308659425476682E-4</v>
      </c>
    </row>
    <row r="282" spans="1:36" x14ac:dyDescent="0.2">
      <c r="A282" t="s">
        <v>328</v>
      </c>
      <c r="B282">
        <v>2009</v>
      </c>
      <c r="C282" t="s">
        <v>329</v>
      </c>
      <c r="D282" s="7">
        <v>119</v>
      </c>
      <c r="E282" s="7">
        <v>40</v>
      </c>
      <c r="F282" s="7">
        <v>48</v>
      </c>
      <c r="G282" s="7">
        <v>73</v>
      </c>
      <c r="H282" s="7">
        <v>47</v>
      </c>
      <c r="I282" s="7">
        <v>63</v>
      </c>
      <c r="J282" s="7">
        <v>68</v>
      </c>
      <c r="K282" s="7">
        <v>56</v>
      </c>
      <c r="L282" s="7">
        <v>53</v>
      </c>
      <c r="M282" s="7">
        <v>128</v>
      </c>
      <c r="N282" s="7">
        <v>695</v>
      </c>
      <c r="O282" s="7">
        <v>145687.71499999994</v>
      </c>
      <c r="P282" s="7">
        <v>271598.29399999999</v>
      </c>
      <c r="Q282" s="7">
        <v>289012.26299999998</v>
      </c>
      <c r="R282" s="7">
        <v>263018.15699999995</v>
      </c>
      <c r="S282" s="7">
        <v>254305.32799999998</v>
      </c>
      <c r="T282" s="7">
        <v>275628.86100000009</v>
      </c>
      <c r="U282" s="7">
        <v>218002.09599999999</v>
      </c>
      <c r="V282" s="7">
        <v>132610.07300000003</v>
      </c>
      <c r="W282" s="7">
        <v>84982.487000000023</v>
      </c>
      <c r="X282" s="7">
        <v>31077.452000000001</v>
      </c>
      <c r="Y282" s="7">
        <v>1965922.7259999998</v>
      </c>
      <c r="Z282" s="8">
        <v>8.1681561139180505E-4</v>
      </c>
      <c r="AA282" s="8">
        <v>1.4727633009359035E-4</v>
      </c>
      <c r="AB282" s="8">
        <v>1.6608291808019234E-4</v>
      </c>
      <c r="AC282" s="8">
        <v>2.7754737860169866E-4</v>
      </c>
      <c r="AD282" s="8">
        <v>1.8481720524549924E-4</v>
      </c>
      <c r="AE282" s="8">
        <v>2.2856822675039091E-4</v>
      </c>
      <c r="AF282" s="8">
        <v>3.1192360645927004E-4</v>
      </c>
      <c r="AG282" s="8">
        <v>4.2229069582067107E-4</v>
      </c>
      <c r="AH282" s="8">
        <v>6.2365790730506616E-4</v>
      </c>
      <c r="AI282" s="8">
        <v>4.1187417810185983E-3</v>
      </c>
      <c r="AJ282" s="8">
        <v>3.5352355960302381E-4</v>
      </c>
    </row>
    <row r="283" spans="1:36" x14ac:dyDescent="0.2">
      <c r="A283" t="s">
        <v>328</v>
      </c>
      <c r="B283">
        <v>2010</v>
      </c>
      <c r="C283" t="s">
        <v>330</v>
      </c>
      <c r="D283" s="7">
        <v>108</v>
      </c>
      <c r="E283" s="7">
        <v>64</v>
      </c>
      <c r="F283" s="7">
        <v>77</v>
      </c>
      <c r="G283" s="7">
        <v>31</v>
      </c>
      <c r="H283" s="7">
        <v>73</v>
      </c>
      <c r="I283" s="7">
        <v>52</v>
      </c>
      <c r="J283" s="7">
        <v>54</v>
      </c>
      <c r="K283" s="7">
        <v>60</v>
      </c>
      <c r="L283" s="7">
        <v>74</v>
      </c>
      <c r="M283" s="7">
        <v>119</v>
      </c>
      <c r="N283" s="7">
        <v>712</v>
      </c>
      <c r="O283" s="7">
        <v>150001.49099999998</v>
      </c>
      <c r="P283" s="7">
        <v>292463.37</v>
      </c>
      <c r="Q283" s="7">
        <v>310063.80499999999</v>
      </c>
      <c r="R283" s="7">
        <v>269445.39500000002</v>
      </c>
      <c r="S283" s="7">
        <v>267406.30500000005</v>
      </c>
      <c r="T283" s="7">
        <v>301118.09699999995</v>
      </c>
      <c r="U283" s="7">
        <v>248443.29799999995</v>
      </c>
      <c r="V283" s="7">
        <v>149410.55100000006</v>
      </c>
      <c r="W283" s="7">
        <v>86890.615999999995</v>
      </c>
      <c r="X283" s="7">
        <v>31526.686000000002</v>
      </c>
      <c r="Y283" s="7">
        <v>2106769.6140000001</v>
      </c>
      <c r="Z283" s="8">
        <v>7.1999284327113795E-4</v>
      </c>
      <c r="AA283" s="8">
        <v>2.18830823155734E-4</v>
      </c>
      <c r="AB283" s="8">
        <v>2.4833598362117759E-4</v>
      </c>
      <c r="AC283" s="8">
        <v>1.1505114051030636E-4</v>
      </c>
      <c r="AD283" s="8">
        <v>2.7299281518436891E-4</v>
      </c>
      <c r="AE283" s="8">
        <v>1.726897204720313E-4</v>
      </c>
      <c r="AF283" s="8">
        <v>2.173534180020425E-4</v>
      </c>
      <c r="AG283" s="8">
        <v>4.0157806525992917E-4</v>
      </c>
      <c r="AH283" s="8">
        <v>8.5164547573238528E-4</v>
      </c>
      <c r="AI283" s="8">
        <v>3.7745800494222576E-3</v>
      </c>
      <c r="AJ283" s="8">
        <v>3.3795816840559385E-4</v>
      </c>
    </row>
    <row r="284" spans="1:36" x14ac:dyDescent="0.2">
      <c r="A284" t="s">
        <v>328</v>
      </c>
      <c r="B284">
        <v>2011</v>
      </c>
      <c r="C284" t="s">
        <v>331</v>
      </c>
      <c r="D284" s="7">
        <v>133</v>
      </c>
      <c r="E284" s="7">
        <v>72</v>
      </c>
      <c r="F284" s="7">
        <v>52</v>
      </c>
      <c r="G284" s="7">
        <v>47</v>
      </c>
      <c r="H284" s="7">
        <v>51</v>
      </c>
      <c r="I284" s="7">
        <v>59</v>
      </c>
      <c r="J284" s="7">
        <v>57</v>
      </c>
      <c r="K284" s="7">
        <v>62</v>
      </c>
      <c r="L284" s="7">
        <v>71</v>
      </c>
      <c r="M284" s="7">
        <v>144</v>
      </c>
      <c r="N284" s="7">
        <v>748</v>
      </c>
      <c r="O284" s="7">
        <v>145428.52100000001</v>
      </c>
      <c r="P284" s="7">
        <v>284002.15899999999</v>
      </c>
      <c r="Q284" s="7">
        <v>296388.12800000003</v>
      </c>
      <c r="R284" s="7">
        <v>262657.18099999998</v>
      </c>
      <c r="S284" s="7">
        <v>252639.36500000005</v>
      </c>
      <c r="T284" s="7">
        <v>291065.71100000001</v>
      </c>
      <c r="U284" s="7">
        <v>250285.33</v>
      </c>
      <c r="V284" s="7">
        <v>150233.12599999999</v>
      </c>
      <c r="W284" s="7">
        <v>84756.046999999991</v>
      </c>
      <c r="X284" s="7">
        <v>31528.97</v>
      </c>
      <c r="Y284" s="7">
        <v>2048984.5379999999</v>
      </c>
      <c r="Z284" s="8">
        <v>9.1453862753647884E-4</v>
      </c>
      <c r="AA284" s="8">
        <v>2.5351919947904343E-4</v>
      </c>
      <c r="AB284" s="8">
        <v>1.7544562378692845E-4</v>
      </c>
      <c r="AC284" s="8">
        <v>1.7894047221956593E-4</v>
      </c>
      <c r="AD284" s="8">
        <v>2.0186877844630423E-4</v>
      </c>
      <c r="AE284" s="8">
        <v>2.0270336824388085E-4</v>
      </c>
      <c r="AF284" s="8">
        <v>2.2774007569680574E-4</v>
      </c>
      <c r="AG284" s="8">
        <v>4.1269193852759215E-4</v>
      </c>
      <c r="AH284" s="8">
        <v>8.3769834145285243E-4</v>
      </c>
      <c r="AI284" s="8">
        <v>4.5672281714245659E-3</v>
      </c>
      <c r="AJ284" s="8">
        <v>3.6505887971712941E-4</v>
      </c>
    </row>
    <row r="285" spans="1:36" x14ac:dyDescent="0.2">
      <c r="A285" t="s">
        <v>328</v>
      </c>
      <c r="B285">
        <v>2012</v>
      </c>
      <c r="C285" t="s">
        <v>332</v>
      </c>
      <c r="D285" s="7">
        <v>100</v>
      </c>
      <c r="E285" s="7">
        <v>71</v>
      </c>
      <c r="F285" s="7">
        <v>60</v>
      </c>
      <c r="G285" s="7">
        <v>54</v>
      </c>
      <c r="H285" s="7">
        <v>54</v>
      </c>
      <c r="I285" s="7">
        <v>44</v>
      </c>
      <c r="J285" s="7">
        <v>37</v>
      </c>
      <c r="K285" s="7">
        <v>67</v>
      </c>
      <c r="L285" s="7">
        <v>38</v>
      </c>
      <c r="M285" s="7">
        <v>112</v>
      </c>
      <c r="N285" s="7">
        <v>637</v>
      </c>
      <c r="O285" s="7">
        <v>141338.978</v>
      </c>
      <c r="P285" s="7">
        <v>279260.89700000006</v>
      </c>
      <c r="Q285" s="7">
        <v>288433.09999999998</v>
      </c>
      <c r="R285" s="7">
        <v>264130.989</v>
      </c>
      <c r="S285" s="7">
        <v>245823.14399999997</v>
      </c>
      <c r="T285" s="7">
        <v>281549.95399999997</v>
      </c>
      <c r="U285" s="7">
        <v>250341.323</v>
      </c>
      <c r="V285" s="7">
        <v>150571.73999999996</v>
      </c>
      <c r="W285" s="7">
        <v>83802.454999999987</v>
      </c>
      <c r="X285" s="7">
        <v>32115.852999999992</v>
      </c>
      <c r="Y285" s="7">
        <v>2017368.433</v>
      </c>
      <c r="Z285" s="8">
        <v>7.0751891244041681E-4</v>
      </c>
      <c r="AA285" s="8">
        <v>2.5424254080226631E-4</v>
      </c>
      <c r="AB285" s="8">
        <v>2.0802050804848683E-4</v>
      </c>
      <c r="AC285" s="8">
        <v>2.0444401546537198E-4</v>
      </c>
      <c r="AD285" s="8">
        <v>2.1967012186614946E-4</v>
      </c>
      <c r="AE285" s="8">
        <v>1.5627777371258247E-4</v>
      </c>
      <c r="AF285" s="8">
        <v>1.477982122831555E-4</v>
      </c>
      <c r="AG285" s="8">
        <v>4.4497061666418954E-4</v>
      </c>
      <c r="AH285" s="8">
        <v>4.534473363578669E-4</v>
      </c>
      <c r="AI285" s="8">
        <v>3.4873742883304399E-3</v>
      </c>
      <c r="AJ285" s="8">
        <v>3.1575789012060944E-4</v>
      </c>
    </row>
    <row r="286" spans="1:36" x14ac:dyDescent="0.2">
      <c r="A286" t="s">
        <v>328</v>
      </c>
      <c r="B286">
        <v>2013</v>
      </c>
      <c r="C286" t="s">
        <v>333</v>
      </c>
      <c r="D286" s="7">
        <v>101</v>
      </c>
      <c r="E286" s="7">
        <v>50</v>
      </c>
      <c r="F286" s="7">
        <v>60</v>
      </c>
      <c r="G286" s="7">
        <v>60</v>
      </c>
      <c r="H286" s="7">
        <v>62</v>
      </c>
      <c r="I286" s="7">
        <v>68</v>
      </c>
      <c r="J286" s="7">
        <v>54</v>
      </c>
      <c r="K286" s="7">
        <v>51</v>
      </c>
      <c r="L286" s="7">
        <v>75</v>
      </c>
      <c r="M286" s="7">
        <v>140</v>
      </c>
      <c r="N286" s="7">
        <v>721</v>
      </c>
      <c r="O286" s="7">
        <v>141825.41899999999</v>
      </c>
      <c r="P286" s="7">
        <v>285036.39299999998</v>
      </c>
      <c r="Q286" s="7">
        <v>293234.66500000004</v>
      </c>
      <c r="R286" s="7">
        <v>271578.71100000007</v>
      </c>
      <c r="S286" s="7">
        <v>249241.18899999995</v>
      </c>
      <c r="T286" s="7">
        <v>282766.58199999994</v>
      </c>
      <c r="U286" s="7">
        <v>260762.19800000006</v>
      </c>
      <c r="V286" s="7">
        <v>161558.23200000005</v>
      </c>
      <c r="W286" s="7">
        <v>88173.687999999995</v>
      </c>
      <c r="X286" s="7">
        <v>33530.392999999996</v>
      </c>
      <c r="Y286" s="7">
        <v>2067707.4700000002</v>
      </c>
      <c r="Z286" s="8">
        <v>7.1214314551046732E-4</v>
      </c>
      <c r="AA286" s="8">
        <v>1.7541619676614419E-4</v>
      </c>
      <c r="AB286" s="8">
        <v>2.0461428051148043E-4</v>
      </c>
      <c r="AC286" s="8">
        <v>2.2093042484467784E-4</v>
      </c>
      <c r="AD286" s="8">
        <v>2.4875503221901259E-4</v>
      </c>
      <c r="AE286" s="8">
        <v>2.4048103392924986E-4</v>
      </c>
      <c r="AF286" s="8">
        <v>2.0708523096587791E-4</v>
      </c>
      <c r="AG286" s="8">
        <v>3.1567565062237115E-4</v>
      </c>
      <c r="AH286" s="8">
        <v>8.5059388692009799E-4</v>
      </c>
      <c r="AI286" s="8">
        <v>4.1753164062228567E-3</v>
      </c>
      <c r="AJ286" s="8">
        <v>3.4869535969708515E-4</v>
      </c>
    </row>
    <row r="287" spans="1:36" x14ac:dyDescent="0.2">
      <c r="A287" t="s">
        <v>328</v>
      </c>
      <c r="B287">
        <v>2014</v>
      </c>
      <c r="C287" t="s">
        <v>334</v>
      </c>
      <c r="D287" s="7">
        <v>115</v>
      </c>
      <c r="E287" s="7">
        <v>56</v>
      </c>
      <c r="F287" s="7">
        <v>63</v>
      </c>
      <c r="G287" s="7">
        <v>59</v>
      </c>
      <c r="H287" s="7">
        <v>53</v>
      </c>
      <c r="I287" s="7">
        <v>41</v>
      </c>
      <c r="J287" s="7">
        <v>66</v>
      </c>
      <c r="K287" s="7">
        <v>60</v>
      </c>
      <c r="L287" s="7">
        <v>63</v>
      </c>
      <c r="M287" s="7">
        <v>114</v>
      </c>
      <c r="N287" s="7">
        <v>690</v>
      </c>
      <c r="O287" s="7">
        <v>135156.05300000001</v>
      </c>
      <c r="P287" s="7">
        <v>277341.34200000006</v>
      </c>
      <c r="Q287" s="7">
        <v>285033.98399999994</v>
      </c>
      <c r="R287" s="7">
        <v>264852.35099999997</v>
      </c>
      <c r="S287" s="7">
        <v>239268.01699999999</v>
      </c>
      <c r="T287" s="7">
        <v>268354.17899999989</v>
      </c>
      <c r="U287" s="7">
        <v>256777.95099999994</v>
      </c>
      <c r="V287" s="7">
        <v>163638.78600000002</v>
      </c>
      <c r="W287" s="7">
        <v>87909.217000000004</v>
      </c>
      <c r="X287" s="7">
        <v>32156.393999999997</v>
      </c>
      <c r="Y287" s="7">
        <v>2010488.274</v>
      </c>
      <c r="Z287" s="8">
        <v>8.5086829222513608E-4</v>
      </c>
      <c r="AA287" s="8">
        <v>2.0191724607721841E-4</v>
      </c>
      <c r="AB287" s="8">
        <v>2.210262759404858E-4</v>
      </c>
      <c r="AC287" s="8">
        <v>2.2276562687563234E-4</v>
      </c>
      <c r="AD287" s="8">
        <v>2.2150891984865659E-4</v>
      </c>
      <c r="AE287" s="8">
        <v>1.5278316198683091E-4</v>
      </c>
      <c r="AF287" s="8">
        <v>2.5703141466379257E-4</v>
      </c>
      <c r="AG287" s="8">
        <v>3.666612388581274E-4</v>
      </c>
      <c r="AH287" s="8">
        <v>7.1664840331816398E-4</v>
      </c>
      <c r="AI287" s="8">
        <v>3.5451736286102233E-3</v>
      </c>
      <c r="AJ287" s="8">
        <v>3.4320021107469537E-4</v>
      </c>
    </row>
    <row r="288" spans="1:36" x14ac:dyDescent="0.2">
      <c r="A288" t="s">
        <v>328</v>
      </c>
      <c r="B288">
        <v>2015</v>
      </c>
      <c r="C288" t="s">
        <v>335</v>
      </c>
      <c r="D288" s="7">
        <v>128</v>
      </c>
      <c r="E288" s="7">
        <v>55</v>
      </c>
      <c r="F288" s="7">
        <v>54</v>
      </c>
      <c r="G288" s="7">
        <v>49</v>
      </c>
      <c r="H288" s="7">
        <v>60</v>
      </c>
      <c r="I288" s="7">
        <v>36</v>
      </c>
      <c r="J288" s="7">
        <v>72</v>
      </c>
      <c r="K288" s="7">
        <v>79</v>
      </c>
      <c r="L288" s="7">
        <v>76</v>
      </c>
      <c r="M288" s="7">
        <v>108</v>
      </c>
      <c r="N288" s="7">
        <v>717</v>
      </c>
      <c r="O288" s="7">
        <v>128869.73799999998</v>
      </c>
      <c r="P288" s="7">
        <v>266470.16500000004</v>
      </c>
      <c r="Q288" s="7">
        <v>272675.62900000002</v>
      </c>
      <c r="R288" s="7">
        <v>260844.261</v>
      </c>
      <c r="S288" s="7">
        <v>229266.54499999995</v>
      </c>
      <c r="T288" s="7">
        <v>252581.16699999996</v>
      </c>
      <c r="U288" s="7">
        <v>248354.46399999998</v>
      </c>
      <c r="V288" s="7">
        <v>163729.35499999998</v>
      </c>
      <c r="W288" s="7">
        <v>85568.476999999984</v>
      </c>
      <c r="X288" s="7">
        <v>31964.423000000006</v>
      </c>
      <c r="Y288" s="7">
        <v>1940324.2239999997</v>
      </c>
      <c r="Z288" s="8">
        <v>9.9325102996639927E-4</v>
      </c>
      <c r="AA288" s="8">
        <v>2.0640209383290619E-4</v>
      </c>
      <c r="AB288" s="8">
        <v>1.9803750044709715E-4</v>
      </c>
      <c r="AC288" s="8">
        <v>1.8785155484022707E-4</v>
      </c>
      <c r="AD288" s="8">
        <v>2.6170412259669205E-4</v>
      </c>
      <c r="AE288" s="8">
        <v>1.4252844116441986E-4</v>
      </c>
      <c r="AF288" s="8">
        <v>2.8990821763525863E-4</v>
      </c>
      <c r="AG288" s="8">
        <v>4.8250358037506475E-4</v>
      </c>
      <c r="AH288" s="8">
        <v>8.8817754697211699E-4</v>
      </c>
      <c r="AI288" s="8">
        <v>3.378756438056147E-3</v>
      </c>
      <c r="AJ288" s="8">
        <v>3.6952587156897758E-4</v>
      </c>
    </row>
    <row r="289" spans="1:36" x14ac:dyDescent="0.2">
      <c r="A289" t="s">
        <v>328</v>
      </c>
      <c r="B289">
        <v>2016</v>
      </c>
      <c r="C289" t="s">
        <v>336</v>
      </c>
      <c r="D289" s="7">
        <v>109</v>
      </c>
      <c r="E289" s="7">
        <v>48</v>
      </c>
      <c r="F289" s="7">
        <v>67</v>
      </c>
      <c r="G289" s="7">
        <v>37</v>
      </c>
      <c r="H289" s="7">
        <v>56</v>
      </c>
      <c r="I289" s="7">
        <v>53</v>
      </c>
      <c r="J289" s="7">
        <v>41</v>
      </c>
      <c r="K289" s="7">
        <v>59</v>
      </c>
      <c r="L289" s="7">
        <v>78</v>
      </c>
      <c r="M289" s="7">
        <v>105</v>
      </c>
      <c r="N289" s="7">
        <v>653</v>
      </c>
      <c r="O289" s="7">
        <v>131566.00099999996</v>
      </c>
      <c r="P289" s="7">
        <v>280874.83199999988</v>
      </c>
      <c r="Q289" s="7">
        <v>287261.99300000002</v>
      </c>
      <c r="R289" s="7">
        <v>274733.90899999999</v>
      </c>
      <c r="S289" s="7">
        <v>245429.82700000002</v>
      </c>
      <c r="T289" s="7">
        <v>263946.48200000002</v>
      </c>
      <c r="U289" s="7">
        <v>268325.53499999992</v>
      </c>
      <c r="V289" s="7">
        <v>183832.69499999998</v>
      </c>
      <c r="W289" s="7">
        <v>92547.8</v>
      </c>
      <c r="X289" s="7">
        <v>34864.471999999994</v>
      </c>
      <c r="Y289" s="7">
        <v>2063383.5460000001</v>
      </c>
      <c r="Z289" s="8">
        <v>8.284815162847432E-4</v>
      </c>
      <c r="AA289" s="8">
        <v>1.7089462825206077E-4</v>
      </c>
      <c r="AB289" s="8">
        <v>2.3323656325116422E-4</v>
      </c>
      <c r="AC289" s="8">
        <v>1.3467576730763148E-4</v>
      </c>
      <c r="AD289" s="8">
        <v>2.2817112607914601E-4</v>
      </c>
      <c r="AE289" s="8">
        <v>2.007982815243584E-4</v>
      </c>
      <c r="AF289" s="8">
        <v>1.5279947173123129E-4</v>
      </c>
      <c r="AG289" s="8">
        <v>3.2094399747553069E-4</v>
      </c>
      <c r="AH289" s="8">
        <v>8.4280771666101189E-4</v>
      </c>
      <c r="AI289" s="8">
        <v>3.0116618430360859E-3</v>
      </c>
      <c r="AJ289" s="8">
        <v>3.1647048909829773E-4</v>
      </c>
    </row>
    <row r="290" spans="1:36" x14ac:dyDescent="0.2">
      <c r="A290" t="s">
        <v>328</v>
      </c>
      <c r="B290">
        <v>2017</v>
      </c>
      <c r="C290" t="s">
        <v>337</v>
      </c>
      <c r="D290" s="7">
        <v>112</v>
      </c>
      <c r="E290" s="7">
        <v>60</v>
      </c>
      <c r="F290" s="7">
        <v>34</v>
      </c>
      <c r="G290" s="7">
        <v>63</v>
      </c>
      <c r="H290" s="7">
        <v>41</v>
      </c>
      <c r="I290" s="7">
        <v>48</v>
      </c>
      <c r="J290" s="7">
        <v>52</v>
      </c>
      <c r="K290" s="7">
        <v>69</v>
      </c>
      <c r="L290" s="7">
        <v>86</v>
      </c>
      <c r="M290" s="7">
        <v>83</v>
      </c>
      <c r="N290" s="7">
        <v>648</v>
      </c>
      <c r="O290" s="7">
        <v>131975</v>
      </c>
      <c r="P290" s="7">
        <v>282371</v>
      </c>
      <c r="Q290" s="7">
        <v>286425</v>
      </c>
      <c r="R290" s="7">
        <v>278333</v>
      </c>
      <c r="S290" s="7">
        <v>243737</v>
      </c>
      <c r="T290" s="7">
        <v>256900</v>
      </c>
      <c r="U290" s="7">
        <v>267011</v>
      </c>
      <c r="V290" s="7">
        <v>188108</v>
      </c>
      <c r="W290" s="7">
        <v>94595</v>
      </c>
      <c r="X290" s="7">
        <v>36113</v>
      </c>
      <c r="Y290" s="7">
        <v>2065568</v>
      </c>
      <c r="Z290" s="8">
        <v>8.486455768137905E-4</v>
      </c>
      <c r="AA290" s="8">
        <v>2.1248640972337812E-4</v>
      </c>
      <c r="AB290" s="8">
        <v>1.1870472200401501E-4</v>
      </c>
      <c r="AC290" s="8">
        <v>2.2634757646416344E-4</v>
      </c>
      <c r="AD290" s="8">
        <v>1.682140996237748E-4</v>
      </c>
      <c r="AE290" s="8">
        <v>1.8684312962242118E-4</v>
      </c>
      <c r="AF290" s="8">
        <v>1.9474853095939867E-4</v>
      </c>
      <c r="AG290" s="8">
        <v>3.6681055563825038E-4</v>
      </c>
      <c r="AH290" s="8">
        <v>9.09138960833025E-4</v>
      </c>
      <c r="AI290" s="8">
        <v>2.2983413175310828E-3</v>
      </c>
      <c r="AJ290" s="8">
        <v>3.1371516212489738E-4</v>
      </c>
    </row>
    <row r="291" spans="1:36" x14ac:dyDescent="0.2">
      <c r="A291" t="s">
        <v>338</v>
      </c>
      <c r="B291">
        <v>2009</v>
      </c>
      <c r="C291" t="s">
        <v>339</v>
      </c>
      <c r="D291" s="7">
        <v>112</v>
      </c>
      <c r="E291" s="7">
        <v>49</v>
      </c>
      <c r="F291" s="7">
        <v>60</v>
      </c>
      <c r="G291" s="7">
        <v>55</v>
      </c>
      <c r="H291" s="7">
        <v>73</v>
      </c>
      <c r="I291" s="7">
        <v>191</v>
      </c>
      <c r="J291" s="7">
        <v>286</v>
      </c>
      <c r="K291" s="7">
        <v>534</v>
      </c>
      <c r="L291" s="7">
        <v>1254</v>
      </c>
      <c r="M291" s="7">
        <v>2090</v>
      </c>
      <c r="N291" s="7">
        <v>4704</v>
      </c>
      <c r="O291" s="7">
        <v>1218885.2499999998</v>
      </c>
      <c r="P291" s="7">
        <v>2458883.1009999993</v>
      </c>
      <c r="Q291" s="7">
        <v>2697088.4880000013</v>
      </c>
      <c r="R291" s="7">
        <v>2607132.2549999999</v>
      </c>
      <c r="S291" s="7">
        <v>2835916.2369999993</v>
      </c>
      <c r="T291" s="7">
        <v>2882213.9930000002</v>
      </c>
      <c r="U291" s="7">
        <v>2162934.6440000003</v>
      </c>
      <c r="V291" s="7">
        <v>1304993.3239999998</v>
      </c>
      <c r="W291" s="7">
        <v>891487.5429999996</v>
      </c>
      <c r="X291" s="7">
        <v>365830.23300000001</v>
      </c>
      <c r="Y291" s="7">
        <v>19425365.068</v>
      </c>
      <c r="Z291" s="8">
        <v>9.1887238770015488E-5</v>
      </c>
      <c r="AA291" s="8">
        <v>1.9927746862009125E-5</v>
      </c>
      <c r="AB291" s="8">
        <v>2.2246211152119962E-5</v>
      </c>
      <c r="AC291" s="8">
        <v>2.1095976199335543E-5</v>
      </c>
      <c r="AD291" s="8">
        <v>2.5741239831971814E-5</v>
      </c>
      <c r="AE291" s="8">
        <v>6.6268500695603966E-5</v>
      </c>
      <c r="AF291" s="8">
        <v>1.3222775861183162E-4</v>
      </c>
      <c r="AG291" s="8">
        <v>4.0919749563408502E-4</v>
      </c>
      <c r="AH291" s="8">
        <v>1.4066377145103871E-3</v>
      </c>
      <c r="AI291" s="8">
        <v>5.7130324709931775E-3</v>
      </c>
      <c r="AJ291" s="8">
        <v>2.4215761111996004E-4</v>
      </c>
    </row>
    <row r="292" spans="1:36" x14ac:dyDescent="0.2">
      <c r="A292" t="s">
        <v>338</v>
      </c>
      <c r="B292">
        <v>2010</v>
      </c>
      <c r="C292" t="s">
        <v>340</v>
      </c>
      <c r="D292" s="7">
        <v>119</v>
      </c>
      <c r="E292" s="7">
        <v>71</v>
      </c>
      <c r="F292" s="7">
        <v>32</v>
      </c>
      <c r="G292" s="7">
        <v>34</v>
      </c>
      <c r="H292" s="7">
        <v>50</v>
      </c>
      <c r="I292" s="7">
        <v>133</v>
      </c>
      <c r="J292" s="7">
        <v>326</v>
      </c>
      <c r="K292" s="7">
        <v>523</v>
      </c>
      <c r="L292" s="7">
        <v>1269</v>
      </c>
      <c r="M292" s="7">
        <v>2273</v>
      </c>
      <c r="N292" s="7">
        <v>4830</v>
      </c>
      <c r="O292" s="7">
        <v>1160340.3079999997</v>
      </c>
      <c r="P292" s="7">
        <v>2408401.919999999</v>
      </c>
      <c r="Q292" s="7">
        <v>2752967.0009999992</v>
      </c>
      <c r="R292" s="7">
        <v>2606551.7590000001</v>
      </c>
      <c r="S292" s="7">
        <v>2726523.8130000001</v>
      </c>
      <c r="T292" s="7">
        <v>2837319.5559999989</v>
      </c>
      <c r="U292" s="7">
        <v>2192211.06</v>
      </c>
      <c r="V292" s="7">
        <v>1306542.328</v>
      </c>
      <c r="W292" s="7">
        <v>883289.32199999993</v>
      </c>
      <c r="X292" s="7">
        <v>366708.0610000001</v>
      </c>
      <c r="Y292" s="7">
        <v>19240855.127999999</v>
      </c>
      <c r="Z292" s="8">
        <v>1.0255612011368653E-4</v>
      </c>
      <c r="AA292" s="8">
        <v>2.9480129296691489E-5</v>
      </c>
      <c r="AB292" s="8">
        <v>1.1623822584279501E-5</v>
      </c>
      <c r="AC292" s="8">
        <v>1.3044053271761637E-5</v>
      </c>
      <c r="AD292" s="8">
        <v>1.8338369084326791E-5</v>
      </c>
      <c r="AE292" s="8">
        <v>4.6875227613593501E-5</v>
      </c>
      <c r="AF292" s="8">
        <v>1.4870830913516145E-4</v>
      </c>
      <c r="AG292" s="8">
        <v>4.002931927973481E-4</v>
      </c>
      <c r="AH292" s="8">
        <v>1.4366753547146358E-3</v>
      </c>
      <c r="AI292" s="8">
        <v>6.1983911501743601E-3</v>
      </c>
      <c r="AJ292" s="8">
        <v>2.5102834400385907E-4</v>
      </c>
    </row>
    <row r="293" spans="1:36" x14ac:dyDescent="0.2">
      <c r="A293" t="s">
        <v>338</v>
      </c>
      <c r="B293">
        <v>2011</v>
      </c>
      <c r="C293" t="s">
        <v>341</v>
      </c>
      <c r="D293" s="7">
        <v>103</v>
      </c>
      <c r="E293" s="7">
        <v>61</v>
      </c>
      <c r="F293" s="7">
        <v>55</v>
      </c>
      <c r="G293" s="7">
        <v>41</v>
      </c>
      <c r="H293" s="7">
        <v>63</v>
      </c>
      <c r="I293" s="7">
        <v>159</v>
      </c>
      <c r="J293" s="7">
        <v>333</v>
      </c>
      <c r="K293" s="7">
        <v>530</v>
      </c>
      <c r="L293" s="7">
        <v>1268</v>
      </c>
      <c r="M293" s="7">
        <v>2498</v>
      </c>
      <c r="N293" s="7">
        <v>5111</v>
      </c>
      <c r="O293" s="7">
        <v>1161309.5910000002</v>
      </c>
      <c r="P293" s="7">
        <v>2391236.1820000005</v>
      </c>
      <c r="Q293" s="7">
        <v>2759587.9280000003</v>
      </c>
      <c r="R293" s="7">
        <v>2637720.3079999997</v>
      </c>
      <c r="S293" s="7">
        <v>2676821.9560000012</v>
      </c>
      <c r="T293" s="7">
        <v>2856004.6560000004</v>
      </c>
      <c r="U293" s="7">
        <v>2264508.1720000007</v>
      </c>
      <c r="V293" s="7">
        <v>1343995.726</v>
      </c>
      <c r="W293" s="7">
        <v>880994.24300000002</v>
      </c>
      <c r="X293" s="7">
        <v>378953.23299999995</v>
      </c>
      <c r="Y293" s="7">
        <v>19351131.995000005</v>
      </c>
      <c r="Z293" s="8">
        <v>8.8692972828466015E-5</v>
      </c>
      <c r="AA293" s="8">
        <v>2.5509818084544185E-5</v>
      </c>
      <c r="AB293" s="8">
        <v>1.9930511886193464E-5</v>
      </c>
      <c r="AC293" s="8">
        <v>1.5543725343301261E-5</v>
      </c>
      <c r="AD293" s="8">
        <v>2.353537180864336E-5</v>
      </c>
      <c r="AE293" s="8">
        <v>5.5672178147877633E-5</v>
      </c>
      <c r="AF293" s="8">
        <v>1.4705179876030048E-4</v>
      </c>
      <c r="AG293" s="8">
        <v>3.9434649214055613E-4</v>
      </c>
      <c r="AH293" s="8">
        <v>1.4392829579477739E-3</v>
      </c>
      <c r="AI293" s="8">
        <v>6.5918424292741168E-3</v>
      </c>
      <c r="AJ293" s="8">
        <v>2.6411891569550524E-4</v>
      </c>
    </row>
    <row r="294" spans="1:36" x14ac:dyDescent="0.2">
      <c r="A294" t="s">
        <v>338</v>
      </c>
      <c r="B294">
        <v>2012</v>
      </c>
      <c r="C294" t="s">
        <v>342</v>
      </c>
      <c r="D294" s="7">
        <v>86</v>
      </c>
      <c r="E294" s="7">
        <v>42</v>
      </c>
      <c r="F294" s="7">
        <v>60</v>
      </c>
      <c r="G294" s="7">
        <v>60</v>
      </c>
      <c r="H294" s="7">
        <v>49</v>
      </c>
      <c r="I294" s="7">
        <v>120</v>
      </c>
      <c r="J294" s="7">
        <v>307</v>
      </c>
      <c r="K294" s="7">
        <v>509</v>
      </c>
      <c r="L294" s="7">
        <v>1152</v>
      </c>
      <c r="M294" s="7">
        <v>2208</v>
      </c>
      <c r="N294" s="7">
        <v>4593</v>
      </c>
      <c r="O294" s="7">
        <v>1155553.4049999998</v>
      </c>
      <c r="P294" s="7">
        <v>2360066.9589999998</v>
      </c>
      <c r="Q294" s="7">
        <v>2757531.2750000004</v>
      </c>
      <c r="R294" s="7">
        <v>2665410.2249999996</v>
      </c>
      <c r="S294" s="7">
        <v>2609422.5750000002</v>
      </c>
      <c r="T294" s="7">
        <v>2838288.5530000008</v>
      </c>
      <c r="U294" s="7">
        <v>2294543.4690000005</v>
      </c>
      <c r="V294" s="7">
        <v>1370042.405</v>
      </c>
      <c r="W294" s="7">
        <v>864131.21099999966</v>
      </c>
      <c r="X294" s="7">
        <v>388289.71400000027</v>
      </c>
      <c r="Y294" s="7">
        <v>19303279.791000001</v>
      </c>
      <c r="Z294" s="8">
        <v>7.4423215428974493E-5</v>
      </c>
      <c r="AA294" s="8">
        <v>1.7796105250249387E-5</v>
      </c>
      <c r="AB294" s="8">
        <v>2.1758592747057781E-5</v>
      </c>
      <c r="AC294" s="8">
        <v>2.2510606223850592E-5</v>
      </c>
      <c r="AD294" s="8">
        <v>1.8778100745142821E-5</v>
      </c>
      <c r="AE294" s="8">
        <v>4.2278999389671982E-5</v>
      </c>
      <c r="AF294" s="8">
        <v>1.3379567837683878E-4</v>
      </c>
      <c r="AG294" s="8">
        <v>3.715213471804911E-4</v>
      </c>
      <c r="AH294" s="8">
        <v>1.3331308779680224E-3</v>
      </c>
      <c r="AI294" s="8">
        <v>5.6864756401968416E-3</v>
      </c>
      <c r="AJ294" s="8">
        <v>2.3793883991369432E-4</v>
      </c>
    </row>
    <row r="295" spans="1:36" x14ac:dyDescent="0.2">
      <c r="A295" t="s">
        <v>338</v>
      </c>
      <c r="B295">
        <v>2013</v>
      </c>
      <c r="C295" t="s">
        <v>343</v>
      </c>
      <c r="D295" s="7">
        <v>118</v>
      </c>
      <c r="E295" s="7">
        <v>44</v>
      </c>
      <c r="F295" s="7">
        <v>43</v>
      </c>
      <c r="G295" s="7">
        <v>47</v>
      </c>
      <c r="H295" s="7">
        <v>39</v>
      </c>
      <c r="I295" s="7">
        <v>149</v>
      </c>
      <c r="J295" s="7">
        <v>350</v>
      </c>
      <c r="K295" s="7">
        <v>636</v>
      </c>
      <c r="L295" s="7">
        <v>1216</v>
      </c>
      <c r="M295" s="7">
        <v>2430</v>
      </c>
      <c r="N295" s="7">
        <v>5072</v>
      </c>
      <c r="O295" s="7">
        <v>1167972.2340000002</v>
      </c>
      <c r="P295" s="7">
        <v>2357883.3689999995</v>
      </c>
      <c r="Q295" s="7">
        <v>2755115.7750000008</v>
      </c>
      <c r="R295" s="7">
        <v>2717090.8940000003</v>
      </c>
      <c r="S295" s="7">
        <v>2574909.200999999</v>
      </c>
      <c r="T295" s="7">
        <v>2852770.4209999992</v>
      </c>
      <c r="U295" s="7">
        <v>2368686.298</v>
      </c>
      <c r="V295" s="7">
        <v>1428236.8420000004</v>
      </c>
      <c r="W295" s="7">
        <v>870200.72499999998</v>
      </c>
      <c r="X295" s="7">
        <v>401523.64200000011</v>
      </c>
      <c r="Y295" s="7">
        <v>19494389.401000001</v>
      </c>
      <c r="Z295" s="8">
        <v>1.0102979896695043E-4</v>
      </c>
      <c r="AA295" s="8">
        <v>1.8660804252867185E-5</v>
      </c>
      <c r="AB295" s="8">
        <v>1.5607329604869322E-5</v>
      </c>
      <c r="AC295" s="8">
        <v>1.7297912301641242E-5</v>
      </c>
      <c r="AD295" s="8">
        <v>1.5146165148213324E-5</v>
      </c>
      <c r="AE295" s="8">
        <v>5.2229930212109432E-5</v>
      </c>
      <c r="AF295" s="8">
        <v>1.4776122962991024E-4</v>
      </c>
      <c r="AG295" s="8">
        <v>4.4530429498611116E-4</v>
      </c>
      <c r="AH295" s="8">
        <v>1.3973787484491008E-3</v>
      </c>
      <c r="AI295" s="8">
        <v>6.0519474965312235E-3</v>
      </c>
      <c r="AJ295" s="8">
        <v>2.6017742313795284E-4</v>
      </c>
    </row>
    <row r="296" spans="1:36" x14ac:dyDescent="0.2">
      <c r="A296" t="s">
        <v>338</v>
      </c>
      <c r="B296">
        <v>2014</v>
      </c>
      <c r="C296" t="s">
        <v>344</v>
      </c>
      <c r="D296" s="7">
        <v>91</v>
      </c>
      <c r="E296" s="7">
        <v>46</v>
      </c>
      <c r="F296" s="7">
        <v>52</v>
      </c>
      <c r="G296" s="7">
        <v>70</v>
      </c>
      <c r="H296" s="7">
        <v>78</v>
      </c>
      <c r="I296" s="7">
        <v>164</v>
      </c>
      <c r="J296" s="7">
        <v>394</v>
      </c>
      <c r="K296" s="7">
        <v>615</v>
      </c>
      <c r="L296" s="7">
        <v>1171</v>
      </c>
      <c r="M296" s="7">
        <v>2244</v>
      </c>
      <c r="N296" s="7">
        <v>4925</v>
      </c>
      <c r="O296" s="7">
        <v>1172846.3819999998</v>
      </c>
      <c r="P296" s="7">
        <v>2351554.7519999999</v>
      </c>
      <c r="Q296" s="7">
        <v>2750810.3690000004</v>
      </c>
      <c r="R296" s="7">
        <v>2766621.206999999</v>
      </c>
      <c r="S296" s="7">
        <v>2559998.5490000015</v>
      </c>
      <c r="T296" s="7">
        <v>2847688.9220000007</v>
      </c>
      <c r="U296" s="7">
        <v>2422883.5099999998</v>
      </c>
      <c r="V296" s="7">
        <v>1485206.8329999999</v>
      </c>
      <c r="W296" s="7">
        <v>865509.38400000008</v>
      </c>
      <c r="X296" s="7">
        <v>413032.59399999992</v>
      </c>
      <c r="Y296" s="7">
        <v>19636152.502</v>
      </c>
      <c r="Z296" s="8">
        <v>7.758901881491247E-5</v>
      </c>
      <c r="AA296" s="8">
        <v>1.9561526245934505E-5</v>
      </c>
      <c r="AB296" s="8">
        <v>1.8903520426565614E-5</v>
      </c>
      <c r="AC296" s="8">
        <v>2.5301620555386723E-5</v>
      </c>
      <c r="AD296" s="8">
        <v>3.0468767269602054E-5</v>
      </c>
      <c r="AE296" s="8">
        <v>5.7590560096999233E-5</v>
      </c>
      <c r="AF296" s="8">
        <v>1.6261615483114994E-4</v>
      </c>
      <c r="AG296" s="8">
        <v>4.1408373994465729E-4</v>
      </c>
      <c r="AH296" s="8">
        <v>1.3529604896808374E-3</v>
      </c>
      <c r="AI296" s="8">
        <v>5.4329852718596836E-3</v>
      </c>
      <c r="AJ296" s="8">
        <v>2.5081288197870605E-4</v>
      </c>
    </row>
    <row r="297" spans="1:36" x14ac:dyDescent="0.2">
      <c r="A297" t="s">
        <v>338</v>
      </c>
      <c r="B297">
        <v>2015</v>
      </c>
      <c r="C297" t="s">
        <v>345</v>
      </c>
      <c r="D297" s="7">
        <v>105</v>
      </c>
      <c r="E297" s="7">
        <v>54</v>
      </c>
      <c r="F297" s="7">
        <v>43</v>
      </c>
      <c r="G297" s="7">
        <v>64</v>
      </c>
      <c r="H297" s="7">
        <v>62</v>
      </c>
      <c r="I297" s="7">
        <v>143</v>
      </c>
      <c r="J297" s="7">
        <v>329</v>
      </c>
      <c r="K297" s="7">
        <v>620</v>
      </c>
      <c r="L297" s="7">
        <v>1214</v>
      </c>
      <c r="M297" s="7">
        <v>2464</v>
      </c>
      <c r="N297" s="7">
        <v>5098</v>
      </c>
      <c r="O297" s="7">
        <v>1174371.4610000001</v>
      </c>
      <c r="P297" s="7">
        <v>2322048.2440000004</v>
      </c>
      <c r="Q297" s="7">
        <v>2720067.3799999994</v>
      </c>
      <c r="R297" s="7">
        <v>2796624.49</v>
      </c>
      <c r="S297" s="7">
        <v>2525875.1329999994</v>
      </c>
      <c r="T297" s="7">
        <v>2808279.6739999992</v>
      </c>
      <c r="U297" s="7">
        <v>2452635.3820000007</v>
      </c>
      <c r="V297" s="7">
        <v>1530208.2769999998</v>
      </c>
      <c r="W297" s="7">
        <v>856842.897</v>
      </c>
      <c r="X297" s="7">
        <v>415314.22299999982</v>
      </c>
      <c r="Y297" s="7">
        <v>19602267.160999998</v>
      </c>
      <c r="Z297" s="8">
        <v>8.9409529682022809E-5</v>
      </c>
      <c r="AA297" s="8">
        <v>2.3255330779423715E-5</v>
      </c>
      <c r="AB297" s="8">
        <v>1.5808431922006287E-5</v>
      </c>
      <c r="AC297" s="8">
        <v>2.2884731299767741E-5</v>
      </c>
      <c r="AD297" s="8">
        <v>2.4545948130999716E-5</v>
      </c>
      <c r="AE297" s="8">
        <v>5.0920854259617465E-5</v>
      </c>
      <c r="AF297" s="8">
        <v>1.3414142290148201E-4</v>
      </c>
      <c r="AG297" s="8">
        <v>4.0517360239059801E-4</v>
      </c>
      <c r="AH297" s="8">
        <v>1.4168291576559572E-3</v>
      </c>
      <c r="AI297" s="8">
        <v>5.9328572525193801E-3</v>
      </c>
      <c r="AJ297" s="8">
        <v>2.6007195790815499E-4</v>
      </c>
    </row>
    <row r="298" spans="1:36" x14ac:dyDescent="0.2">
      <c r="A298" t="s">
        <v>338</v>
      </c>
      <c r="B298">
        <v>2016</v>
      </c>
      <c r="C298" t="s">
        <v>346</v>
      </c>
      <c r="D298" s="7">
        <v>90</v>
      </c>
      <c r="E298" s="7">
        <v>62</v>
      </c>
      <c r="F298" s="7">
        <v>53</v>
      </c>
      <c r="G298" s="7">
        <v>63</v>
      </c>
      <c r="H298" s="7">
        <v>64</v>
      </c>
      <c r="I298" s="7">
        <v>110</v>
      </c>
      <c r="J298" s="7">
        <v>376</v>
      </c>
      <c r="K298" s="7">
        <v>695</v>
      </c>
      <c r="L298" s="7">
        <v>1127</v>
      </c>
      <c r="M298" s="7">
        <v>2081</v>
      </c>
      <c r="N298" s="7">
        <v>4721</v>
      </c>
      <c r="O298" s="7">
        <v>1176474.4199999997</v>
      </c>
      <c r="P298" s="7">
        <v>2330615.0690000011</v>
      </c>
      <c r="Q298" s="7">
        <v>2708684.2859999994</v>
      </c>
      <c r="R298" s="7">
        <v>2842284.2909999997</v>
      </c>
      <c r="S298" s="7">
        <v>2514912.003</v>
      </c>
      <c r="T298" s="7">
        <v>2790798.9110000003</v>
      </c>
      <c r="U298" s="7">
        <v>2509298.3849999993</v>
      </c>
      <c r="V298" s="7">
        <v>1607112.1069999994</v>
      </c>
      <c r="W298" s="7">
        <v>873029.51699999999</v>
      </c>
      <c r="X298" s="7">
        <v>427625.87399999995</v>
      </c>
      <c r="Y298" s="7">
        <v>19780834.863000002</v>
      </c>
      <c r="Z298" s="8">
        <v>7.649975084031153E-5</v>
      </c>
      <c r="AA298" s="8">
        <v>2.6602419603595197E-5</v>
      </c>
      <c r="AB298" s="8">
        <v>1.9566695267489735E-5</v>
      </c>
      <c r="AC298" s="8">
        <v>2.216527044795886E-5</v>
      </c>
      <c r="AD298" s="8">
        <v>2.5448206507287484E-5</v>
      </c>
      <c r="AE298" s="8">
        <v>3.9415236822127306E-5</v>
      </c>
      <c r="AF298" s="8">
        <v>1.4984268202125357E-4</v>
      </c>
      <c r="AG298" s="8">
        <v>4.3245271874490349E-4</v>
      </c>
      <c r="AH298" s="8">
        <v>1.2909070977035477E-3</v>
      </c>
      <c r="AI298" s="8">
        <v>4.8664033832527178E-3</v>
      </c>
      <c r="AJ298" s="8">
        <v>2.3866535627526105E-4</v>
      </c>
    </row>
    <row r="299" spans="1:36" x14ac:dyDescent="0.2">
      <c r="A299" t="s">
        <v>338</v>
      </c>
      <c r="B299">
        <v>2017</v>
      </c>
      <c r="C299" t="s">
        <v>347</v>
      </c>
      <c r="D299" s="7">
        <v>75</v>
      </c>
      <c r="E299" s="7">
        <v>50</v>
      </c>
      <c r="F299" s="7">
        <v>47</v>
      </c>
      <c r="G299" s="7">
        <v>56</v>
      </c>
      <c r="H299" s="7">
        <v>45</v>
      </c>
      <c r="I299" s="7">
        <v>119</v>
      </c>
      <c r="J299" s="7">
        <v>333</v>
      </c>
      <c r="K299" s="7">
        <v>655</v>
      </c>
      <c r="L299" s="7">
        <v>1134</v>
      </c>
      <c r="M299" s="7">
        <v>2166</v>
      </c>
      <c r="N299" s="7">
        <v>4680</v>
      </c>
      <c r="O299" s="7">
        <v>1185788</v>
      </c>
      <c r="P299" s="7">
        <v>2318593</v>
      </c>
      <c r="Q299" s="7">
        <v>2683001</v>
      </c>
      <c r="R299" s="7">
        <v>2901294</v>
      </c>
      <c r="S299" s="7">
        <v>2500734</v>
      </c>
      <c r="T299" s="7">
        <v>2754470</v>
      </c>
      <c r="U299" s="7">
        <v>2544427</v>
      </c>
      <c r="V299" s="7">
        <v>1677241</v>
      </c>
      <c r="W299" s="7">
        <v>896084</v>
      </c>
      <c r="X299" s="7">
        <v>438169</v>
      </c>
      <c r="Y299" s="7">
        <v>19899801</v>
      </c>
      <c r="Z299" s="8">
        <v>6.3249079936717189E-5</v>
      </c>
      <c r="AA299" s="8">
        <v>2.1564802447001264E-5</v>
      </c>
      <c r="AB299" s="8">
        <v>1.7517697533470917E-5</v>
      </c>
      <c r="AC299" s="8">
        <v>1.9301732261535716E-5</v>
      </c>
      <c r="AD299" s="8">
        <v>1.7994716751161858E-5</v>
      </c>
      <c r="AE299" s="8">
        <v>4.3202503566929391E-5</v>
      </c>
      <c r="AF299" s="8">
        <v>1.3087425970562331E-4</v>
      </c>
      <c r="AG299" s="8">
        <v>3.9052229226449865E-4</v>
      </c>
      <c r="AH299" s="8">
        <v>1.2655063587788645E-3</v>
      </c>
      <c r="AI299" s="8">
        <v>4.9432981338250765E-3</v>
      </c>
      <c r="AJ299" s="8">
        <v>2.3517823117929671E-4</v>
      </c>
    </row>
    <row r="300" spans="1:36" x14ac:dyDescent="0.2">
      <c r="A300" t="s">
        <v>348</v>
      </c>
      <c r="B300">
        <v>2009</v>
      </c>
      <c r="C300" t="s">
        <v>349</v>
      </c>
      <c r="D300" s="7">
        <v>99</v>
      </c>
      <c r="E300" s="7">
        <v>49</v>
      </c>
      <c r="F300" s="7">
        <v>50</v>
      </c>
      <c r="G300" s="7">
        <v>70</v>
      </c>
      <c r="H300" s="7">
        <v>46</v>
      </c>
      <c r="I300" s="7">
        <v>99</v>
      </c>
      <c r="J300" s="7">
        <v>103</v>
      </c>
      <c r="K300" s="7">
        <v>260</v>
      </c>
      <c r="L300" s="7">
        <v>475</v>
      </c>
      <c r="M300" s="7">
        <v>697</v>
      </c>
      <c r="N300" s="7">
        <v>1948</v>
      </c>
      <c r="O300" s="7">
        <v>630215.50199999998</v>
      </c>
      <c r="P300" s="7">
        <v>1194596.523</v>
      </c>
      <c r="Q300" s="7">
        <v>1260248.3470000005</v>
      </c>
      <c r="R300" s="7">
        <v>1200879.5649999999</v>
      </c>
      <c r="S300" s="7">
        <v>1313498.8049999997</v>
      </c>
      <c r="T300" s="7">
        <v>1276094.4870000002</v>
      </c>
      <c r="U300" s="7">
        <v>997941.21900000039</v>
      </c>
      <c r="V300" s="7">
        <v>601078.45099999977</v>
      </c>
      <c r="W300" s="7">
        <v>378789.49199999991</v>
      </c>
      <c r="X300" s="7">
        <v>132131.14600000007</v>
      </c>
      <c r="Y300" s="7">
        <v>8985473.5370000005</v>
      </c>
      <c r="Z300" s="8">
        <v>1.5708912219045986E-4</v>
      </c>
      <c r="AA300" s="8">
        <v>4.101803333308379E-5</v>
      </c>
      <c r="AB300" s="8">
        <v>3.9674719763786353E-5</v>
      </c>
      <c r="AC300" s="8">
        <v>5.8290608017799024E-5</v>
      </c>
      <c r="AD300" s="8">
        <v>3.5020968290869523E-5</v>
      </c>
      <c r="AE300" s="8">
        <v>7.7580462111972114E-5</v>
      </c>
      <c r="AF300" s="8">
        <v>1.0321249191732199E-4</v>
      </c>
      <c r="AG300" s="8">
        <v>4.3255584951921707E-4</v>
      </c>
      <c r="AH300" s="8">
        <v>1.2539946593872254E-3</v>
      </c>
      <c r="AI300" s="8">
        <v>5.2750620962600265E-3</v>
      </c>
      <c r="AJ300" s="8">
        <v>2.1679436169708903E-4</v>
      </c>
    </row>
    <row r="301" spans="1:36" x14ac:dyDescent="0.2">
      <c r="A301" t="s">
        <v>348</v>
      </c>
      <c r="B301">
        <v>2010</v>
      </c>
      <c r="C301" t="s">
        <v>350</v>
      </c>
      <c r="D301" s="7">
        <v>106</v>
      </c>
      <c r="E301" s="7">
        <v>48</v>
      </c>
      <c r="F301" s="7">
        <v>56</v>
      </c>
      <c r="G301" s="7">
        <v>40</v>
      </c>
      <c r="H301" s="7">
        <v>55</v>
      </c>
      <c r="I301" s="7">
        <v>64</v>
      </c>
      <c r="J301" s="7">
        <v>124</v>
      </c>
      <c r="K301" s="7">
        <v>213</v>
      </c>
      <c r="L301" s="7">
        <v>440</v>
      </c>
      <c r="M301" s="7">
        <v>783</v>
      </c>
      <c r="N301" s="7">
        <v>1929</v>
      </c>
      <c r="O301" s="7">
        <v>621026.22999999986</v>
      </c>
      <c r="P301" s="7">
        <v>1234636.1080000005</v>
      </c>
      <c r="Q301" s="7">
        <v>1290162.987</v>
      </c>
      <c r="R301" s="7">
        <v>1218514.0670000007</v>
      </c>
      <c r="S301" s="7">
        <v>1336445.3519999995</v>
      </c>
      <c r="T301" s="7">
        <v>1327565.7380000004</v>
      </c>
      <c r="U301" s="7">
        <v>1066105.034</v>
      </c>
      <c r="V301" s="7">
        <v>649584.50000000012</v>
      </c>
      <c r="W301" s="7">
        <v>381368.7919999999</v>
      </c>
      <c r="X301" s="7">
        <v>134982.21700000006</v>
      </c>
      <c r="Y301" s="7">
        <v>9260391.0250000004</v>
      </c>
      <c r="Z301" s="8">
        <v>1.7068522210406478E-4</v>
      </c>
      <c r="AA301" s="8">
        <v>3.8877852096643835E-5</v>
      </c>
      <c r="AB301" s="8">
        <v>4.3405368596270234E-5</v>
      </c>
      <c r="AC301" s="8">
        <v>3.2826867644195999E-5</v>
      </c>
      <c r="AD301" s="8">
        <v>4.115394611361559E-5</v>
      </c>
      <c r="AE301" s="8">
        <v>4.8208535493253279E-5</v>
      </c>
      <c r="AF301" s="8">
        <v>1.16311241430645E-4</v>
      </c>
      <c r="AG301" s="8">
        <v>3.2790191268418497E-4</v>
      </c>
      <c r="AH301" s="8">
        <v>1.1537388722672414E-3</v>
      </c>
      <c r="AI301" s="8">
        <v>5.8007641110236E-3</v>
      </c>
      <c r="AJ301" s="8">
        <v>2.0830653854597895E-4</v>
      </c>
    </row>
    <row r="302" spans="1:36" x14ac:dyDescent="0.2">
      <c r="A302" t="s">
        <v>348</v>
      </c>
      <c r="B302">
        <v>2011</v>
      </c>
      <c r="C302" t="s">
        <v>351</v>
      </c>
      <c r="D302" s="7">
        <v>123</v>
      </c>
      <c r="E302" s="7">
        <v>62</v>
      </c>
      <c r="F302" s="7">
        <v>48</v>
      </c>
      <c r="G302" s="7">
        <v>68</v>
      </c>
      <c r="H302" s="7">
        <v>69</v>
      </c>
      <c r="I302" s="7">
        <v>69</v>
      </c>
      <c r="J302" s="7">
        <v>106</v>
      </c>
      <c r="K302" s="7">
        <v>223</v>
      </c>
      <c r="L302" s="7">
        <v>412</v>
      </c>
      <c r="M302" s="7">
        <v>709</v>
      </c>
      <c r="N302" s="7">
        <v>1889</v>
      </c>
      <c r="O302" s="7">
        <v>621963.02699999989</v>
      </c>
      <c r="P302" s="7">
        <v>1242709.3729999999</v>
      </c>
      <c r="Q302" s="7">
        <v>1299089.6369999994</v>
      </c>
      <c r="R302" s="7">
        <v>1222384.9650000005</v>
      </c>
      <c r="S302" s="7">
        <v>1323299.9129999999</v>
      </c>
      <c r="T302" s="7">
        <v>1334057.007</v>
      </c>
      <c r="U302" s="7">
        <v>1094142.098</v>
      </c>
      <c r="V302" s="7">
        <v>664476.78199999989</v>
      </c>
      <c r="W302" s="7">
        <v>383288.87899999996</v>
      </c>
      <c r="X302" s="7">
        <v>138313.62000000002</v>
      </c>
      <c r="Y302" s="7">
        <v>9323725.3010000009</v>
      </c>
      <c r="Z302" s="8">
        <v>1.9776095147212025E-4</v>
      </c>
      <c r="AA302" s="8">
        <v>4.9890989274770689E-5</v>
      </c>
      <c r="AB302" s="8">
        <v>3.6948951506415582E-5</v>
      </c>
      <c r="AC302" s="8">
        <v>5.5628956463809233E-5</v>
      </c>
      <c r="AD302" s="8">
        <v>5.2142374772452665E-5</v>
      </c>
      <c r="AE302" s="8">
        <v>5.1721927652226636E-5</v>
      </c>
      <c r="AF302" s="8">
        <v>9.687955540122175E-5</v>
      </c>
      <c r="AG302" s="8">
        <v>3.356023958110248E-4</v>
      </c>
      <c r="AH302" s="8">
        <v>1.0749072633542286E-3</v>
      </c>
      <c r="AI302" s="8">
        <v>5.1260316952155532E-3</v>
      </c>
      <c r="AJ302" s="8">
        <v>2.0260142153666824E-4</v>
      </c>
    </row>
    <row r="303" spans="1:36" x14ac:dyDescent="0.2">
      <c r="A303" t="s">
        <v>348</v>
      </c>
      <c r="B303">
        <v>2012</v>
      </c>
      <c r="C303" t="s">
        <v>352</v>
      </c>
      <c r="D303" s="7">
        <v>93</v>
      </c>
      <c r="E303" s="7">
        <v>49</v>
      </c>
      <c r="F303" s="7">
        <v>36</v>
      </c>
      <c r="G303" s="7">
        <v>42</v>
      </c>
      <c r="H303" s="7">
        <v>59</v>
      </c>
      <c r="I303" s="7">
        <v>64</v>
      </c>
      <c r="J303" s="7">
        <v>174</v>
      </c>
      <c r="K303" s="7">
        <v>293</v>
      </c>
      <c r="L303" s="7">
        <v>510</v>
      </c>
      <c r="M303" s="7">
        <v>794</v>
      </c>
      <c r="N303" s="7">
        <v>2114</v>
      </c>
      <c r="O303" s="7">
        <v>624338.95599999977</v>
      </c>
      <c r="P303" s="7">
        <v>1258644.4219999998</v>
      </c>
      <c r="Q303" s="7">
        <v>1320695.3369999998</v>
      </c>
      <c r="R303" s="7">
        <v>1241325.1839999999</v>
      </c>
      <c r="S303" s="7">
        <v>1321060.3829999994</v>
      </c>
      <c r="T303" s="7">
        <v>1348089.2229999998</v>
      </c>
      <c r="U303" s="7">
        <v>1128944.9700000002</v>
      </c>
      <c r="V303" s="7">
        <v>697279.45000000007</v>
      </c>
      <c r="W303" s="7">
        <v>388991.82699999999</v>
      </c>
      <c r="X303" s="7">
        <v>142797.63200000004</v>
      </c>
      <c r="Y303" s="7">
        <v>9472167.3839999977</v>
      </c>
      <c r="Z303" s="8">
        <v>1.4895754798936498E-4</v>
      </c>
      <c r="AA303" s="8">
        <v>3.8930772777063167E-5</v>
      </c>
      <c r="AB303" s="8">
        <v>2.7258368369631038E-5</v>
      </c>
      <c r="AC303" s="8">
        <v>3.3834808591138682E-5</v>
      </c>
      <c r="AD303" s="8">
        <v>4.4661092527819768E-5</v>
      </c>
      <c r="AE303" s="8">
        <v>4.7474602502626796E-5</v>
      </c>
      <c r="AF303" s="8">
        <v>1.54126201563217E-4</v>
      </c>
      <c r="AG303" s="8">
        <v>4.2020455356887398E-4</v>
      </c>
      <c r="AH303" s="8">
        <v>1.3110815307695398E-3</v>
      </c>
      <c r="AI303" s="8">
        <v>5.5603162943206209E-3</v>
      </c>
      <c r="AJ303" s="8">
        <v>2.231801777036672E-4</v>
      </c>
    </row>
    <row r="304" spans="1:36" x14ac:dyDescent="0.2">
      <c r="A304" t="s">
        <v>348</v>
      </c>
      <c r="B304">
        <v>2013</v>
      </c>
      <c r="C304" t="s">
        <v>353</v>
      </c>
      <c r="D304" s="7">
        <v>111</v>
      </c>
      <c r="E304" s="7">
        <v>55</v>
      </c>
      <c r="F304" s="7">
        <v>52</v>
      </c>
      <c r="G304" s="7">
        <v>37</v>
      </c>
      <c r="H304" s="7">
        <v>54</v>
      </c>
      <c r="I304" s="7">
        <v>94</v>
      </c>
      <c r="J304" s="7">
        <v>160</v>
      </c>
      <c r="K304" s="7">
        <v>288</v>
      </c>
      <c r="L304" s="7">
        <v>501</v>
      </c>
      <c r="M304" s="7">
        <v>797</v>
      </c>
      <c r="N304" s="7">
        <v>2149</v>
      </c>
      <c r="O304" s="7">
        <v>638918.07999999984</v>
      </c>
      <c r="P304" s="7">
        <v>1315040.1199999999</v>
      </c>
      <c r="Q304" s="7">
        <v>1370776.1169999999</v>
      </c>
      <c r="R304" s="7">
        <v>1282069.4330000002</v>
      </c>
      <c r="S304" s="7">
        <v>1350789.5750000002</v>
      </c>
      <c r="T304" s="7">
        <v>1398553.1780000003</v>
      </c>
      <c r="U304" s="7">
        <v>1196781.4820000001</v>
      </c>
      <c r="V304" s="7">
        <v>758092.27499999991</v>
      </c>
      <c r="W304" s="7">
        <v>408647.06400000001</v>
      </c>
      <c r="X304" s="7">
        <v>154484.06900000002</v>
      </c>
      <c r="Y304" s="7">
        <v>9874151.3930000011</v>
      </c>
      <c r="Z304" s="8">
        <v>1.7373119258105833E-4</v>
      </c>
      <c r="AA304" s="8">
        <v>4.18238190329889E-5</v>
      </c>
      <c r="AB304" s="8">
        <v>3.793471403178817E-5</v>
      </c>
      <c r="AC304" s="8">
        <v>2.885959141340826E-5</v>
      </c>
      <c r="AD304" s="8">
        <v>3.9976618860121119E-5</v>
      </c>
      <c r="AE304" s="8">
        <v>6.7212317328129505E-5</v>
      </c>
      <c r="AF304" s="8">
        <v>1.3369190817743619E-4</v>
      </c>
      <c r="AG304" s="8">
        <v>3.7990098237051687E-4</v>
      </c>
      <c r="AH304" s="8">
        <v>1.2259968176352785E-3</v>
      </c>
      <c r="AI304" s="8">
        <v>5.1591080242714216E-3</v>
      </c>
      <c r="AJ304" s="8">
        <v>2.1763895594344163E-4</v>
      </c>
    </row>
    <row r="305" spans="1:36" x14ac:dyDescent="0.2">
      <c r="A305" t="s">
        <v>348</v>
      </c>
      <c r="B305">
        <v>2014</v>
      </c>
      <c r="C305" t="s">
        <v>354</v>
      </c>
      <c r="D305" s="7">
        <v>116</v>
      </c>
      <c r="E305" s="7">
        <v>54</v>
      </c>
      <c r="F305" s="7">
        <v>63</v>
      </c>
      <c r="G305" s="7">
        <v>43</v>
      </c>
      <c r="H305" s="7">
        <v>66</v>
      </c>
      <c r="I305" s="7">
        <v>115</v>
      </c>
      <c r="J305" s="7">
        <v>184</v>
      </c>
      <c r="K305" s="7">
        <v>304</v>
      </c>
      <c r="L305" s="7">
        <v>479</v>
      </c>
      <c r="M305" s="7">
        <v>745</v>
      </c>
      <c r="N305" s="7">
        <v>2169</v>
      </c>
      <c r="O305" s="7">
        <v>642453.79600000009</v>
      </c>
      <c r="P305" s="7">
        <v>1337812.537999999</v>
      </c>
      <c r="Q305" s="7">
        <v>1413455.9739999999</v>
      </c>
      <c r="R305" s="7">
        <v>1313194.1970000002</v>
      </c>
      <c r="S305" s="7">
        <v>1358071.8729999999</v>
      </c>
      <c r="T305" s="7">
        <v>1418902.9949999994</v>
      </c>
      <c r="U305" s="7">
        <v>1248545.5239999993</v>
      </c>
      <c r="V305" s="7">
        <v>813232.29999999981</v>
      </c>
      <c r="W305" s="7">
        <v>426393.27099999995</v>
      </c>
      <c r="X305" s="7">
        <v>166056.75900000002</v>
      </c>
      <c r="Y305" s="7">
        <v>10138119.226999996</v>
      </c>
      <c r="Z305" s="8">
        <v>1.8055773150105255E-4</v>
      </c>
      <c r="AA305" s="8">
        <v>4.0364399694391295E-5</v>
      </c>
      <c r="AB305" s="8">
        <v>4.4571604039221389E-5</v>
      </c>
      <c r="AC305" s="8">
        <v>3.2744585757562555E-5</v>
      </c>
      <c r="AD305" s="8">
        <v>4.8598311556372252E-5</v>
      </c>
      <c r="AE305" s="8">
        <v>8.1048528620520703E-5</v>
      </c>
      <c r="AF305" s="8">
        <v>1.4737147862299341E-4</v>
      </c>
      <c r="AG305" s="8">
        <v>3.7381692783230579E-4</v>
      </c>
      <c r="AH305" s="8">
        <v>1.1233760769174992E-3</v>
      </c>
      <c r="AI305" s="8">
        <v>4.4864178036860269E-3</v>
      </c>
      <c r="AJ305" s="8">
        <v>2.1394500808626175E-4</v>
      </c>
    </row>
    <row r="306" spans="1:36" x14ac:dyDescent="0.2">
      <c r="A306" t="s">
        <v>348</v>
      </c>
      <c r="B306">
        <v>2015</v>
      </c>
      <c r="C306" t="s">
        <v>355</v>
      </c>
      <c r="D306" s="7">
        <v>116</v>
      </c>
      <c r="E306" s="7">
        <v>66</v>
      </c>
      <c r="F306" s="7">
        <v>60</v>
      </c>
      <c r="G306" s="7">
        <v>66</v>
      </c>
      <c r="H306" s="7">
        <v>42</v>
      </c>
      <c r="I306" s="7">
        <v>85</v>
      </c>
      <c r="J306" s="7">
        <v>178</v>
      </c>
      <c r="K306" s="7">
        <v>365</v>
      </c>
      <c r="L306" s="7">
        <v>510</v>
      </c>
      <c r="M306" s="7">
        <v>903</v>
      </c>
      <c r="N306" s="7">
        <v>2391</v>
      </c>
      <c r="O306" s="7">
        <v>600187.78300000005</v>
      </c>
      <c r="P306" s="7">
        <v>1269456.865</v>
      </c>
      <c r="Q306" s="7">
        <v>1331997.9370000002</v>
      </c>
      <c r="R306" s="7">
        <v>1245965.4589999996</v>
      </c>
      <c r="S306" s="7">
        <v>1279959.4000000004</v>
      </c>
      <c r="T306" s="7">
        <v>1335008.206</v>
      </c>
      <c r="U306" s="7">
        <v>1187533.7150000003</v>
      </c>
      <c r="V306" s="7">
        <v>792293.06300000055</v>
      </c>
      <c r="W306" s="7">
        <v>404128.42700000003</v>
      </c>
      <c r="X306" s="7">
        <v>153869.53700000004</v>
      </c>
      <c r="Y306" s="7">
        <v>9600400.3920000009</v>
      </c>
      <c r="Z306" s="8">
        <v>1.932728444090972E-4</v>
      </c>
      <c r="AA306" s="8">
        <v>5.1990738574642311E-5</v>
      </c>
      <c r="AB306" s="8">
        <v>4.5045114810864754E-5</v>
      </c>
      <c r="AC306" s="8">
        <v>5.2970970842940534E-5</v>
      </c>
      <c r="AD306" s="8">
        <v>3.2813540804497382E-5</v>
      </c>
      <c r="AE306" s="8">
        <v>6.3670020617086751E-5</v>
      </c>
      <c r="AF306" s="8">
        <v>1.4989048121467435E-4</v>
      </c>
      <c r="AG306" s="8">
        <v>4.6068811787640217E-4</v>
      </c>
      <c r="AH306" s="8">
        <v>1.2619750701179948E-3</v>
      </c>
      <c r="AI306" s="8">
        <v>5.8686080273316205E-3</v>
      </c>
      <c r="AJ306" s="8">
        <v>2.4905211265901123E-4</v>
      </c>
    </row>
    <row r="307" spans="1:36" x14ac:dyDescent="0.2">
      <c r="A307" t="s">
        <v>348</v>
      </c>
      <c r="B307">
        <v>2016</v>
      </c>
      <c r="C307" t="s">
        <v>356</v>
      </c>
      <c r="D307" s="7">
        <v>97</v>
      </c>
      <c r="E307" s="7">
        <v>56</v>
      </c>
      <c r="F307" s="7">
        <v>69</v>
      </c>
      <c r="G307" s="7">
        <v>43</v>
      </c>
      <c r="H307" s="7">
        <v>56</v>
      </c>
      <c r="I307" s="7">
        <v>88</v>
      </c>
      <c r="J307" s="7">
        <v>187</v>
      </c>
      <c r="K307" s="7">
        <v>323</v>
      </c>
      <c r="L307" s="7">
        <v>487</v>
      </c>
      <c r="M307" s="7">
        <v>740</v>
      </c>
      <c r="N307" s="7">
        <v>2146</v>
      </c>
      <c r="O307" s="7">
        <v>600763.30199999979</v>
      </c>
      <c r="P307" s="7">
        <v>1283608.5249999997</v>
      </c>
      <c r="Q307" s="7">
        <v>1345714.0289999996</v>
      </c>
      <c r="R307" s="7">
        <v>1282140.7089999993</v>
      </c>
      <c r="S307" s="7">
        <v>1288502.5759999999</v>
      </c>
      <c r="T307" s="7">
        <v>1355691.3520000002</v>
      </c>
      <c r="U307" s="7">
        <v>1223048.2520000003</v>
      </c>
      <c r="V307" s="7">
        <v>833165.0619999998</v>
      </c>
      <c r="W307" s="7">
        <v>418155.47999999981</v>
      </c>
      <c r="X307" s="7">
        <v>159382.26599999989</v>
      </c>
      <c r="Y307" s="7">
        <v>9790171.5529999994</v>
      </c>
      <c r="Z307" s="8">
        <v>1.6146126049490292E-4</v>
      </c>
      <c r="AA307" s="8">
        <v>4.3627008475968179E-5</v>
      </c>
      <c r="AB307" s="8">
        <v>5.1273895131548801E-5</v>
      </c>
      <c r="AC307" s="8">
        <v>3.3537660646886163E-5</v>
      </c>
      <c r="AD307" s="8">
        <v>4.346130232338783E-5</v>
      </c>
      <c r="AE307" s="8">
        <v>6.4911530098777227E-5</v>
      </c>
      <c r="AF307" s="8">
        <v>1.528966659281076E-4</v>
      </c>
      <c r="AG307" s="8">
        <v>3.8767828216973416E-4</v>
      </c>
      <c r="AH307" s="8">
        <v>1.1646385693665912E-3</v>
      </c>
      <c r="AI307" s="8">
        <v>4.6429255811935846E-3</v>
      </c>
      <c r="AJ307" s="8">
        <v>2.1919942754653791E-4</v>
      </c>
    </row>
    <row r="308" spans="1:36" x14ac:dyDescent="0.2">
      <c r="A308" t="s">
        <v>348</v>
      </c>
      <c r="B308">
        <v>2017</v>
      </c>
      <c r="C308" t="s">
        <v>357</v>
      </c>
      <c r="D308" s="7">
        <v>94</v>
      </c>
      <c r="E308" s="7">
        <v>44</v>
      </c>
      <c r="F308" s="7">
        <v>46</v>
      </c>
      <c r="G308" s="7">
        <v>60</v>
      </c>
      <c r="H308" s="7">
        <v>53</v>
      </c>
      <c r="I308" s="7">
        <v>91</v>
      </c>
      <c r="J308" s="7">
        <v>215</v>
      </c>
      <c r="K308" s="7">
        <v>363</v>
      </c>
      <c r="L308" s="7">
        <v>514</v>
      </c>
      <c r="M308" s="7">
        <v>813</v>
      </c>
      <c r="N308" s="7">
        <v>2293</v>
      </c>
      <c r="O308" s="7">
        <v>617136</v>
      </c>
      <c r="P308" s="7">
        <v>1321950</v>
      </c>
      <c r="Q308" s="7">
        <v>1395287</v>
      </c>
      <c r="R308" s="7">
        <v>1342357</v>
      </c>
      <c r="S308" s="7">
        <v>1324286</v>
      </c>
      <c r="T308" s="7">
        <v>1404269</v>
      </c>
      <c r="U308" s="7">
        <v>1300705</v>
      </c>
      <c r="V308" s="7">
        <v>920283</v>
      </c>
      <c r="W308" s="7">
        <v>452761</v>
      </c>
      <c r="X308" s="7">
        <v>171815</v>
      </c>
      <c r="Y308" s="7">
        <v>10250849</v>
      </c>
      <c r="Z308" s="8">
        <v>1.5231650722045059E-4</v>
      </c>
      <c r="AA308" s="8">
        <v>3.3284163546276336E-5</v>
      </c>
      <c r="AB308" s="8">
        <v>3.2968127704192754E-5</v>
      </c>
      <c r="AC308" s="8">
        <v>4.4697498504496196E-5</v>
      </c>
      <c r="AD308" s="8">
        <v>4.0021566338389137E-5</v>
      </c>
      <c r="AE308" s="8">
        <v>6.480239897056761E-5</v>
      </c>
      <c r="AF308" s="8">
        <v>1.6529497464836377E-4</v>
      </c>
      <c r="AG308" s="8">
        <v>3.9444388302293967E-4</v>
      </c>
      <c r="AH308" s="8">
        <v>1.1352567911105417E-3</v>
      </c>
      <c r="AI308" s="8">
        <v>4.7318336582952598E-3</v>
      </c>
      <c r="AJ308" s="8">
        <v>2.2368878909444475E-4</v>
      </c>
    </row>
    <row r="309" spans="1:36" x14ac:dyDescent="0.2">
      <c r="A309" t="s">
        <v>358</v>
      </c>
      <c r="B309">
        <v>2009</v>
      </c>
      <c r="C309" t="s">
        <v>359</v>
      </c>
      <c r="D309" s="7">
        <v>117</v>
      </c>
      <c r="E309" s="7">
        <v>60</v>
      </c>
      <c r="F309" s="7">
        <v>40</v>
      </c>
      <c r="G309" s="7">
        <v>48</v>
      </c>
      <c r="H309" s="7">
        <v>63</v>
      </c>
      <c r="I309" s="7">
        <v>42</v>
      </c>
      <c r="J309" s="7">
        <v>47</v>
      </c>
      <c r="K309" s="7">
        <v>64</v>
      </c>
      <c r="L309" s="7">
        <v>68</v>
      </c>
      <c r="M309" s="7">
        <v>58</v>
      </c>
      <c r="N309" s="7">
        <v>607</v>
      </c>
      <c r="O309" s="7">
        <v>39740.358</v>
      </c>
      <c r="P309" s="7">
        <v>74639.883999999991</v>
      </c>
      <c r="Q309" s="7">
        <v>112085.18800000001</v>
      </c>
      <c r="R309" s="7">
        <v>76464.710000000006</v>
      </c>
      <c r="S309" s="7">
        <v>73984.456999999995</v>
      </c>
      <c r="T309" s="7">
        <v>89927.881999999983</v>
      </c>
      <c r="U309" s="7">
        <v>66566.008000000016</v>
      </c>
      <c r="V309" s="7">
        <v>41833.664999999994</v>
      </c>
      <c r="W309" s="7">
        <v>33123.738999999994</v>
      </c>
      <c r="X309" s="7">
        <v>15604.924000000001</v>
      </c>
      <c r="Y309" s="7">
        <v>623970.81499999994</v>
      </c>
      <c r="Z309" s="8">
        <v>2.9441103676016204E-3</v>
      </c>
      <c r="AA309" s="8">
        <v>8.0385977020007166E-4</v>
      </c>
      <c r="AB309" s="8">
        <v>3.5687141819309786E-4</v>
      </c>
      <c r="AC309" s="8">
        <v>6.2774056162640251E-4</v>
      </c>
      <c r="AD309" s="8">
        <v>8.5153020721636177E-4</v>
      </c>
      <c r="AE309" s="8">
        <v>4.6704091173858632E-4</v>
      </c>
      <c r="AF309" s="8">
        <v>7.0606607504538938E-4</v>
      </c>
      <c r="AG309" s="8">
        <v>1.5298683488525332E-3</v>
      </c>
      <c r="AH309" s="8">
        <v>2.0529083386389446E-3</v>
      </c>
      <c r="AI309" s="8">
        <v>3.7167755511016906E-3</v>
      </c>
      <c r="AJ309" s="8">
        <v>9.7280190901236313E-4</v>
      </c>
    </row>
    <row r="310" spans="1:36" x14ac:dyDescent="0.2">
      <c r="A310" t="s">
        <v>358</v>
      </c>
      <c r="B310">
        <v>2010</v>
      </c>
      <c r="C310" t="s">
        <v>360</v>
      </c>
      <c r="D310" s="7">
        <v>112</v>
      </c>
      <c r="E310" s="7">
        <v>51</v>
      </c>
      <c r="F310" s="7">
        <v>42</v>
      </c>
      <c r="G310" s="7">
        <v>62</v>
      </c>
      <c r="H310" s="7">
        <v>52</v>
      </c>
      <c r="I310" s="7">
        <v>48</v>
      </c>
      <c r="J310" s="7">
        <v>53</v>
      </c>
      <c r="K310" s="7">
        <v>57</v>
      </c>
      <c r="L310" s="7">
        <v>67</v>
      </c>
      <c r="M310" s="7">
        <v>70</v>
      </c>
      <c r="N310" s="7">
        <v>614</v>
      </c>
      <c r="O310" s="7">
        <v>36571.53100000001</v>
      </c>
      <c r="P310" s="7">
        <v>69926.83299999997</v>
      </c>
      <c r="Q310" s="7">
        <v>88320.249000000011</v>
      </c>
      <c r="R310" s="7">
        <v>72023.131000000023</v>
      </c>
      <c r="S310" s="7">
        <v>67844.048000000024</v>
      </c>
      <c r="T310" s="7">
        <v>84675.47600000001</v>
      </c>
      <c r="U310" s="7">
        <v>66284.74500000001</v>
      </c>
      <c r="V310" s="7">
        <v>40434.281999999999</v>
      </c>
      <c r="W310" s="7">
        <v>30365.308000000001</v>
      </c>
      <c r="X310" s="7">
        <v>14115.217999999999</v>
      </c>
      <c r="Y310" s="7">
        <v>570560.821</v>
      </c>
      <c r="Z310" s="8">
        <v>3.0624914226314442E-3</v>
      </c>
      <c r="AA310" s="8">
        <v>7.2933375947399225E-4</v>
      </c>
      <c r="AB310" s="8">
        <v>4.7554213756802243E-4</v>
      </c>
      <c r="AC310" s="8">
        <v>8.6083455605394301E-4</v>
      </c>
      <c r="AD310" s="8">
        <v>7.6646369921794732E-4</v>
      </c>
      <c r="AE310" s="8">
        <v>5.6687015258113222E-4</v>
      </c>
      <c r="AF310" s="8">
        <v>7.9958065766112536E-4</v>
      </c>
      <c r="AG310" s="8">
        <v>1.4096948722868382E-3</v>
      </c>
      <c r="AH310" s="8">
        <v>2.2064653518416477E-3</v>
      </c>
      <c r="AI310" s="8">
        <v>4.9591866027148858E-3</v>
      </c>
      <c r="AJ310" s="8">
        <v>1.076134177814498E-3</v>
      </c>
    </row>
    <row r="311" spans="1:36" x14ac:dyDescent="0.2">
      <c r="A311" t="s">
        <v>358</v>
      </c>
      <c r="B311">
        <v>2011</v>
      </c>
      <c r="C311" t="s">
        <v>361</v>
      </c>
      <c r="D311" s="7">
        <v>114</v>
      </c>
      <c r="E311" s="7">
        <v>47</v>
      </c>
      <c r="F311" s="7">
        <v>56</v>
      </c>
      <c r="G311" s="7">
        <v>50</v>
      </c>
      <c r="H311" s="7">
        <v>41</v>
      </c>
      <c r="I311" s="7">
        <v>48</v>
      </c>
      <c r="J311" s="7">
        <v>56</v>
      </c>
      <c r="K311" s="7">
        <v>56</v>
      </c>
      <c r="L311" s="7">
        <v>53</v>
      </c>
      <c r="M311" s="7">
        <v>55</v>
      </c>
      <c r="N311" s="7">
        <v>576</v>
      </c>
      <c r="O311" s="7">
        <v>50468.344999999994</v>
      </c>
      <c r="P311" s="7">
        <v>97596.745999999956</v>
      </c>
      <c r="Q311" s="7">
        <v>126255.56100000003</v>
      </c>
      <c r="R311" s="7">
        <v>103698.618</v>
      </c>
      <c r="S311" s="7">
        <v>95980.173999999941</v>
      </c>
      <c r="T311" s="7">
        <v>119928.83100000002</v>
      </c>
      <c r="U311" s="7">
        <v>100523.53099999997</v>
      </c>
      <c r="V311" s="7">
        <v>60303.581000000006</v>
      </c>
      <c r="W311" s="7">
        <v>44942.149000000005</v>
      </c>
      <c r="X311" s="7">
        <v>19920.373000000007</v>
      </c>
      <c r="Y311" s="7">
        <v>819617.90899999999</v>
      </c>
      <c r="Z311" s="8">
        <v>2.2588416560915562E-3</v>
      </c>
      <c r="AA311" s="8">
        <v>4.8157343278637613E-4</v>
      </c>
      <c r="AB311" s="8">
        <v>4.4354481938423281E-4</v>
      </c>
      <c r="AC311" s="8">
        <v>4.8216650293256557E-4</v>
      </c>
      <c r="AD311" s="8">
        <v>4.271715531584682E-4</v>
      </c>
      <c r="AE311" s="8">
        <v>4.0023737077867448E-4</v>
      </c>
      <c r="AF311" s="8">
        <v>5.5708349520670951E-4</v>
      </c>
      <c r="AG311" s="8">
        <v>9.2863473563866783E-4</v>
      </c>
      <c r="AH311" s="8">
        <v>1.1792938517470536E-3</v>
      </c>
      <c r="AI311" s="8">
        <v>2.7609924773998951E-3</v>
      </c>
      <c r="AJ311" s="8">
        <v>7.0276648872005072E-4</v>
      </c>
    </row>
    <row r="312" spans="1:36" x14ac:dyDescent="0.2">
      <c r="A312" t="s">
        <v>358</v>
      </c>
      <c r="B312">
        <v>2012</v>
      </c>
      <c r="C312" t="s">
        <v>362</v>
      </c>
      <c r="D312" s="7">
        <v>89</v>
      </c>
      <c r="E312" s="7">
        <v>39</v>
      </c>
      <c r="F312" s="7">
        <v>52</v>
      </c>
      <c r="G312" s="7">
        <v>39</v>
      </c>
      <c r="H312" s="7">
        <v>53</v>
      </c>
      <c r="I312" s="7">
        <v>60</v>
      </c>
      <c r="J312" s="7">
        <v>48</v>
      </c>
      <c r="K312" s="7">
        <v>65</v>
      </c>
      <c r="L312" s="7">
        <v>64</v>
      </c>
      <c r="M312" s="7">
        <v>83</v>
      </c>
      <c r="N312" s="7">
        <v>592</v>
      </c>
      <c r="O312" s="7">
        <v>45570.785000000003</v>
      </c>
      <c r="P312" s="7">
        <v>84646.807000000001</v>
      </c>
      <c r="Q312" s="7">
        <v>112406.48699999999</v>
      </c>
      <c r="R312" s="7">
        <v>93608.000000000029</v>
      </c>
      <c r="S312" s="7">
        <v>79405.303000000014</v>
      </c>
      <c r="T312" s="7">
        <v>100133.90899999999</v>
      </c>
      <c r="U312" s="7">
        <v>86931.608999999968</v>
      </c>
      <c r="V312" s="7">
        <v>51299.063000000009</v>
      </c>
      <c r="W312" s="7">
        <v>35656.105999999985</v>
      </c>
      <c r="X312" s="7">
        <v>16998.883999999998</v>
      </c>
      <c r="Y312" s="7">
        <v>706656.95299999998</v>
      </c>
      <c r="Z312" s="8">
        <v>1.9530056372739683E-3</v>
      </c>
      <c r="AA312" s="8">
        <v>4.6073799334214694E-4</v>
      </c>
      <c r="AB312" s="8">
        <v>4.626067532917384E-4</v>
      </c>
      <c r="AC312" s="8">
        <v>4.1663105717460033E-4</v>
      </c>
      <c r="AD312" s="8">
        <v>6.6746171852023522E-4</v>
      </c>
      <c r="AE312" s="8">
        <v>5.9919762045842042E-4</v>
      </c>
      <c r="AF312" s="8">
        <v>5.5215819138927961E-4</v>
      </c>
      <c r="AG312" s="8">
        <v>1.267079673560509E-3</v>
      </c>
      <c r="AH312" s="8">
        <v>1.7949239886150222E-3</v>
      </c>
      <c r="AI312" s="8">
        <v>4.8826734743292561E-3</v>
      </c>
      <c r="AJ312" s="8">
        <v>8.377473645263914E-4</v>
      </c>
    </row>
    <row r="313" spans="1:36" x14ac:dyDescent="0.2">
      <c r="A313" t="s">
        <v>358</v>
      </c>
      <c r="B313">
        <v>2013</v>
      </c>
      <c r="C313" t="s">
        <v>363</v>
      </c>
      <c r="D313" s="7">
        <v>112</v>
      </c>
      <c r="E313" s="7">
        <v>62</v>
      </c>
      <c r="F313" s="7">
        <v>70</v>
      </c>
      <c r="G313" s="7">
        <v>48</v>
      </c>
      <c r="H313" s="7">
        <v>46</v>
      </c>
      <c r="I313" s="7">
        <v>60</v>
      </c>
      <c r="J313" s="7">
        <v>45</v>
      </c>
      <c r="K313" s="7">
        <v>53</v>
      </c>
      <c r="L313" s="7">
        <v>50</v>
      </c>
      <c r="M313" s="7">
        <v>81</v>
      </c>
      <c r="N313" s="7">
        <v>627</v>
      </c>
      <c r="O313" s="7">
        <v>48288.910000000011</v>
      </c>
      <c r="P313" s="7">
        <v>90112.606999999989</v>
      </c>
      <c r="Q313" s="7">
        <v>117152.09999999996</v>
      </c>
      <c r="R313" s="7">
        <v>99672.372999999992</v>
      </c>
      <c r="S313" s="7">
        <v>82754.510999999999</v>
      </c>
      <c r="T313" s="7">
        <v>101224.82999999997</v>
      </c>
      <c r="U313" s="7">
        <v>91861.116999999998</v>
      </c>
      <c r="V313" s="7">
        <v>53391.585999999981</v>
      </c>
      <c r="W313" s="7">
        <v>35917.228000000003</v>
      </c>
      <c r="X313" s="7">
        <v>17329.144000000004</v>
      </c>
      <c r="Y313" s="7">
        <v>737704.40599999996</v>
      </c>
      <c r="Z313" s="8">
        <v>2.319373123145666E-3</v>
      </c>
      <c r="AA313" s="8">
        <v>6.880280358551829E-4</v>
      </c>
      <c r="AB313" s="8">
        <v>5.9751383031119397E-4</v>
      </c>
      <c r="AC313" s="8">
        <v>4.8157777882944561E-4</v>
      </c>
      <c r="AD313" s="8">
        <v>5.5586093669262335E-4</v>
      </c>
      <c r="AE313" s="8">
        <v>5.927399433518438E-4</v>
      </c>
      <c r="AF313" s="8">
        <v>4.8986994138118306E-4</v>
      </c>
      <c r="AG313" s="8">
        <v>9.9266577321752559E-4</v>
      </c>
      <c r="AH313" s="8">
        <v>1.3920896122607235E-3</v>
      </c>
      <c r="AI313" s="8">
        <v>4.6742066428670671E-3</v>
      </c>
      <c r="AJ313" s="8">
        <v>8.499339232630258E-4</v>
      </c>
    </row>
    <row r="314" spans="1:36" x14ac:dyDescent="0.2">
      <c r="A314" t="s">
        <v>358</v>
      </c>
      <c r="B314">
        <v>2014</v>
      </c>
      <c r="C314" t="s">
        <v>364</v>
      </c>
      <c r="D314" s="7">
        <v>91</v>
      </c>
      <c r="E314" s="7">
        <v>31</v>
      </c>
      <c r="F314" s="7">
        <v>61</v>
      </c>
      <c r="G314" s="7">
        <v>56</v>
      </c>
      <c r="H314" s="7">
        <v>58</v>
      </c>
      <c r="I314" s="7">
        <v>49</v>
      </c>
      <c r="J314" s="7">
        <v>55</v>
      </c>
      <c r="K314" s="7">
        <v>63</v>
      </c>
      <c r="L314" s="7">
        <v>56</v>
      </c>
      <c r="M314" s="7">
        <v>89</v>
      </c>
      <c r="N314" s="7">
        <v>609</v>
      </c>
      <c r="O314" s="7">
        <v>46939.447000000007</v>
      </c>
      <c r="P314" s="7">
        <v>87190.48</v>
      </c>
      <c r="Q314" s="7">
        <v>114169.10899999997</v>
      </c>
      <c r="R314" s="7">
        <v>98582.263000000035</v>
      </c>
      <c r="S314" s="7">
        <v>80097.496000000014</v>
      </c>
      <c r="T314" s="7">
        <v>92292.697999999989</v>
      </c>
      <c r="U314" s="7">
        <v>87863.152000000016</v>
      </c>
      <c r="V314" s="7">
        <v>52383.436000000002</v>
      </c>
      <c r="W314" s="7">
        <v>33148.106</v>
      </c>
      <c r="X314" s="7">
        <v>15936.548999999997</v>
      </c>
      <c r="Y314" s="7">
        <v>708602.73600000003</v>
      </c>
      <c r="Z314" s="8">
        <v>1.9386679182649934E-3</v>
      </c>
      <c r="AA314" s="8">
        <v>3.5554340336238542E-4</v>
      </c>
      <c r="AB314" s="8">
        <v>5.3429513932704877E-4</v>
      </c>
      <c r="AC314" s="8">
        <v>5.6805350471615754E-4</v>
      </c>
      <c r="AD314" s="8">
        <v>7.2411751798083664E-4</v>
      </c>
      <c r="AE314" s="8">
        <v>5.3091957502423442E-4</v>
      </c>
      <c r="AF314" s="8">
        <v>6.2597344561460743E-4</v>
      </c>
      <c r="AG314" s="8">
        <v>1.2026702486641007E-3</v>
      </c>
      <c r="AH314" s="8">
        <v>1.6893876229308546E-3</v>
      </c>
      <c r="AI314" s="8">
        <v>5.584646964659665E-3</v>
      </c>
      <c r="AJ314" s="8">
        <v>8.5943783316128769E-4</v>
      </c>
    </row>
    <row r="315" spans="1:36" x14ac:dyDescent="0.2">
      <c r="A315" t="s">
        <v>358</v>
      </c>
      <c r="B315">
        <v>2015</v>
      </c>
      <c r="C315" t="s">
        <v>365</v>
      </c>
      <c r="D315" s="7">
        <v>104</v>
      </c>
      <c r="E315" s="7">
        <v>58</v>
      </c>
      <c r="F315" s="7">
        <v>48</v>
      </c>
      <c r="G315" s="7">
        <v>64</v>
      </c>
      <c r="H315" s="7">
        <v>63</v>
      </c>
      <c r="I315" s="7">
        <v>41</v>
      </c>
      <c r="J315" s="7">
        <v>60</v>
      </c>
      <c r="K315" s="7">
        <v>54</v>
      </c>
      <c r="L315" s="7">
        <v>82</v>
      </c>
      <c r="M315" s="7">
        <v>89</v>
      </c>
      <c r="N315" s="7">
        <v>663</v>
      </c>
      <c r="O315" s="7">
        <v>48875.08</v>
      </c>
      <c r="P315" s="7">
        <v>90029.58600000001</v>
      </c>
      <c r="Q315" s="7">
        <v>115626.86800000003</v>
      </c>
      <c r="R315" s="7">
        <v>103670.89199999999</v>
      </c>
      <c r="S315" s="7">
        <v>82016.841</v>
      </c>
      <c r="T315" s="7">
        <v>93591.585999999996</v>
      </c>
      <c r="U315" s="7">
        <v>93205.707999999984</v>
      </c>
      <c r="V315" s="7">
        <v>55466.585000000006</v>
      </c>
      <c r="W315" s="7">
        <v>33689.210999999996</v>
      </c>
      <c r="X315" s="7">
        <v>16396.365000000002</v>
      </c>
      <c r="Y315" s="7">
        <v>732568.72199999995</v>
      </c>
      <c r="Z315" s="8">
        <v>2.1278737548869483E-3</v>
      </c>
      <c r="AA315" s="8">
        <v>6.4423266369346619E-4</v>
      </c>
      <c r="AB315" s="8">
        <v>4.1512842845488113E-4</v>
      </c>
      <c r="AC315" s="8">
        <v>6.1733818206174984E-4</v>
      </c>
      <c r="AD315" s="8">
        <v>7.6813492487475834E-4</v>
      </c>
      <c r="AE315" s="8">
        <v>4.3807356785256318E-4</v>
      </c>
      <c r="AF315" s="8">
        <v>6.4373739857219914E-4</v>
      </c>
      <c r="AG315" s="8">
        <v>9.735591257330876E-4</v>
      </c>
      <c r="AH315" s="8">
        <v>2.4340136668680075E-3</v>
      </c>
      <c r="AI315" s="8">
        <v>5.4280323718092389E-3</v>
      </c>
      <c r="AJ315" s="8">
        <v>9.0503454500477577E-4</v>
      </c>
    </row>
    <row r="316" spans="1:36" x14ac:dyDescent="0.2">
      <c r="A316" t="s">
        <v>358</v>
      </c>
      <c r="B316">
        <v>2016</v>
      </c>
      <c r="C316" t="s">
        <v>366</v>
      </c>
      <c r="D316" s="7">
        <v>99</v>
      </c>
      <c r="E316" s="7">
        <v>52</v>
      </c>
      <c r="F316" s="7">
        <v>78</v>
      </c>
      <c r="G316" s="7">
        <v>53</v>
      </c>
      <c r="H316" s="7">
        <v>55</v>
      </c>
      <c r="I316" s="7">
        <v>43</v>
      </c>
      <c r="J316" s="7">
        <v>63</v>
      </c>
      <c r="K316" s="7">
        <v>56</v>
      </c>
      <c r="L316" s="7">
        <v>51</v>
      </c>
      <c r="M316" s="7">
        <v>62</v>
      </c>
      <c r="N316" s="7">
        <v>612</v>
      </c>
      <c r="O316" s="7">
        <v>42278.99</v>
      </c>
      <c r="P316" s="7">
        <v>77038.15800000001</v>
      </c>
      <c r="Q316" s="7">
        <v>93192.864000000001</v>
      </c>
      <c r="R316" s="7">
        <v>90119.838000000003</v>
      </c>
      <c r="S316" s="7">
        <v>71342.248999999982</v>
      </c>
      <c r="T316" s="7">
        <v>78258.017000000036</v>
      </c>
      <c r="U316" s="7">
        <v>79932.108999999997</v>
      </c>
      <c r="V316" s="7">
        <v>48686.796000000009</v>
      </c>
      <c r="W316" s="7">
        <v>28508.931999999993</v>
      </c>
      <c r="X316" s="7">
        <v>15204.326000000001</v>
      </c>
      <c r="Y316" s="7">
        <v>624562.2790000001</v>
      </c>
      <c r="Z316" s="8">
        <v>2.3415885762644757E-3</v>
      </c>
      <c r="AA316" s="8">
        <v>6.7499017824387744E-4</v>
      </c>
      <c r="AB316" s="8">
        <v>8.3697395543075054E-4</v>
      </c>
      <c r="AC316" s="8">
        <v>5.8810580640413488E-4</v>
      </c>
      <c r="AD316" s="8">
        <v>7.7093168173041494E-4</v>
      </c>
      <c r="AE316" s="8">
        <v>5.4946447211919492E-4</v>
      </c>
      <c r="AF316" s="8">
        <v>7.8816886965912543E-4</v>
      </c>
      <c r="AG316" s="8">
        <v>1.1502091860799383E-3</v>
      </c>
      <c r="AH316" s="8">
        <v>1.7889130325892254E-3</v>
      </c>
      <c r="AI316" s="8">
        <v>4.0777868088332225E-3</v>
      </c>
      <c r="AJ316" s="8">
        <v>9.7988626687459611E-4</v>
      </c>
    </row>
    <row r="317" spans="1:36" x14ac:dyDescent="0.2">
      <c r="A317" t="s">
        <v>358</v>
      </c>
      <c r="B317">
        <v>2017</v>
      </c>
      <c r="C317" t="s">
        <v>367</v>
      </c>
      <c r="D317" s="7">
        <v>133</v>
      </c>
      <c r="E317" s="7">
        <v>70</v>
      </c>
      <c r="F317" s="7">
        <v>74</v>
      </c>
      <c r="G317" s="7">
        <v>49</v>
      </c>
      <c r="H317" s="7">
        <v>50</v>
      </c>
      <c r="I317" s="7">
        <v>28</v>
      </c>
      <c r="J317" s="7">
        <v>58</v>
      </c>
      <c r="K317" s="7">
        <v>50</v>
      </c>
      <c r="L317" s="7">
        <v>64</v>
      </c>
      <c r="M317" s="7">
        <v>51</v>
      </c>
      <c r="N317" s="7">
        <v>627</v>
      </c>
      <c r="O317" s="7">
        <v>55761</v>
      </c>
      <c r="P317" s="7">
        <v>103122</v>
      </c>
      <c r="Q317" s="7">
        <v>129177</v>
      </c>
      <c r="R317" s="7">
        <v>120553</v>
      </c>
      <c r="S317" s="7">
        <v>94335</v>
      </c>
      <c r="T317" s="7">
        <v>99115</v>
      </c>
      <c r="U317" s="7">
        <v>106582</v>
      </c>
      <c r="V317" s="7">
        <v>67766</v>
      </c>
      <c r="W317" s="7">
        <v>38922</v>
      </c>
      <c r="X317" s="7">
        <v>19608</v>
      </c>
      <c r="Y317" s="7">
        <v>834941</v>
      </c>
      <c r="Z317" s="8">
        <v>2.3851796058176862E-3</v>
      </c>
      <c r="AA317" s="8">
        <v>6.7880762591881463E-4</v>
      </c>
      <c r="AB317" s="8">
        <v>5.7285739721467442E-4</v>
      </c>
      <c r="AC317" s="8">
        <v>4.0646022911084752E-4</v>
      </c>
      <c r="AD317" s="8">
        <v>5.3002597127259235E-4</v>
      </c>
      <c r="AE317" s="8">
        <v>2.8250012611612772E-4</v>
      </c>
      <c r="AF317" s="8">
        <v>5.4418194441838207E-4</v>
      </c>
      <c r="AG317" s="8">
        <v>7.3783313165894397E-4</v>
      </c>
      <c r="AH317" s="8">
        <v>1.6443142695647705E-3</v>
      </c>
      <c r="AI317" s="8">
        <v>2.6009791921664627E-3</v>
      </c>
      <c r="AJ317" s="8">
        <v>7.5095126481990941E-4</v>
      </c>
    </row>
    <row r="318" spans="1:36" x14ac:dyDescent="0.2">
      <c r="A318" t="s">
        <v>368</v>
      </c>
      <c r="B318">
        <v>2009</v>
      </c>
      <c r="C318" t="s">
        <v>369</v>
      </c>
      <c r="D318" s="7">
        <v>107</v>
      </c>
      <c r="E318" s="7">
        <v>66</v>
      </c>
      <c r="F318" s="7">
        <v>38</v>
      </c>
      <c r="G318" s="7">
        <v>70</v>
      </c>
      <c r="H318" s="7">
        <v>66</v>
      </c>
      <c r="I318" s="7">
        <v>106</v>
      </c>
      <c r="J318" s="7">
        <v>159</v>
      </c>
      <c r="K318" s="7">
        <v>245</v>
      </c>
      <c r="L318" s="7">
        <v>570</v>
      </c>
      <c r="M318" s="7">
        <v>825</v>
      </c>
      <c r="N318" s="7">
        <v>2252</v>
      </c>
      <c r="O318" s="7">
        <v>737234.78499999945</v>
      </c>
      <c r="P318" s="7">
        <v>1520464.7239999995</v>
      </c>
      <c r="Q318" s="7">
        <v>1550587.9070000004</v>
      </c>
      <c r="R318" s="7">
        <v>1462744.3209999995</v>
      </c>
      <c r="S318" s="7">
        <v>1585350.2919999997</v>
      </c>
      <c r="T318" s="7">
        <v>1737749.5599999998</v>
      </c>
      <c r="U318" s="7">
        <v>1296379.6649999998</v>
      </c>
      <c r="V318" s="7">
        <v>793425.80100000009</v>
      </c>
      <c r="W318" s="7">
        <v>551716.94999999995</v>
      </c>
      <c r="X318" s="7">
        <v>212146.69900000008</v>
      </c>
      <c r="Y318" s="7">
        <v>11447800.703999998</v>
      </c>
      <c r="Z318" s="8">
        <v>1.451369389739255E-4</v>
      </c>
      <c r="AA318" s="8">
        <v>4.3407781159413487E-5</v>
      </c>
      <c r="AB318" s="8">
        <v>2.4506833716716191E-5</v>
      </c>
      <c r="AC318" s="8">
        <v>4.7855253303697511E-5</v>
      </c>
      <c r="AD318" s="8">
        <v>4.1631177874725503E-5</v>
      </c>
      <c r="AE318" s="8">
        <v>6.0998432938748675E-5</v>
      </c>
      <c r="AF318" s="8">
        <v>1.226492549156115E-4</v>
      </c>
      <c r="AG318" s="8">
        <v>3.0878753840776595E-4</v>
      </c>
      <c r="AH318" s="8">
        <v>1.0331384598569974E-3</v>
      </c>
      <c r="AI318" s="8">
        <v>3.8888184633030735E-3</v>
      </c>
      <c r="AJ318" s="8">
        <v>1.9671900815089525E-4</v>
      </c>
    </row>
    <row r="319" spans="1:36" x14ac:dyDescent="0.2">
      <c r="A319" t="s">
        <v>368</v>
      </c>
      <c r="B319">
        <v>2010</v>
      </c>
      <c r="C319" t="s">
        <v>370</v>
      </c>
      <c r="D319" s="7">
        <v>147</v>
      </c>
      <c r="E319" s="7">
        <v>55</v>
      </c>
      <c r="F319" s="7">
        <v>70</v>
      </c>
      <c r="G319" s="7">
        <v>54</v>
      </c>
      <c r="H319" s="7">
        <v>66</v>
      </c>
      <c r="I319" s="7">
        <v>68</v>
      </c>
      <c r="J319" s="7">
        <v>159</v>
      </c>
      <c r="K319" s="7">
        <v>244</v>
      </c>
      <c r="L319" s="7">
        <v>532</v>
      </c>
      <c r="M319" s="7">
        <v>893</v>
      </c>
      <c r="N319" s="7">
        <v>2288</v>
      </c>
      <c r="O319" s="7">
        <v>726477.375</v>
      </c>
      <c r="P319" s="7">
        <v>1541504.4309999992</v>
      </c>
      <c r="Q319" s="7">
        <v>1609349.0590000004</v>
      </c>
      <c r="R319" s="7">
        <v>1417909.774</v>
      </c>
      <c r="S319" s="7">
        <v>1547276.2580000001</v>
      </c>
      <c r="T319" s="7">
        <v>1744555</v>
      </c>
      <c r="U319" s="7">
        <v>1363843.2189999996</v>
      </c>
      <c r="V319" s="7">
        <v>816479.38199999998</v>
      </c>
      <c r="W319" s="7">
        <v>550267.62499999988</v>
      </c>
      <c r="X319" s="7">
        <v>217122.41199999998</v>
      </c>
      <c r="Y319" s="7">
        <v>11534784.535</v>
      </c>
      <c r="Z319" s="8">
        <v>2.023462877973316E-4</v>
      </c>
      <c r="AA319" s="8">
        <v>3.5679430362921889E-5</v>
      </c>
      <c r="AB319" s="8">
        <v>4.3495846726685778E-5</v>
      </c>
      <c r="AC319" s="8">
        <v>3.8084228623139459E-5</v>
      </c>
      <c r="AD319" s="8">
        <v>4.2655601841465076E-5</v>
      </c>
      <c r="AE319" s="8">
        <v>3.8978421431253242E-5</v>
      </c>
      <c r="AF319" s="8">
        <v>1.1658231517005478E-4</v>
      </c>
      <c r="AG319" s="8">
        <v>2.9884404355969398E-4</v>
      </c>
      <c r="AH319" s="8">
        <v>9.6680229006749238E-4</v>
      </c>
      <c r="AI319" s="8">
        <v>4.1128872499813611E-3</v>
      </c>
      <c r="AJ319" s="8">
        <v>1.9835654433401169E-4</v>
      </c>
    </row>
    <row r="320" spans="1:36" x14ac:dyDescent="0.2">
      <c r="A320" t="s">
        <v>368</v>
      </c>
      <c r="B320">
        <v>2011</v>
      </c>
      <c r="C320" t="s">
        <v>371</v>
      </c>
      <c r="D320" s="7">
        <v>105</v>
      </c>
      <c r="E320" s="7">
        <v>51</v>
      </c>
      <c r="F320" s="7">
        <v>49</v>
      </c>
      <c r="G320" s="7">
        <v>40</v>
      </c>
      <c r="H320" s="7">
        <v>50</v>
      </c>
      <c r="I320" s="7">
        <v>112</v>
      </c>
      <c r="J320" s="7">
        <v>182</v>
      </c>
      <c r="K320" s="7">
        <v>275</v>
      </c>
      <c r="L320" s="7">
        <v>592</v>
      </c>
      <c r="M320" s="7">
        <v>1025</v>
      </c>
      <c r="N320" s="7">
        <v>2481</v>
      </c>
      <c r="O320" s="7">
        <v>721185.43500000017</v>
      </c>
      <c r="P320" s="7">
        <v>1526174.8810000001</v>
      </c>
      <c r="Q320" s="7">
        <v>1583513.452</v>
      </c>
      <c r="R320" s="7">
        <v>1416327.943</v>
      </c>
      <c r="S320" s="7">
        <v>1511343.8790000002</v>
      </c>
      <c r="T320" s="7">
        <v>1737508.041999999</v>
      </c>
      <c r="U320" s="7">
        <v>1410430.5420000001</v>
      </c>
      <c r="V320" s="7">
        <v>834780.49200000032</v>
      </c>
      <c r="W320" s="7">
        <v>545482.70199999993</v>
      </c>
      <c r="X320" s="7">
        <v>222925.99999999991</v>
      </c>
      <c r="Y320" s="7">
        <v>11509673.367999999</v>
      </c>
      <c r="Z320" s="8">
        <v>1.455936225334334E-4</v>
      </c>
      <c r="AA320" s="8">
        <v>3.3416878127743209E-5</v>
      </c>
      <c r="AB320" s="8">
        <v>3.0943848274930853E-5</v>
      </c>
      <c r="AC320" s="8">
        <v>2.824204676444769E-5</v>
      </c>
      <c r="AD320" s="8">
        <v>3.3083139247623206E-5</v>
      </c>
      <c r="AE320" s="8">
        <v>6.4460133301644926E-5</v>
      </c>
      <c r="AF320" s="8">
        <v>1.2903861238138163E-4</v>
      </c>
      <c r="AG320" s="8">
        <v>3.2942791863899943E-4</v>
      </c>
      <c r="AH320" s="8">
        <v>1.0852773109567828E-3</v>
      </c>
      <c r="AI320" s="8">
        <v>4.5979383293110734E-3</v>
      </c>
      <c r="AJ320" s="8">
        <v>2.1555781130139194E-4</v>
      </c>
    </row>
    <row r="321" spans="1:36" x14ac:dyDescent="0.2">
      <c r="A321" t="s">
        <v>368</v>
      </c>
      <c r="B321">
        <v>2012</v>
      </c>
      <c r="C321" t="s">
        <v>372</v>
      </c>
      <c r="D321" s="7">
        <v>123</v>
      </c>
      <c r="E321" s="7">
        <v>55</v>
      </c>
      <c r="F321" s="7">
        <v>78</v>
      </c>
      <c r="G321" s="7">
        <v>48</v>
      </c>
      <c r="H321" s="7">
        <v>73</v>
      </c>
      <c r="I321" s="7">
        <v>55</v>
      </c>
      <c r="J321" s="7">
        <v>178</v>
      </c>
      <c r="K321" s="7">
        <v>254</v>
      </c>
      <c r="L321" s="7">
        <v>574</v>
      </c>
      <c r="M321" s="7">
        <v>1053</v>
      </c>
      <c r="N321" s="7">
        <v>2491</v>
      </c>
      <c r="O321" s="7">
        <v>709745.28700000048</v>
      </c>
      <c r="P321" s="7">
        <v>1517063.5919999992</v>
      </c>
      <c r="Q321" s="7">
        <v>1581627.3310000002</v>
      </c>
      <c r="R321" s="7">
        <v>1419234.1360000002</v>
      </c>
      <c r="S321" s="7">
        <v>1482186.0379999999</v>
      </c>
      <c r="T321" s="7">
        <v>1725947.6620000005</v>
      </c>
      <c r="U321" s="7">
        <v>1456512.14</v>
      </c>
      <c r="V321" s="7">
        <v>860796.2420000002</v>
      </c>
      <c r="W321" s="7">
        <v>543868.14499999979</v>
      </c>
      <c r="X321" s="7">
        <v>231179.12599999993</v>
      </c>
      <c r="Y321" s="7">
        <v>11528159.699000001</v>
      </c>
      <c r="Z321" s="8">
        <v>1.7330160869388051E-4</v>
      </c>
      <c r="AA321" s="8">
        <v>3.6254248200295632E-5</v>
      </c>
      <c r="AB321" s="8">
        <v>4.931629497745445E-5</v>
      </c>
      <c r="AC321" s="8">
        <v>3.3821057979400232E-5</v>
      </c>
      <c r="AD321" s="8">
        <v>4.9251577149183751E-5</v>
      </c>
      <c r="AE321" s="8">
        <v>3.1866551466726914E-5</v>
      </c>
      <c r="AF321" s="8">
        <v>1.2220976064092402E-4</v>
      </c>
      <c r="AG321" s="8">
        <v>2.9507563765595522E-4</v>
      </c>
      <c r="AH321" s="8">
        <v>1.0554028679138768E-3</v>
      </c>
      <c r="AI321" s="8">
        <v>4.5549095120292144E-3</v>
      </c>
      <c r="AJ321" s="8">
        <v>2.1607958815977188E-4</v>
      </c>
    </row>
    <row r="322" spans="1:36" x14ac:dyDescent="0.2">
      <c r="A322" t="s">
        <v>368</v>
      </c>
      <c r="B322">
        <v>2013</v>
      </c>
      <c r="C322" t="s">
        <v>373</v>
      </c>
      <c r="D322" s="7">
        <v>125</v>
      </c>
      <c r="E322" s="7">
        <v>63</v>
      </c>
      <c r="F322" s="7">
        <v>49</v>
      </c>
      <c r="G322" s="7">
        <v>56</v>
      </c>
      <c r="H322" s="7">
        <v>50</v>
      </c>
      <c r="I322" s="7">
        <v>87</v>
      </c>
      <c r="J322" s="7">
        <v>217</v>
      </c>
      <c r="K322" s="7">
        <v>310</v>
      </c>
      <c r="L322" s="7">
        <v>641</v>
      </c>
      <c r="M322" s="7">
        <v>1054</v>
      </c>
      <c r="N322" s="7">
        <v>2652</v>
      </c>
      <c r="O322" s="7">
        <v>684568.5689999999</v>
      </c>
      <c r="P322" s="7">
        <v>1464604.2040000004</v>
      </c>
      <c r="Q322" s="7">
        <v>1540678.3189999997</v>
      </c>
      <c r="R322" s="7">
        <v>1387388.9090000005</v>
      </c>
      <c r="S322" s="7">
        <v>1412860.5659999999</v>
      </c>
      <c r="T322" s="7">
        <v>1650753.4070000001</v>
      </c>
      <c r="U322" s="7">
        <v>1449705.041</v>
      </c>
      <c r="V322" s="7">
        <v>861203.74100000027</v>
      </c>
      <c r="W322" s="7">
        <v>523947.41699999984</v>
      </c>
      <c r="X322" s="7">
        <v>229450.06400000007</v>
      </c>
      <c r="Y322" s="7">
        <v>11205160.236999998</v>
      </c>
      <c r="Z322" s="8">
        <v>1.8259675605994703E-4</v>
      </c>
      <c r="AA322" s="8">
        <v>4.3015034251533515E-5</v>
      </c>
      <c r="AB322" s="8">
        <v>3.1804173133171749E-5</v>
      </c>
      <c r="AC322" s="8">
        <v>4.0363592094997773E-5</v>
      </c>
      <c r="AD322" s="8">
        <v>3.5389196360371772E-5</v>
      </c>
      <c r="AE322" s="8">
        <v>5.2703207899543047E-5</v>
      </c>
      <c r="AF322" s="8">
        <v>1.4968562146291109E-4</v>
      </c>
      <c r="AG322" s="8">
        <v>3.5996127889555916E-4</v>
      </c>
      <c r="AH322" s="8">
        <v>1.2234052105270714E-3</v>
      </c>
      <c r="AI322" s="8">
        <v>4.593592094182199E-3</v>
      </c>
      <c r="AJ322" s="8">
        <v>2.3667666895498413E-4</v>
      </c>
    </row>
    <row r="323" spans="1:36" x14ac:dyDescent="0.2">
      <c r="A323" t="s">
        <v>368</v>
      </c>
      <c r="B323">
        <v>2014</v>
      </c>
      <c r="C323" t="s">
        <v>374</v>
      </c>
      <c r="D323" s="7">
        <v>128</v>
      </c>
      <c r="E323" s="7">
        <v>50</v>
      </c>
      <c r="F323" s="7">
        <v>36</v>
      </c>
      <c r="G323" s="7">
        <v>71</v>
      </c>
      <c r="H323" s="7">
        <v>49</v>
      </c>
      <c r="I323" s="7">
        <v>103</v>
      </c>
      <c r="J323" s="7">
        <v>230</v>
      </c>
      <c r="K323" s="7">
        <v>360</v>
      </c>
      <c r="L323" s="7">
        <v>590</v>
      </c>
      <c r="M323" s="7">
        <v>1075</v>
      </c>
      <c r="N323" s="7">
        <v>2692</v>
      </c>
      <c r="O323" s="7">
        <v>706797.50400000007</v>
      </c>
      <c r="P323" s="7">
        <v>1515072.8499999992</v>
      </c>
      <c r="Q323" s="7">
        <v>1591910.7579999994</v>
      </c>
      <c r="R323" s="7">
        <v>1453888.9000000001</v>
      </c>
      <c r="S323" s="7">
        <v>1453508.3530000001</v>
      </c>
      <c r="T323" s="7">
        <v>1689875.1310000001</v>
      </c>
      <c r="U323" s="7">
        <v>1546199.6759999995</v>
      </c>
      <c r="V323" s="7">
        <v>935704.29999999981</v>
      </c>
      <c r="W323" s="7">
        <v>544183.68199999968</v>
      </c>
      <c r="X323" s="7">
        <v>243441.17499999996</v>
      </c>
      <c r="Y323" s="7">
        <v>11680582.329</v>
      </c>
      <c r="Z323" s="8">
        <v>1.8109854558852543E-4</v>
      </c>
      <c r="AA323" s="8">
        <v>3.3001713415958861E-5</v>
      </c>
      <c r="AB323" s="8">
        <v>2.2614333007730082E-5</v>
      </c>
      <c r="AC323" s="8">
        <v>4.8834542997061188E-5</v>
      </c>
      <c r="AD323" s="8">
        <v>3.371153657209151E-5</v>
      </c>
      <c r="AE323" s="8">
        <v>6.095124906598794E-5</v>
      </c>
      <c r="AF323" s="8">
        <v>1.4875180972421837E-4</v>
      </c>
      <c r="AG323" s="8">
        <v>3.8473693024601905E-4</v>
      </c>
      <c r="AH323" s="8">
        <v>1.0841927450518452E-3</v>
      </c>
      <c r="AI323" s="8">
        <v>4.4158511804751194E-3</v>
      </c>
      <c r="AJ323" s="8">
        <v>2.3046796162862782E-4</v>
      </c>
    </row>
    <row r="324" spans="1:36" x14ac:dyDescent="0.2">
      <c r="A324" t="s">
        <v>368</v>
      </c>
      <c r="B324">
        <v>2015</v>
      </c>
      <c r="C324" t="s">
        <v>375</v>
      </c>
      <c r="D324" s="7">
        <v>106</v>
      </c>
      <c r="E324" s="7">
        <v>74</v>
      </c>
      <c r="F324" s="7">
        <v>55</v>
      </c>
      <c r="G324" s="7">
        <v>61</v>
      </c>
      <c r="H324" s="7">
        <v>74</v>
      </c>
      <c r="I324" s="7">
        <v>71</v>
      </c>
      <c r="J324" s="7">
        <v>204</v>
      </c>
      <c r="K324" s="7">
        <v>361</v>
      </c>
      <c r="L324" s="7">
        <v>596</v>
      </c>
      <c r="M324" s="7">
        <v>1136</v>
      </c>
      <c r="N324" s="7">
        <v>2738</v>
      </c>
      <c r="O324" s="7">
        <v>671118.64900000033</v>
      </c>
      <c r="P324" s="7">
        <v>1431756.8910000001</v>
      </c>
      <c r="Q324" s="7">
        <v>1503640.6449999993</v>
      </c>
      <c r="R324" s="7">
        <v>1402073.787</v>
      </c>
      <c r="S324" s="7">
        <v>1372822.2909999997</v>
      </c>
      <c r="T324" s="7">
        <v>1577383.2859999998</v>
      </c>
      <c r="U324" s="7">
        <v>1495432.4939999997</v>
      </c>
      <c r="V324" s="7">
        <v>927510.96699999983</v>
      </c>
      <c r="W324" s="7">
        <v>518383.00200000004</v>
      </c>
      <c r="X324" s="7">
        <v>239216.12199999997</v>
      </c>
      <c r="Y324" s="7">
        <v>11139338.133999998</v>
      </c>
      <c r="Z324" s="8">
        <v>1.5794524583387034E-4</v>
      </c>
      <c r="AA324" s="8">
        <v>5.1684752114805781E-5</v>
      </c>
      <c r="AB324" s="8">
        <v>3.6577888595183606E-5</v>
      </c>
      <c r="AC324" s="8">
        <v>4.3506982703471657E-5</v>
      </c>
      <c r="AD324" s="8">
        <v>5.3903553639194232E-5</v>
      </c>
      <c r="AE324" s="8">
        <v>4.5011254163878596E-5</v>
      </c>
      <c r="AF324" s="8">
        <v>1.3641538539418686E-4</v>
      </c>
      <c r="AG324" s="8">
        <v>3.892137266771532E-4</v>
      </c>
      <c r="AH324" s="8">
        <v>1.1497290568952721E-3</v>
      </c>
      <c r="AI324" s="8">
        <v>4.7488438091141706E-3</v>
      </c>
      <c r="AJ324" s="8">
        <v>2.4579557304602783E-4</v>
      </c>
    </row>
    <row r="325" spans="1:36" x14ac:dyDescent="0.2">
      <c r="A325" t="s">
        <v>368</v>
      </c>
      <c r="B325">
        <v>2016</v>
      </c>
      <c r="C325" t="s">
        <v>376</v>
      </c>
      <c r="D325" s="7">
        <v>121</v>
      </c>
      <c r="E325" s="7">
        <v>51</v>
      </c>
      <c r="F325" s="7">
        <v>50</v>
      </c>
      <c r="G325" s="7">
        <v>52</v>
      </c>
      <c r="H325" s="7">
        <v>45</v>
      </c>
      <c r="I325" s="7">
        <v>65</v>
      </c>
      <c r="J325" s="7">
        <v>217</v>
      </c>
      <c r="K325" s="7">
        <v>355</v>
      </c>
      <c r="L325" s="7">
        <v>539</v>
      </c>
      <c r="M325" s="7">
        <v>879</v>
      </c>
      <c r="N325" s="7">
        <v>2374</v>
      </c>
      <c r="O325" s="7">
        <v>699170.72600000014</v>
      </c>
      <c r="P325" s="7">
        <v>1483374.2489999996</v>
      </c>
      <c r="Q325" s="7">
        <v>1579499.1119999995</v>
      </c>
      <c r="R325" s="7">
        <v>1478932.1680000003</v>
      </c>
      <c r="S325" s="7">
        <v>1410659.058</v>
      </c>
      <c r="T325" s="7">
        <v>1608411.48</v>
      </c>
      <c r="U325" s="7">
        <v>1579778.0669999998</v>
      </c>
      <c r="V325" s="7">
        <v>1016508.1090000001</v>
      </c>
      <c r="W325" s="7">
        <v>545548.36900000006</v>
      </c>
      <c r="X325" s="7">
        <v>252234.98099999997</v>
      </c>
      <c r="Y325" s="7">
        <v>11654116.319</v>
      </c>
      <c r="Z325" s="8">
        <v>1.7306216564908064E-4</v>
      </c>
      <c r="AA325" s="8">
        <v>3.4381074118268592E-5</v>
      </c>
      <c r="AB325" s="8">
        <v>3.1655605008026121E-5</v>
      </c>
      <c r="AC325" s="8">
        <v>3.5160503723656911E-5</v>
      </c>
      <c r="AD325" s="8">
        <v>3.1899983021978374E-5</v>
      </c>
      <c r="AE325" s="8">
        <v>4.0412544183034557E-5</v>
      </c>
      <c r="AF325" s="8">
        <v>1.3736106642630078E-4</v>
      </c>
      <c r="AG325" s="8">
        <v>3.4923479395480156E-4</v>
      </c>
      <c r="AH325" s="8">
        <v>9.8799672151526474E-4</v>
      </c>
      <c r="AI325" s="8">
        <v>3.4848457438978304E-3</v>
      </c>
      <c r="AJ325" s="8">
        <v>2.0370484857179671E-4</v>
      </c>
    </row>
    <row r="326" spans="1:36" x14ac:dyDescent="0.2">
      <c r="A326" t="s">
        <v>368</v>
      </c>
      <c r="B326">
        <v>2017</v>
      </c>
      <c r="C326" t="s">
        <v>377</v>
      </c>
      <c r="D326" s="7">
        <v>113</v>
      </c>
      <c r="E326" s="7">
        <v>46</v>
      </c>
      <c r="F326" s="7">
        <v>47</v>
      </c>
      <c r="G326" s="7">
        <v>65</v>
      </c>
      <c r="H326" s="7">
        <v>35</v>
      </c>
      <c r="I326" s="7">
        <v>79</v>
      </c>
      <c r="J326" s="7">
        <v>207</v>
      </c>
      <c r="K326" s="7">
        <v>381</v>
      </c>
      <c r="L326" s="7">
        <v>544</v>
      </c>
      <c r="M326" s="7">
        <v>963</v>
      </c>
      <c r="N326" s="7">
        <v>2480</v>
      </c>
      <c r="O326" s="7">
        <v>678140</v>
      </c>
      <c r="P326" s="7">
        <v>1427695</v>
      </c>
      <c r="Q326" s="7">
        <v>1519736</v>
      </c>
      <c r="R326" s="7">
        <v>1448875</v>
      </c>
      <c r="S326" s="7">
        <v>1360397</v>
      </c>
      <c r="T326" s="7">
        <v>1532033</v>
      </c>
      <c r="U326" s="7">
        <v>1544596</v>
      </c>
      <c r="V326" s="7">
        <v>1015171</v>
      </c>
      <c r="W326" s="7">
        <v>532275</v>
      </c>
      <c r="X326" s="7">
        <v>246935</v>
      </c>
      <c r="Y326" s="7">
        <v>11305853</v>
      </c>
      <c r="Z326" s="8">
        <v>1.6663225882561123E-4</v>
      </c>
      <c r="AA326" s="8">
        <v>3.2219766826948332E-5</v>
      </c>
      <c r="AB326" s="8">
        <v>3.0926424063126751E-5</v>
      </c>
      <c r="AC326" s="8">
        <v>4.4862393236131481E-5</v>
      </c>
      <c r="AD326" s="8">
        <v>2.5727783874854179E-5</v>
      </c>
      <c r="AE326" s="8">
        <v>5.1565468890030439E-5</v>
      </c>
      <c r="AF326" s="8">
        <v>1.340156260925187E-4</v>
      </c>
      <c r="AG326" s="8">
        <v>3.7530622919685453E-4</v>
      </c>
      <c r="AH326" s="8">
        <v>1.0220280869851111E-3</v>
      </c>
      <c r="AI326" s="8">
        <v>3.8998116913357768E-3</v>
      </c>
      <c r="AJ326" s="8">
        <v>2.1935540821201195E-4</v>
      </c>
    </row>
    <row r="327" spans="1:36" x14ac:dyDescent="0.2">
      <c r="A327" t="s">
        <v>378</v>
      </c>
      <c r="B327">
        <v>2009</v>
      </c>
      <c r="C327" t="s">
        <v>379</v>
      </c>
      <c r="D327" s="7">
        <v>113</v>
      </c>
      <c r="E327" s="7">
        <v>62</v>
      </c>
      <c r="F327" s="7">
        <v>61</v>
      </c>
      <c r="G327" s="7">
        <v>62</v>
      </c>
      <c r="H327" s="7">
        <v>63</v>
      </c>
      <c r="I327" s="7">
        <v>54</v>
      </c>
      <c r="J327" s="7">
        <v>67</v>
      </c>
      <c r="K327" s="7">
        <v>103</v>
      </c>
      <c r="L327" s="7">
        <v>234</v>
      </c>
      <c r="M327" s="7">
        <v>326</v>
      </c>
      <c r="N327" s="7">
        <v>1145</v>
      </c>
      <c r="O327" s="7">
        <v>259936.95599999998</v>
      </c>
      <c r="P327" s="7">
        <v>487396.3820000001</v>
      </c>
      <c r="Q327" s="7">
        <v>538257.12199999997</v>
      </c>
      <c r="R327" s="7">
        <v>479318.57400000014</v>
      </c>
      <c r="S327" s="7">
        <v>463805.64600000012</v>
      </c>
      <c r="T327" s="7">
        <v>503769.92899999983</v>
      </c>
      <c r="U327" s="7">
        <v>394332.39499999984</v>
      </c>
      <c r="V327" s="7">
        <v>253936.83899999998</v>
      </c>
      <c r="W327" s="7">
        <v>165705.70200000002</v>
      </c>
      <c r="X327" s="7">
        <v>61246.726999999992</v>
      </c>
      <c r="Y327" s="7">
        <v>3607706.2720000003</v>
      </c>
      <c r="Z327" s="8">
        <v>4.3472079437600252E-4</v>
      </c>
      <c r="AA327" s="8">
        <v>1.2720652489373627E-4</v>
      </c>
      <c r="AB327" s="8">
        <v>1.1332873733902959E-4</v>
      </c>
      <c r="AC327" s="8">
        <v>1.2935029719920676E-4</v>
      </c>
      <c r="AD327" s="8">
        <v>1.3583275784443552E-4</v>
      </c>
      <c r="AE327" s="8">
        <v>1.0719178913118496E-4</v>
      </c>
      <c r="AF327" s="8">
        <v>1.6990742036296569E-4</v>
      </c>
      <c r="AG327" s="8">
        <v>4.0561267284263552E-4</v>
      </c>
      <c r="AH327" s="8">
        <v>1.4121421120439172E-3</v>
      </c>
      <c r="AI327" s="8">
        <v>5.3227334090848646E-3</v>
      </c>
      <c r="AJ327" s="8">
        <v>3.173761702515897E-4</v>
      </c>
    </row>
    <row r="328" spans="1:36" x14ac:dyDescent="0.2">
      <c r="A328" t="s">
        <v>378</v>
      </c>
      <c r="B328">
        <v>2010</v>
      </c>
      <c r="C328" t="s">
        <v>380</v>
      </c>
      <c r="D328" s="7">
        <v>117</v>
      </c>
      <c r="E328" s="7">
        <v>61</v>
      </c>
      <c r="F328" s="7">
        <v>64</v>
      </c>
      <c r="G328" s="7">
        <v>61</v>
      </c>
      <c r="H328" s="7">
        <v>51</v>
      </c>
      <c r="I328" s="7">
        <v>49</v>
      </c>
      <c r="J328" s="7">
        <v>68</v>
      </c>
      <c r="K328" s="7">
        <v>97</v>
      </c>
      <c r="L328" s="7">
        <v>225</v>
      </c>
      <c r="M328" s="7">
        <v>298</v>
      </c>
      <c r="N328" s="7">
        <v>1091</v>
      </c>
      <c r="O328" s="7">
        <v>253691.26199999999</v>
      </c>
      <c r="P328" s="7">
        <v>495009.16200000019</v>
      </c>
      <c r="Q328" s="7">
        <v>531910.56500000006</v>
      </c>
      <c r="R328" s="7">
        <v>478243.87999999989</v>
      </c>
      <c r="S328" s="7">
        <v>462068.84799999994</v>
      </c>
      <c r="T328" s="7">
        <v>513481.03099999996</v>
      </c>
      <c r="U328" s="7">
        <v>411578.30099999986</v>
      </c>
      <c r="V328" s="7">
        <v>263520.82699999993</v>
      </c>
      <c r="W328" s="7">
        <v>159518.79100000003</v>
      </c>
      <c r="X328" s="7">
        <v>58958.001999999986</v>
      </c>
      <c r="Y328" s="7">
        <v>3627980.6689999998</v>
      </c>
      <c r="Z328" s="8">
        <v>4.6119050012845931E-4</v>
      </c>
      <c r="AA328" s="8">
        <v>1.232300423562665E-4</v>
      </c>
      <c r="AB328" s="8">
        <v>1.203209791480641E-4</v>
      </c>
      <c r="AC328" s="8">
        <v>1.2754998558476066E-4</v>
      </c>
      <c r="AD328" s="8">
        <v>1.1037316239938341E-4</v>
      </c>
      <c r="AE328" s="8">
        <v>9.5427088912267922E-5</v>
      </c>
      <c r="AF328" s="8">
        <v>1.6521765077211887E-4</v>
      </c>
      <c r="AG328" s="8">
        <v>3.6809234816191595E-4</v>
      </c>
      <c r="AH328" s="8">
        <v>1.4104921344344941E-3</v>
      </c>
      <c r="AI328" s="8">
        <v>5.0544453660420867E-3</v>
      </c>
      <c r="AJ328" s="8">
        <v>3.0071825060212304E-4</v>
      </c>
    </row>
    <row r="329" spans="1:36" x14ac:dyDescent="0.2">
      <c r="A329" t="s">
        <v>378</v>
      </c>
      <c r="B329">
        <v>2011</v>
      </c>
      <c r="C329" t="s">
        <v>381</v>
      </c>
      <c r="D329" s="7">
        <v>97</v>
      </c>
      <c r="E329" s="7">
        <v>62</v>
      </c>
      <c r="F329" s="7">
        <v>60</v>
      </c>
      <c r="G329" s="7">
        <v>48</v>
      </c>
      <c r="H329" s="7">
        <v>59</v>
      </c>
      <c r="I329" s="7">
        <v>57</v>
      </c>
      <c r="J329" s="7">
        <v>66</v>
      </c>
      <c r="K329" s="7">
        <v>136</v>
      </c>
      <c r="L329" s="7">
        <v>219</v>
      </c>
      <c r="M329" s="7">
        <v>326</v>
      </c>
      <c r="N329" s="7">
        <v>1130</v>
      </c>
      <c r="O329" s="7">
        <v>249085.32100000003</v>
      </c>
      <c r="P329" s="7">
        <v>484414.89799999999</v>
      </c>
      <c r="Q329" s="7">
        <v>514073.35299999994</v>
      </c>
      <c r="R329" s="7">
        <v>476725.69599999988</v>
      </c>
      <c r="S329" s="7">
        <v>447929.67700000008</v>
      </c>
      <c r="T329" s="7">
        <v>500258.96900000004</v>
      </c>
      <c r="U329" s="7">
        <v>410341.72799999994</v>
      </c>
      <c r="V329" s="7">
        <v>259944.22200000001</v>
      </c>
      <c r="W329" s="7">
        <v>155253.84099999996</v>
      </c>
      <c r="X329" s="7">
        <v>56959.438999999998</v>
      </c>
      <c r="Y329" s="7">
        <v>3554987.1439999999</v>
      </c>
      <c r="Z329" s="8">
        <v>3.8942479472726531E-4</v>
      </c>
      <c r="AA329" s="8">
        <v>1.2798945750012834E-4</v>
      </c>
      <c r="AB329" s="8">
        <v>1.1671486111827314E-4</v>
      </c>
      <c r="AC329" s="8">
        <v>1.0068683186735547E-4</v>
      </c>
      <c r="AD329" s="8">
        <v>1.3171710433466097E-4</v>
      </c>
      <c r="AE329" s="8">
        <v>1.139409856337828E-4</v>
      </c>
      <c r="AF329" s="8">
        <v>1.6084155106935654E-4</v>
      </c>
      <c r="AG329" s="8">
        <v>5.2318916325056841E-4</v>
      </c>
      <c r="AH329" s="8">
        <v>1.4105931202049943E-3</v>
      </c>
      <c r="AI329" s="8">
        <v>5.7233709763187804E-3</v>
      </c>
      <c r="AJ329" s="8">
        <v>3.1786331545732307E-4</v>
      </c>
    </row>
    <row r="330" spans="1:36" x14ac:dyDescent="0.2">
      <c r="A330" t="s">
        <v>378</v>
      </c>
      <c r="B330">
        <v>2012</v>
      </c>
      <c r="C330" t="s">
        <v>382</v>
      </c>
      <c r="D330" s="7">
        <v>131</v>
      </c>
      <c r="E330" s="7">
        <v>48</v>
      </c>
      <c r="F330" s="7">
        <v>36</v>
      </c>
      <c r="G330" s="7">
        <v>51</v>
      </c>
      <c r="H330" s="7">
        <v>50</v>
      </c>
      <c r="I330" s="7">
        <v>45</v>
      </c>
      <c r="J330" s="7">
        <v>78</v>
      </c>
      <c r="K330" s="7">
        <v>61</v>
      </c>
      <c r="L330" s="7">
        <v>121</v>
      </c>
      <c r="M330" s="7">
        <v>229</v>
      </c>
      <c r="N330" s="7">
        <v>850</v>
      </c>
      <c r="O330" s="7">
        <v>261669.72699999998</v>
      </c>
      <c r="P330" s="7">
        <v>515039.37199999997</v>
      </c>
      <c r="Q330" s="7">
        <v>539611.08299999998</v>
      </c>
      <c r="R330" s="7">
        <v>505694.50500000006</v>
      </c>
      <c r="S330" s="7">
        <v>466360.93800000002</v>
      </c>
      <c r="T330" s="7">
        <v>521417.45700000005</v>
      </c>
      <c r="U330" s="7">
        <v>443289.52199999994</v>
      </c>
      <c r="V330" s="7">
        <v>283718.48200000002</v>
      </c>
      <c r="W330" s="7">
        <v>164651.64499999996</v>
      </c>
      <c r="X330" s="7">
        <v>62585.974999999984</v>
      </c>
      <c r="Y330" s="7">
        <v>3764038.7059999998</v>
      </c>
      <c r="Z330" s="8">
        <v>5.0063108752354838E-4</v>
      </c>
      <c r="AA330" s="8">
        <v>9.3196758557712758E-5</v>
      </c>
      <c r="AB330" s="8">
        <v>6.6714715716837859E-5</v>
      </c>
      <c r="AC330" s="8">
        <v>1.0085140236989523E-4</v>
      </c>
      <c r="AD330" s="8">
        <v>1.0721309596473965E-4</v>
      </c>
      <c r="AE330" s="8">
        <v>8.6303209445478908E-5</v>
      </c>
      <c r="AF330" s="8">
        <v>1.7595723816815146E-4</v>
      </c>
      <c r="AG330" s="8">
        <v>2.150018552545336E-4</v>
      </c>
      <c r="AH330" s="8">
        <v>7.3488485341279182E-4</v>
      </c>
      <c r="AI330" s="8">
        <v>3.6589667253725785E-3</v>
      </c>
      <c r="AJ330" s="8">
        <v>2.258212697560927E-4</v>
      </c>
    </row>
    <row r="331" spans="1:36" x14ac:dyDescent="0.2">
      <c r="A331" t="s">
        <v>378</v>
      </c>
      <c r="B331">
        <v>2013</v>
      </c>
      <c r="C331" t="s">
        <v>383</v>
      </c>
      <c r="D331" s="7">
        <v>99</v>
      </c>
      <c r="E331" s="7">
        <v>35</v>
      </c>
      <c r="F331" s="7">
        <v>42</v>
      </c>
      <c r="G331" s="7">
        <v>59</v>
      </c>
      <c r="H331" s="7">
        <v>47</v>
      </c>
      <c r="I331" s="7">
        <v>52</v>
      </c>
      <c r="J331" s="7">
        <v>86</v>
      </c>
      <c r="K331" s="7">
        <v>89</v>
      </c>
      <c r="L331" s="7">
        <v>162</v>
      </c>
      <c r="M331" s="7">
        <v>305</v>
      </c>
      <c r="N331" s="7">
        <v>976</v>
      </c>
      <c r="O331" s="7">
        <v>262648.57099999994</v>
      </c>
      <c r="P331" s="7">
        <v>517875.44099999993</v>
      </c>
      <c r="Q331" s="7">
        <v>537019.57399999991</v>
      </c>
      <c r="R331" s="7">
        <v>508554.56900000002</v>
      </c>
      <c r="S331" s="7">
        <v>463267.72200000007</v>
      </c>
      <c r="T331" s="7">
        <v>514688.61499999999</v>
      </c>
      <c r="U331" s="7">
        <v>453950.14999999991</v>
      </c>
      <c r="V331" s="7">
        <v>293302.81199999986</v>
      </c>
      <c r="W331" s="7">
        <v>167949.88799999995</v>
      </c>
      <c r="X331" s="7">
        <v>64267.123000000007</v>
      </c>
      <c r="Y331" s="7">
        <v>3783524.4649999994</v>
      </c>
      <c r="Z331" s="8">
        <v>3.7692952077778496E-4</v>
      </c>
      <c r="AA331" s="8">
        <v>6.7583818866591132E-5</v>
      </c>
      <c r="AB331" s="8">
        <v>7.8209439717741097E-5</v>
      </c>
      <c r="AC331" s="8">
        <v>1.1601508195278843E-4</v>
      </c>
      <c r="AD331" s="8">
        <v>1.0145321542604687E-4</v>
      </c>
      <c r="AE331" s="8">
        <v>1.0103196084879399E-4</v>
      </c>
      <c r="AF331" s="8">
        <v>1.8944811451213314E-4</v>
      </c>
      <c r="AG331" s="8">
        <v>3.0344066391017091E-4</v>
      </c>
      <c r="AH331" s="8">
        <v>9.6457343276108677E-4</v>
      </c>
      <c r="AI331" s="8">
        <v>4.7458169241526493E-3</v>
      </c>
      <c r="AJ331" s="8">
        <v>2.5796053627474038E-4</v>
      </c>
    </row>
    <row r="332" spans="1:36" x14ac:dyDescent="0.2">
      <c r="A332" t="s">
        <v>378</v>
      </c>
      <c r="B332">
        <v>2014</v>
      </c>
      <c r="C332" t="s">
        <v>384</v>
      </c>
      <c r="D332" s="7">
        <v>85</v>
      </c>
      <c r="E332" s="7">
        <v>50</v>
      </c>
      <c r="F332" s="7">
        <v>52</v>
      </c>
      <c r="G332" s="7">
        <v>64</v>
      </c>
      <c r="H332" s="7">
        <v>42</v>
      </c>
      <c r="I332" s="7">
        <v>69</v>
      </c>
      <c r="J332" s="7">
        <v>101</v>
      </c>
      <c r="K332" s="7">
        <v>118</v>
      </c>
      <c r="L332" s="7">
        <v>146</v>
      </c>
      <c r="M332" s="7">
        <v>257</v>
      </c>
      <c r="N332" s="7">
        <v>984</v>
      </c>
      <c r="O332" s="7">
        <v>264226.98799999995</v>
      </c>
      <c r="P332" s="7">
        <v>521917.95200000011</v>
      </c>
      <c r="Q332" s="7">
        <v>545357.11499999999</v>
      </c>
      <c r="R332" s="7">
        <v>521115.18000000005</v>
      </c>
      <c r="S332" s="7">
        <v>467235.40899999999</v>
      </c>
      <c r="T332" s="7">
        <v>507676.68800000008</v>
      </c>
      <c r="U332" s="7">
        <v>465727.06199999998</v>
      </c>
      <c r="V332" s="7">
        <v>302851.86499999999</v>
      </c>
      <c r="W332" s="7">
        <v>169488.46800000005</v>
      </c>
      <c r="X332" s="7">
        <v>65831.588999999993</v>
      </c>
      <c r="Y332" s="7">
        <v>3831428.3160000006</v>
      </c>
      <c r="Z332" s="8">
        <v>3.2169310426382339E-4</v>
      </c>
      <c r="AA332" s="8">
        <v>9.5800498542728785E-5</v>
      </c>
      <c r="AB332" s="8">
        <v>9.5350365053915184E-5</v>
      </c>
      <c r="AC332" s="8">
        <v>1.2281353999321225E-4</v>
      </c>
      <c r="AD332" s="8">
        <v>8.989044749388847E-5</v>
      </c>
      <c r="AE332" s="8">
        <v>1.3591327242506749E-4</v>
      </c>
      <c r="AF332" s="8">
        <v>2.1686521621970941E-4</v>
      </c>
      <c r="AG332" s="8">
        <v>3.8962943153742841E-4</v>
      </c>
      <c r="AH332" s="8">
        <v>8.6141553890262286E-4</v>
      </c>
      <c r="AI332" s="8">
        <v>3.9039009069035237E-3</v>
      </c>
      <c r="AJ332" s="8">
        <v>2.5682328334079157E-4</v>
      </c>
    </row>
    <row r="333" spans="1:36" x14ac:dyDescent="0.2">
      <c r="A333" t="s">
        <v>378</v>
      </c>
      <c r="B333">
        <v>2015</v>
      </c>
      <c r="C333" t="s">
        <v>385</v>
      </c>
      <c r="D333" s="7">
        <v>115</v>
      </c>
      <c r="E333" s="7">
        <v>44</v>
      </c>
      <c r="F333" s="7">
        <v>48</v>
      </c>
      <c r="G333" s="7">
        <v>55</v>
      </c>
      <c r="H333" s="7">
        <v>51</v>
      </c>
      <c r="I333" s="7">
        <v>67</v>
      </c>
      <c r="J333" s="7">
        <v>60</v>
      </c>
      <c r="K333" s="7">
        <v>106</v>
      </c>
      <c r="L333" s="7">
        <v>208</v>
      </c>
      <c r="M333" s="7">
        <v>256</v>
      </c>
      <c r="N333" s="7">
        <v>1010</v>
      </c>
      <c r="O333" s="7">
        <v>281914.57500000007</v>
      </c>
      <c r="P333" s="7">
        <v>564790.62699999998</v>
      </c>
      <c r="Q333" s="7">
        <v>583311.16100000031</v>
      </c>
      <c r="R333" s="7">
        <v>559065.89599999983</v>
      </c>
      <c r="S333" s="7">
        <v>503149.68699999992</v>
      </c>
      <c r="T333" s="7">
        <v>539852.40700000001</v>
      </c>
      <c r="U333" s="7">
        <v>512993.65600000013</v>
      </c>
      <c r="V333" s="7">
        <v>341832.76600000012</v>
      </c>
      <c r="W333" s="7">
        <v>187495.08399999994</v>
      </c>
      <c r="X333" s="7">
        <v>73084.448999999993</v>
      </c>
      <c r="Y333" s="7">
        <v>4147490.3080000002</v>
      </c>
      <c r="Z333" s="8">
        <v>4.0792498933409164E-4</v>
      </c>
      <c r="AA333" s="8">
        <v>7.7904975572478831E-5</v>
      </c>
      <c r="AB333" s="8">
        <v>8.2288842061089892E-5</v>
      </c>
      <c r="AC333" s="8">
        <v>9.8378385076810363E-5</v>
      </c>
      <c r="AD333" s="8">
        <v>1.0136148608992379E-4</v>
      </c>
      <c r="AE333" s="8">
        <v>1.2410799531732014E-4</v>
      </c>
      <c r="AF333" s="8">
        <v>1.1696051071633522E-4</v>
      </c>
      <c r="AG333" s="8">
        <v>3.100931523925356E-4</v>
      </c>
      <c r="AH333" s="8">
        <v>1.1093624193368188E-3</v>
      </c>
      <c r="AI333" s="8">
        <v>3.502797154562936E-3</v>
      </c>
      <c r="AJ333" s="8">
        <v>2.4352076195376126E-4</v>
      </c>
    </row>
    <row r="334" spans="1:36" x14ac:dyDescent="0.2">
      <c r="A334" t="s">
        <v>378</v>
      </c>
      <c r="B334">
        <v>2016</v>
      </c>
      <c r="C334" t="s">
        <v>386</v>
      </c>
      <c r="D334" s="7">
        <v>105</v>
      </c>
      <c r="E334" s="7">
        <v>67</v>
      </c>
      <c r="F334" s="7">
        <v>56</v>
      </c>
      <c r="G334" s="7">
        <v>40</v>
      </c>
      <c r="H334" s="7">
        <v>72</v>
      </c>
      <c r="I334" s="7">
        <v>51</v>
      </c>
      <c r="J334" s="7">
        <v>81</v>
      </c>
      <c r="K334" s="7">
        <v>74</v>
      </c>
      <c r="L334" s="7">
        <v>133</v>
      </c>
      <c r="M334" s="7">
        <v>194</v>
      </c>
      <c r="N334" s="7">
        <v>873</v>
      </c>
      <c r="O334" s="7">
        <v>257964.09600000002</v>
      </c>
      <c r="P334" s="7">
        <v>518150.16800000001</v>
      </c>
      <c r="Q334" s="7">
        <v>531803.29899999988</v>
      </c>
      <c r="R334" s="7">
        <v>519585.67800000001</v>
      </c>
      <c r="S334" s="7">
        <v>463157.13499999989</v>
      </c>
      <c r="T334" s="7">
        <v>480310.5140000002</v>
      </c>
      <c r="U334" s="7">
        <v>469936.34599999996</v>
      </c>
      <c r="V334" s="7">
        <v>317663.95899999997</v>
      </c>
      <c r="W334" s="7">
        <v>168819.63800000001</v>
      </c>
      <c r="X334" s="7">
        <v>65483.985999999997</v>
      </c>
      <c r="Y334" s="7">
        <v>3792874.8189999992</v>
      </c>
      <c r="Z334" s="8">
        <v>4.0703338808823999E-4</v>
      </c>
      <c r="AA334" s="8">
        <v>1.293061435425415E-4</v>
      </c>
      <c r="AB334" s="8">
        <v>1.0530209215569386E-4</v>
      </c>
      <c r="AC334" s="8">
        <v>7.6984416033114758E-5</v>
      </c>
      <c r="AD334" s="8">
        <v>1.5545480045341418E-4</v>
      </c>
      <c r="AE334" s="8">
        <v>1.0618131086757759E-4</v>
      </c>
      <c r="AF334" s="8">
        <v>1.7236376945400177E-4</v>
      </c>
      <c r="AG334" s="8">
        <v>2.3295056900049529E-4</v>
      </c>
      <c r="AH334" s="8">
        <v>7.878230375070464E-4</v>
      </c>
      <c r="AI334" s="8">
        <v>2.962556372179299E-3</v>
      </c>
      <c r="AJ334" s="8">
        <v>2.3016841885389948E-4</v>
      </c>
    </row>
    <row r="335" spans="1:36" x14ac:dyDescent="0.2">
      <c r="A335" t="s">
        <v>378</v>
      </c>
      <c r="B335">
        <v>2017</v>
      </c>
      <c r="C335" t="s">
        <v>387</v>
      </c>
      <c r="D335" s="7">
        <v>104</v>
      </c>
      <c r="E335" s="7">
        <v>68</v>
      </c>
      <c r="F335" s="7">
        <v>60</v>
      </c>
      <c r="G335" s="7">
        <v>49</v>
      </c>
      <c r="H335" s="7">
        <v>54</v>
      </c>
      <c r="I335" s="7">
        <v>42</v>
      </c>
      <c r="J335" s="7">
        <v>49</v>
      </c>
      <c r="K335" s="7">
        <v>114</v>
      </c>
      <c r="L335" s="7">
        <v>146</v>
      </c>
      <c r="M335" s="7">
        <v>206</v>
      </c>
      <c r="N335" s="7">
        <v>892</v>
      </c>
      <c r="O335" s="7">
        <v>268809</v>
      </c>
      <c r="P335" s="7">
        <v>546910</v>
      </c>
      <c r="Q335" s="7">
        <v>556584</v>
      </c>
      <c r="R335" s="7">
        <v>549059</v>
      </c>
      <c r="S335" s="7">
        <v>492289</v>
      </c>
      <c r="T335" s="7">
        <v>500186</v>
      </c>
      <c r="U335" s="7">
        <v>499355</v>
      </c>
      <c r="V335" s="7">
        <v>341004</v>
      </c>
      <c r="W335" s="7">
        <v>177472</v>
      </c>
      <c r="X335" s="7">
        <v>67773</v>
      </c>
      <c r="Y335" s="7">
        <v>3999441</v>
      </c>
      <c r="Z335" s="8">
        <v>3.8689180793797829E-4</v>
      </c>
      <c r="AA335" s="8">
        <v>1.2433489970927576E-4</v>
      </c>
      <c r="AB335" s="8">
        <v>1.0780043982579448E-4</v>
      </c>
      <c r="AC335" s="8">
        <v>8.9243596771931607E-5</v>
      </c>
      <c r="AD335" s="8">
        <v>1.0969166485539997E-4</v>
      </c>
      <c r="AE335" s="8">
        <v>8.3968763619933379E-5</v>
      </c>
      <c r="AF335" s="8">
        <v>9.8126583292447263E-5</v>
      </c>
      <c r="AG335" s="8">
        <v>3.3430692895098003E-4</v>
      </c>
      <c r="AH335" s="8">
        <v>8.2266498377208796E-4</v>
      </c>
      <c r="AI335" s="8">
        <v>3.039558526256769E-3</v>
      </c>
      <c r="AJ335" s="8">
        <v>2.2303116860581266E-4</v>
      </c>
    </row>
    <row r="336" spans="1:36" x14ac:dyDescent="0.2">
      <c r="A336" t="s">
        <v>388</v>
      </c>
      <c r="B336">
        <v>2009</v>
      </c>
      <c r="C336" t="s">
        <v>389</v>
      </c>
      <c r="D336" s="7">
        <v>80</v>
      </c>
      <c r="E336" s="7">
        <v>47</v>
      </c>
      <c r="F336" s="7">
        <v>62</v>
      </c>
      <c r="G336" s="7">
        <v>61</v>
      </c>
      <c r="H336" s="7">
        <v>58</v>
      </c>
      <c r="I336" s="7">
        <v>64</v>
      </c>
      <c r="J336" s="7">
        <v>56</v>
      </c>
      <c r="K336" s="7">
        <v>64</v>
      </c>
      <c r="L336" s="7">
        <v>111</v>
      </c>
      <c r="M336" s="7">
        <v>206</v>
      </c>
      <c r="N336" s="7">
        <v>809</v>
      </c>
      <c r="O336" s="7">
        <v>236504.04600000006</v>
      </c>
      <c r="P336" s="7">
        <v>468408.76099999988</v>
      </c>
      <c r="Q336" s="7">
        <v>504990.28</v>
      </c>
      <c r="R336" s="7">
        <v>499858.20899999992</v>
      </c>
      <c r="S336" s="7">
        <v>500841.478</v>
      </c>
      <c r="T336" s="7">
        <v>547268.30599999987</v>
      </c>
      <c r="U336" s="7">
        <v>450193.31000000006</v>
      </c>
      <c r="V336" s="7">
        <v>250652.08800000002</v>
      </c>
      <c r="W336" s="7">
        <v>164591.23800000004</v>
      </c>
      <c r="X336" s="7">
        <v>73065.760000000009</v>
      </c>
      <c r="Y336" s="7">
        <v>3696373.4759999998</v>
      </c>
      <c r="Z336" s="8">
        <v>3.382605978757758E-4</v>
      </c>
      <c r="AA336" s="8">
        <v>1.00339711622089E-4</v>
      </c>
      <c r="AB336" s="8">
        <v>1.2277464033565161E-4</v>
      </c>
      <c r="AC336" s="8">
        <v>1.2203460681787064E-4</v>
      </c>
      <c r="AD336" s="8">
        <v>1.1580510510353538E-4</v>
      </c>
      <c r="AE336" s="8">
        <v>1.1694446635833506E-4</v>
      </c>
      <c r="AF336" s="8">
        <v>1.2439100883129513E-4</v>
      </c>
      <c r="AG336" s="8">
        <v>2.5533399905290237E-4</v>
      </c>
      <c r="AH336" s="8">
        <v>6.7439798952116745E-4</v>
      </c>
      <c r="AI336" s="8">
        <v>2.8193780506765411E-3</v>
      </c>
      <c r="AJ336" s="8">
        <v>2.1886316554664079E-4</v>
      </c>
    </row>
    <row r="337" spans="1:36" x14ac:dyDescent="0.2">
      <c r="A337" t="s">
        <v>388</v>
      </c>
      <c r="B337">
        <v>2010</v>
      </c>
      <c r="C337" t="s">
        <v>390</v>
      </c>
      <c r="D337" s="7">
        <v>124</v>
      </c>
      <c r="E337" s="7">
        <v>70</v>
      </c>
      <c r="F337" s="7">
        <v>38</v>
      </c>
      <c r="G337" s="7">
        <v>36</v>
      </c>
      <c r="H337" s="7">
        <v>55</v>
      </c>
      <c r="I337" s="7">
        <v>55</v>
      </c>
      <c r="J337" s="7">
        <v>51</v>
      </c>
      <c r="K337" s="7">
        <v>56</v>
      </c>
      <c r="L337" s="7">
        <v>80</v>
      </c>
      <c r="M337" s="7">
        <v>227</v>
      </c>
      <c r="N337" s="7">
        <v>792</v>
      </c>
      <c r="O337" s="7">
        <v>234336.38899999997</v>
      </c>
      <c r="P337" s="7">
        <v>477973.74500000011</v>
      </c>
      <c r="Q337" s="7">
        <v>509066.26299999992</v>
      </c>
      <c r="R337" s="7">
        <v>508932.25700000004</v>
      </c>
      <c r="S337" s="7">
        <v>503243.76700000005</v>
      </c>
      <c r="T337" s="7">
        <v>546230.652</v>
      </c>
      <c r="U337" s="7">
        <v>476112.83899999992</v>
      </c>
      <c r="V337" s="7">
        <v>267409.18</v>
      </c>
      <c r="W337" s="7">
        <v>166725.61200000002</v>
      </c>
      <c r="X337" s="7">
        <v>74353.59599999999</v>
      </c>
      <c r="Y337" s="7">
        <v>3764384.3</v>
      </c>
      <c r="Z337" s="8">
        <v>5.2915383961131199E-4</v>
      </c>
      <c r="AA337" s="8">
        <v>1.4645155875664254E-4</v>
      </c>
      <c r="AB337" s="8">
        <v>7.4646470925141632E-5</v>
      </c>
      <c r="AC337" s="8">
        <v>7.0736329845172302E-5</v>
      </c>
      <c r="AD337" s="8">
        <v>1.0929097110903709E-4</v>
      </c>
      <c r="AE337" s="8">
        <v>1.0069006526568927E-4</v>
      </c>
      <c r="AF337" s="8">
        <v>1.0711746422784454E-4</v>
      </c>
      <c r="AG337" s="8">
        <v>2.0941689436391079E-4</v>
      </c>
      <c r="AH337" s="8">
        <v>4.7983029745903699E-4</v>
      </c>
      <c r="AI337" s="8">
        <v>3.0529794416399177E-3</v>
      </c>
      <c r="AJ337" s="8">
        <v>2.1039297183340181E-4</v>
      </c>
    </row>
    <row r="338" spans="1:36" x14ac:dyDescent="0.2">
      <c r="A338" t="s">
        <v>388</v>
      </c>
      <c r="B338">
        <v>2011</v>
      </c>
      <c r="C338" t="s">
        <v>391</v>
      </c>
      <c r="D338" s="7">
        <v>133</v>
      </c>
      <c r="E338" s="7">
        <v>68</v>
      </c>
      <c r="F338" s="7">
        <v>56</v>
      </c>
      <c r="G338" s="7">
        <v>62</v>
      </c>
      <c r="H338" s="7">
        <v>53</v>
      </c>
      <c r="I338" s="7">
        <v>51</v>
      </c>
      <c r="J338" s="7">
        <v>61</v>
      </c>
      <c r="K338" s="7">
        <v>59</v>
      </c>
      <c r="L338" s="7">
        <v>56</v>
      </c>
      <c r="M338" s="7">
        <v>204</v>
      </c>
      <c r="N338" s="7">
        <v>803</v>
      </c>
      <c r="O338" s="7">
        <v>232896.51800000004</v>
      </c>
      <c r="P338" s="7">
        <v>472197.96200000012</v>
      </c>
      <c r="Q338" s="7">
        <v>502699.46499999991</v>
      </c>
      <c r="R338" s="7">
        <v>512170.59299999994</v>
      </c>
      <c r="S338" s="7">
        <v>496041.27600000001</v>
      </c>
      <c r="T338" s="7">
        <v>534242.473</v>
      </c>
      <c r="U338" s="7">
        <v>485870.09200000006</v>
      </c>
      <c r="V338" s="7">
        <v>273136.61700000003</v>
      </c>
      <c r="W338" s="7">
        <v>163937.77000000008</v>
      </c>
      <c r="X338" s="7">
        <v>72578.395999999993</v>
      </c>
      <c r="Y338" s="7">
        <v>3745771.162</v>
      </c>
      <c r="Z338" s="8">
        <v>5.7106907884299063E-4</v>
      </c>
      <c r="AA338" s="8">
        <v>1.4400739832079153E-4</v>
      </c>
      <c r="AB338" s="8">
        <v>1.1139856693501755E-4</v>
      </c>
      <c r="AC338" s="8">
        <v>1.2105341627843129E-4</v>
      </c>
      <c r="AD338" s="8">
        <v>1.0684594723121387E-4</v>
      </c>
      <c r="AE338" s="8">
        <v>9.5462271491843738E-5</v>
      </c>
      <c r="AF338" s="8">
        <v>1.2554796231417347E-4</v>
      </c>
      <c r="AG338" s="8">
        <v>2.160091189823882E-4</v>
      </c>
      <c r="AH338" s="8">
        <v>3.4159303252691541E-4</v>
      </c>
      <c r="AI338" s="8">
        <v>2.8107537675536396E-3</v>
      </c>
      <c r="AJ338" s="8">
        <v>2.1437508199813516E-4</v>
      </c>
    </row>
    <row r="339" spans="1:36" x14ac:dyDescent="0.2">
      <c r="A339" t="s">
        <v>388</v>
      </c>
      <c r="B339">
        <v>2012</v>
      </c>
      <c r="C339" t="s">
        <v>392</v>
      </c>
      <c r="D339" s="7">
        <v>121</v>
      </c>
      <c r="E339" s="7">
        <v>56</v>
      </c>
      <c r="F339" s="7">
        <v>73</v>
      </c>
      <c r="G339" s="7">
        <v>51</v>
      </c>
      <c r="H339" s="7">
        <v>51</v>
      </c>
      <c r="I339" s="7">
        <v>52</v>
      </c>
      <c r="J339" s="7">
        <v>54</v>
      </c>
      <c r="K339" s="7">
        <v>55</v>
      </c>
      <c r="L339" s="7">
        <v>64</v>
      </c>
      <c r="M339" s="7">
        <v>188</v>
      </c>
      <c r="N339" s="7">
        <v>765</v>
      </c>
      <c r="O339" s="7">
        <v>238321.84600000005</v>
      </c>
      <c r="P339" s="7">
        <v>487063.73500000004</v>
      </c>
      <c r="Q339" s="7">
        <v>514074.4150000001</v>
      </c>
      <c r="R339" s="7">
        <v>531131.6</v>
      </c>
      <c r="S339" s="7">
        <v>510104.67900000006</v>
      </c>
      <c r="T339" s="7">
        <v>540653.36199999996</v>
      </c>
      <c r="U339" s="7">
        <v>506201.14899999986</v>
      </c>
      <c r="V339" s="7">
        <v>290707.10199999996</v>
      </c>
      <c r="W339" s="7">
        <v>164856.53900000002</v>
      </c>
      <c r="X339" s="7">
        <v>75511.338999999993</v>
      </c>
      <c r="Y339" s="7">
        <v>3858625.7659999998</v>
      </c>
      <c r="Z339" s="8">
        <v>5.0771677893095865E-4</v>
      </c>
      <c r="AA339" s="8">
        <v>1.1497468601311489E-4</v>
      </c>
      <c r="AB339" s="8">
        <v>1.4200278767034143E-4</v>
      </c>
      <c r="AC339" s="8">
        <v>9.6021400345978287E-5</v>
      </c>
      <c r="AD339" s="8">
        <v>9.9979478917894802E-5</v>
      </c>
      <c r="AE339" s="8">
        <v>9.6179925354833925E-5</v>
      </c>
      <c r="AF339" s="8">
        <v>1.0667696054557951E-4</v>
      </c>
      <c r="AG339" s="8">
        <v>1.8919386427649094E-4</v>
      </c>
      <c r="AH339" s="8">
        <v>3.8821632668146691E-4</v>
      </c>
      <c r="AI339" s="8">
        <v>2.489692309654316E-3</v>
      </c>
      <c r="AJ339" s="8">
        <v>1.9825711183000483E-4</v>
      </c>
    </row>
    <row r="340" spans="1:36" x14ac:dyDescent="0.2">
      <c r="A340" t="s">
        <v>388</v>
      </c>
      <c r="B340">
        <v>2013</v>
      </c>
      <c r="C340" t="s">
        <v>393</v>
      </c>
      <c r="D340" s="7">
        <v>109</v>
      </c>
      <c r="E340" s="7">
        <v>56</v>
      </c>
      <c r="F340" s="7">
        <v>65</v>
      </c>
      <c r="G340" s="7">
        <v>63</v>
      </c>
      <c r="H340" s="7">
        <v>53</v>
      </c>
      <c r="I340" s="7">
        <v>42</v>
      </c>
      <c r="J340" s="7">
        <v>64</v>
      </c>
      <c r="K340" s="7">
        <v>60</v>
      </c>
      <c r="L340" s="7">
        <v>112</v>
      </c>
      <c r="M340" s="7">
        <v>231</v>
      </c>
      <c r="N340" s="7">
        <v>855</v>
      </c>
      <c r="O340" s="7">
        <v>236314.08299999996</v>
      </c>
      <c r="P340" s="7">
        <v>485952.09500000003</v>
      </c>
      <c r="Q340" s="7">
        <v>520279.09599999996</v>
      </c>
      <c r="R340" s="7">
        <v>532802.65399999998</v>
      </c>
      <c r="S340" s="7">
        <v>507809.85</v>
      </c>
      <c r="T340" s="7">
        <v>532947.55200000014</v>
      </c>
      <c r="U340" s="7">
        <v>520374.24199999991</v>
      </c>
      <c r="V340" s="7">
        <v>311906.12300000002</v>
      </c>
      <c r="W340" s="7">
        <v>167707.69599999997</v>
      </c>
      <c r="X340" s="7">
        <v>78553.461999999985</v>
      </c>
      <c r="Y340" s="7">
        <v>3894646.8530000001</v>
      </c>
      <c r="Z340" s="8">
        <v>4.6125054679877045E-4</v>
      </c>
      <c r="AA340" s="8">
        <v>1.1523769642355384E-4</v>
      </c>
      <c r="AB340" s="8">
        <v>1.2493294560502583E-4</v>
      </c>
      <c r="AC340" s="8">
        <v>1.1824265424924104E-4</v>
      </c>
      <c r="AD340" s="8">
        <v>1.0436977541888957E-4</v>
      </c>
      <c r="AE340" s="8">
        <v>7.880700425846029E-5</v>
      </c>
      <c r="AF340" s="8">
        <v>1.2298840879214774E-4</v>
      </c>
      <c r="AG340" s="8">
        <v>1.9236557276562346E-4</v>
      </c>
      <c r="AH340" s="8">
        <v>6.6782862487121649E-4</v>
      </c>
      <c r="AI340" s="8">
        <v>2.9406724301979212E-3</v>
      </c>
      <c r="AJ340" s="8">
        <v>2.1953209938441624E-4</v>
      </c>
    </row>
    <row r="341" spans="1:36" x14ac:dyDescent="0.2">
      <c r="A341" t="s">
        <v>388</v>
      </c>
      <c r="B341">
        <v>2014</v>
      </c>
      <c r="C341" t="s">
        <v>394</v>
      </c>
      <c r="D341" s="7">
        <v>122</v>
      </c>
      <c r="E341" s="7">
        <v>45</v>
      </c>
      <c r="F341" s="7">
        <v>44</v>
      </c>
      <c r="G341" s="7">
        <v>51</v>
      </c>
      <c r="H341" s="7">
        <v>58</v>
      </c>
      <c r="I341" s="7">
        <v>72</v>
      </c>
      <c r="J341" s="7">
        <v>60</v>
      </c>
      <c r="K341" s="7">
        <v>72</v>
      </c>
      <c r="L341" s="7">
        <v>83</v>
      </c>
      <c r="M341" s="7">
        <v>184</v>
      </c>
      <c r="N341" s="7">
        <v>791</v>
      </c>
      <c r="O341" s="7">
        <v>234235.00499999998</v>
      </c>
      <c r="P341" s="7">
        <v>486583.29500000004</v>
      </c>
      <c r="Q341" s="7">
        <v>515965.9310000001</v>
      </c>
      <c r="R341" s="7">
        <v>536972.00899999996</v>
      </c>
      <c r="S341" s="7">
        <v>513977.11699999997</v>
      </c>
      <c r="T341" s="7">
        <v>529402.728</v>
      </c>
      <c r="U341" s="7">
        <v>530885.84299999988</v>
      </c>
      <c r="V341" s="7">
        <v>332251.63599999994</v>
      </c>
      <c r="W341" s="7">
        <v>171457.79999999996</v>
      </c>
      <c r="X341" s="7">
        <v>79443.121000000014</v>
      </c>
      <c r="Y341" s="7">
        <v>3931174.4849999999</v>
      </c>
      <c r="Z341" s="8">
        <v>5.2084443996745918E-4</v>
      </c>
      <c r="AA341" s="8">
        <v>9.2481596598995437E-5</v>
      </c>
      <c r="AB341" s="8">
        <v>8.5276948256492521E-5</v>
      </c>
      <c r="AC341" s="8">
        <v>9.4977017694045213E-5</v>
      </c>
      <c r="AD341" s="8">
        <v>1.128454907458458E-4</v>
      </c>
      <c r="AE341" s="8">
        <v>1.3600232146895926E-4</v>
      </c>
      <c r="AF341" s="8">
        <v>1.1301864758898838E-4</v>
      </c>
      <c r="AG341" s="8">
        <v>2.1670322189173513E-4</v>
      </c>
      <c r="AH341" s="8">
        <v>4.8408413032244681E-4</v>
      </c>
      <c r="AI341" s="8">
        <v>2.3161224997693629E-3</v>
      </c>
      <c r="AJ341" s="8">
        <v>2.012121321549532E-4</v>
      </c>
    </row>
    <row r="342" spans="1:36" x14ac:dyDescent="0.2">
      <c r="A342" t="s">
        <v>388</v>
      </c>
      <c r="B342">
        <v>2015</v>
      </c>
      <c r="C342" t="s">
        <v>395</v>
      </c>
      <c r="D342" s="7">
        <v>104</v>
      </c>
      <c r="E342" s="7">
        <v>57</v>
      </c>
      <c r="F342" s="7">
        <v>60</v>
      </c>
      <c r="G342" s="7">
        <v>55</v>
      </c>
      <c r="H342" s="7">
        <v>64</v>
      </c>
      <c r="I342" s="7">
        <v>59</v>
      </c>
      <c r="J342" s="7">
        <v>37</v>
      </c>
      <c r="K342" s="7">
        <v>60</v>
      </c>
      <c r="L342" s="7">
        <v>79</v>
      </c>
      <c r="M342" s="7">
        <v>222</v>
      </c>
      <c r="N342" s="7">
        <v>797</v>
      </c>
      <c r="O342" s="7">
        <v>225586.00100000002</v>
      </c>
      <c r="P342" s="7">
        <v>468019.71099999989</v>
      </c>
      <c r="Q342" s="7">
        <v>498923.47500000009</v>
      </c>
      <c r="R342" s="7">
        <v>525450.89599999995</v>
      </c>
      <c r="S342" s="7">
        <v>497484.07499999995</v>
      </c>
      <c r="T342" s="7">
        <v>501984.63199999998</v>
      </c>
      <c r="U342" s="7">
        <v>515291.12699999986</v>
      </c>
      <c r="V342" s="7">
        <v>335456.60300000012</v>
      </c>
      <c r="W342" s="7">
        <v>164885.78100000002</v>
      </c>
      <c r="X342" s="7">
        <v>79100.412999999986</v>
      </c>
      <c r="Y342" s="7">
        <v>3812182.7140000002</v>
      </c>
      <c r="Z342" s="8">
        <v>4.6102151524907788E-4</v>
      </c>
      <c r="AA342" s="8">
        <v>1.2178974231279762E-4</v>
      </c>
      <c r="AB342" s="8">
        <v>1.2025892347518823E-4</v>
      </c>
      <c r="AC342" s="8">
        <v>1.0467200725831478E-4</v>
      </c>
      <c r="AD342" s="8">
        <v>1.2864733408803086E-4</v>
      </c>
      <c r="AE342" s="8">
        <v>1.1753347859461961E-4</v>
      </c>
      <c r="AF342" s="8">
        <v>7.1804069702135603E-5</v>
      </c>
      <c r="AG342" s="8">
        <v>1.7886069155717283E-4</v>
      </c>
      <c r="AH342" s="8">
        <v>4.7911954275790461E-4</v>
      </c>
      <c r="AI342" s="8">
        <v>2.8065593032997192E-3</v>
      </c>
      <c r="AJ342" s="8">
        <v>2.0906657938326719E-4</v>
      </c>
    </row>
    <row r="343" spans="1:36" x14ac:dyDescent="0.2">
      <c r="A343" t="s">
        <v>388</v>
      </c>
      <c r="B343">
        <v>2016</v>
      </c>
      <c r="C343" t="s">
        <v>396</v>
      </c>
      <c r="D343" s="7">
        <v>110</v>
      </c>
      <c r="E343" s="7">
        <v>47</v>
      </c>
      <c r="F343" s="7">
        <v>37</v>
      </c>
      <c r="G343" s="7">
        <v>65</v>
      </c>
      <c r="H343" s="7">
        <v>58</v>
      </c>
      <c r="I343" s="7">
        <v>48</v>
      </c>
      <c r="J343" s="7">
        <v>59</v>
      </c>
      <c r="K343" s="7">
        <v>78</v>
      </c>
      <c r="L343" s="7">
        <v>88</v>
      </c>
      <c r="M343" s="7">
        <v>172</v>
      </c>
      <c r="N343" s="7">
        <v>762</v>
      </c>
      <c r="O343" s="7">
        <v>234494.82400000002</v>
      </c>
      <c r="P343" s="7">
        <v>487245.02400000003</v>
      </c>
      <c r="Q343" s="7">
        <v>518377.96499999997</v>
      </c>
      <c r="R343" s="7">
        <v>554103.29</v>
      </c>
      <c r="S343" s="7">
        <v>523909.34200000006</v>
      </c>
      <c r="T343" s="7">
        <v>521997.32200000004</v>
      </c>
      <c r="U343" s="7">
        <v>545397.2300000001</v>
      </c>
      <c r="V343" s="7">
        <v>379354.27400000009</v>
      </c>
      <c r="W343" s="7">
        <v>178369.27500000008</v>
      </c>
      <c r="X343" s="7">
        <v>86255.520999999993</v>
      </c>
      <c r="Y343" s="7">
        <v>4029504.0670000007</v>
      </c>
      <c r="Z343" s="8">
        <v>4.6909350971431244E-4</v>
      </c>
      <c r="AA343" s="8">
        <v>9.6460708031776636E-5</v>
      </c>
      <c r="AB343" s="8">
        <v>7.1376490704036773E-5</v>
      </c>
      <c r="AC343" s="8">
        <v>1.1730664872969802E-4</v>
      </c>
      <c r="AD343" s="8">
        <v>1.1070617633689761E-4</v>
      </c>
      <c r="AE343" s="8">
        <v>9.1954494739725879E-5</v>
      </c>
      <c r="AF343" s="8">
        <v>1.0817803383416521E-4</v>
      </c>
      <c r="AG343" s="8">
        <v>2.056125509739215E-4</v>
      </c>
      <c r="AH343" s="8">
        <v>4.933585114364565E-4</v>
      </c>
      <c r="AI343" s="8">
        <v>1.9940752546147166E-3</v>
      </c>
      <c r="AJ343" s="8">
        <v>1.8910515719303277E-4</v>
      </c>
    </row>
    <row r="344" spans="1:36" x14ac:dyDescent="0.2">
      <c r="A344" t="s">
        <v>388</v>
      </c>
      <c r="B344">
        <v>2017</v>
      </c>
      <c r="C344" t="s">
        <v>397</v>
      </c>
      <c r="D344" s="7">
        <v>105</v>
      </c>
      <c r="E344" s="7">
        <v>57</v>
      </c>
      <c r="F344" s="7">
        <v>58</v>
      </c>
      <c r="G344" s="7">
        <v>45</v>
      </c>
      <c r="H344" s="7">
        <v>48</v>
      </c>
      <c r="I344" s="7">
        <v>62</v>
      </c>
      <c r="J344" s="7">
        <v>79</v>
      </c>
      <c r="K344" s="7">
        <v>97</v>
      </c>
      <c r="L344" s="7">
        <v>132</v>
      </c>
      <c r="M344" s="7">
        <v>262</v>
      </c>
      <c r="N344" s="7">
        <v>945</v>
      </c>
      <c r="O344" s="7">
        <v>228406</v>
      </c>
      <c r="P344" s="7">
        <v>477526</v>
      </c>
      <c r="Q344" s="7">
        <v>502310</v>
      </c>
      <c r="R344" s="7">
        <v>550912</v>
      </c>
      <c r="S344" s="7">
        <v>520108</v>
      </c>
      <c r="T344" s="7">
        <v>506038</v>
      </c>
      <c r="U344" s="7">
        <v>529144</v>
      </c>
      <c r="V344" s="7">
        <v>381554</v>
      </c>
      <c r="W344" s="7">
        <v>174687</v>
      </c>
      <c r="X344" s="7">
        <v>81159</v>
      </c>
      <c r="Y344" s="7">
        <v>3951844</v>
      </c>
      <c r="Z344" s="8">
        <v>4.5970771345761494E-4</v>
      </c>
      <c r="AA344" s="8">
        <v>1.1936522828076376E-4</v>
      </c>
      <c r="AB344" s="8">
        <v>1.154665445641138E-4</v>
      </c>
      <c r="AC344" s="8">
        <v>8.1682736988847589E-5</v>
      </c>
      <c r="AD344" s="8">
        <v>9.2288524691025716E-5</v>
      </c>
      <c r="AE344" s="8">
        <v>1.225204431287769E-4</v>
      </c>
      <c r="AF344" s="8">
        <v>1.4929773369819937E-4</v>
      </c>
      <c r="AG344" s="8">
        <v>2.5422351750997236E-4</v>
      </c>
      <c r="AH344" s="8">
        <v>7.5563722543749677E-4</v>
      </c>
      <c r="AI344" s="8">
        <v>3.2282310033391244E-3</v>
      </c>
      <c r="AJ344" s="8">
        <v>2.391288724959791E-4</v>
      </c>
    </row>
    <row r="345" spans="1:36" x14ac:dyDescent="0.2">
      <c r="A345" t="s">
        <v>398</v>
      </c>
      <c r="B345">
        <v>2009</v>
      </c>
      <c r="C345" t="s">
        <v>399</v>
      </c>
      <c r="D345" s="7">
        <v>115</v>
      </c>
      <c r="E345" s="7">
        <v>54</v>
      </c>
      <c r="F345" s="7">
        <v>64</v>
      </c>
      <c r="G345" s="7">
        <v>62</v>
      </c>
      <c r="H345" s="7">
        <v>73</v>
      </c>
      <c r="I345" s="7">
        <v>91</v>
      </c>
      <c r="J345" s="7">
        <v>175</v>
      </c>
      <c r="K345" s="7">
        <v>270</v>
      </c>
      <c r="L345" s="7">
        <v>686</v>
      </c>
      <c r="M345" s="7">
        <v>1232</v>
      </c>
      <c r="N345" s="7">
        <v>2822</v>
      </c>
      <c r="O345" s="7">
        <v>740689.36799999978</v>
      </c>
      <c r="P345" s="7">
        <v>1548920.6879999994</v>
      </c>
      <c r="Q345" s="7">
        <v>1720883.777</v>
      </c>
      <c r="R345" s="7">
        <v>1503516.4940000002</v>
      </c>
      <c r="S345" s="7">
        <v>1730593.8809999998</v>
      </c>
      <c r="T345" s="7">
        <v>1919114.3689999999</v>
      </c>
      <c r="U345" s="7">
        <v>1456163.2959999996</v>
      </c>
      <c r="V345" s="7">
        <v>918697.60599999991</v>
      </c>
      <c r="W345" s="7">
        <v>715471.31900000048</v>
      </c>
      <c r="X345" s="7">
        <v>285195.065</v>
      </c>
      <c r="Y345" s="7">
        <v>12539245.863</v>
      </c>
      <c r="Z345" s="8">
        <v>1.552607678310836E-4</v>
      </c>
      <c r="AA345" s="8">
        <v>3.4862985831589606E-5</v>
      </c>
      <c r="AB345" s="8">
        <v>3.7190193117847026E-5</v>
      </c>
      <c r="AC345" s="8">
        <v>4.1236661019297068E-5</v>
      </c>
      <c r="AD345" s="8">
        <v>4.2182051376385287E-5</v>
      </c>
      <c r="AE345" s="8">
        <v>4.7417705515600778E-5</v>
      </c>
      <c r="AF345" s="8">
        <v>1.2017882917438955E-4</v>
      </c>
      <c r="AG345" s="8">
        <v>2.9389431107323472E-4</v>
      </c>
      <c r="AH345" s="8">
        <v>9.5880852492984353E-4</v>
      </c>
      <c r="AI345" s="8">
        <v>4.3198503452365139E-3</v>
      </c>
      <c r="AJ345" s="8">
        <v>2.2505340678636633E-4</v>
      </c>
    </row>
    <row r="346" spans="1:36" x14ac:dyDescent="0.2">
      <c r="A346" t="s">
        <v>398</v>
      </c>
      <c r="B346">
        <v>2010</v>
      </c>
      <c r="C346" t="s">
        <v>400</v>
      </c>
      <c r="D346" s="7">
        <v>102</v>
      </c>
      <c r="E346" s="7">
        <v>55</v>
      </c>
      <c r="F346" s="7">
        <v>63</v>
      </c>
      <c r="G346" s="7">
        <v>53</v>
      </c>
      <c r="H346" s="7">
        <v>60</v>
      </c>
      <c r="I346" s="7">
        <v>62</v>
      </c>
      <c r="J346" s="7">
        <v>140</v>
      </c>
      <c r="K346" s="7">
        <v>256</v>
      </c>
      <c r="L346" s="7">
        <v>615</v>
      </c>
      <c r="M346" s="7">
        <v>1176</v>
      </c>
      <c r="N346" s="7">
        <v>2582</v>
      </c>
      <c r="O346" s="7">
        <v>725472.36099999992</v>
      </c>
      <c r="P346" s="7">
        <v>1554319.3720000007</v>
      </c>
      <c r="Q346" s="7">
        <v>1753352.3289999997</v>
      </c>
      <c r="R346" s="7">
        <v>1478699.139</v>
      </c>
      <c r="S346" s="7">
        <v>1683489.1369999996</v>
      </c>
      <c r="T346" s="7">
        <v>1923625.3540000001</v>
      </c>
      <c r="U346" s="7">
        <v>1517166.7909999995</v>
      </c>
      <c r="V346" s="7">
        <v>937049.86599999981</v>
      </c>
      <c r="W346" s="7">
        <v>696249.81799999985</v>
      </c>
      <c r="X346" s="7">
        <v>286485.72899999999</v>
      </c>
      <c r="Y346" s="7">
        <v>12555909.896</v>
      </c>
      <c r="Z346" s="8">
        <v>1.4059805098488103E-4</v>
      </c>
      <c r="AA346" s="8">
        <v>3.5385263151696716E-5</v>
      </c>
      <c r="AB346" s="8">
        <v>3.593116965597621E-5</v>
      </c>
      <c r="AC346" s="8">
        <v>3.5842314776650451E-5</v>
      </c>
      <c r="AD346" s="8">
        <v>3.5640265613427606E-5</v>
      </c>
      <c r="AE346" s="8">
        <v>3.2230808286591129E-5</v>
      </c>
      <c r="AF346" s="8">
        <v>9.2277263667050593E-5</v>
      </c>
      <c r="AG346" s="8">
        <v>2.7319784067927081E-4</v>
      </c>
      <c r="AH346" s="8">
        <v>8.8330364202694864E-4</v>
      </c>
      <c r="AI346" s="8">
        <v>4.1049165140089753E-3</v>
      </c>
      <c r="AJ346" s="8">
        <v>2.0564021416102714E-4</v>
      </c>
    </row>
    <row r="347" spans="1:36" x14ac:dyDescent="0.2">
      <c r="A347" t="s">
        <v>398</v>
      </c>
      <c r="B347">
        <v>2011</v>
      </c>
      <c r="C347" t="s">
        <v>401</v>
      </c>
      <c r="D347" s="7">
        <v>121</v>
      </c>
      <c r="E347" s="7">
        <v>58</v>
      </c>
      <c r="F347" s="7">
        <v>46</v>
      </c>
      <c r="G347" s="7">
        <v>60</v>
      </c>
      <c r="H347" s="7">
        <v>61</v>
      </c>
      <c r="I347" s="7">
        <v>77</v>
      </c>
      <c r="J347" s="7">
        <v>176</v>
      </c>
      <c r="K347" s="7">
        <v>312</v>
      </c>
      <c r="L347" s="7">
        <v>691</v>
      </c>
      <c r="M347" s="7">
        <v>1423</v>
      </c>
      <c r="N347" s="7">
        <v>3025</v>
      </c>
      <c r="O347" s="7">
        <v>721574.82700000005</v>
      </c>
      <c r="P347" s="7">
        <v>1534928.327</v>
      </c>
      <c r="Q347" s="7">
        <v>1755912.4850000001</v>
      </c>
      <c r="R347" s="7">
        <v>1485863.6050000004</v>
      </c>
      <c r="S347" s="7">
        <v>1637431.7649999999</v>
      </c>
      <c r="T347" s="7">
        <v>1912703.5729999999</v>
      </c>
      <c r="U347" s="7">
        <v>1561463.2929999998</v>
      </c>
      <c r="V347" s="7">
        <v>950212.82999999973</v>
      </c>
      <c r="W347" s="7">
        <v>679261.97299999988</v>
      </c>
      <c r="X347" s="7">
        <v>293466.55100000004</v>
      </c>
      <c r="Y347" s="7">
        <v>12532819.229</v>
      </c>
      <c r="Z347" s="8">
        <v>1.676887766485235E-4</v>
      </c>
      <c r="AA347" s="8">
        <v>3.7786780646207982E-5</v>
      </c>
      <c r="AB347" s="8">
        <v>2.6197205380654263E-5</v>
      </c>
      <c r="AC347" s="8">
        <v>4.038055700274049E-5</v>
      </c>
      <c r="AD347" s="8">
        <v>3.7253460757187643E-5</v>
      </c>
      <c r="AE347" s="8">
        <v>4.0257152800330973E-5</v>
      </c>
      <c r="AF347" s="8">
        <v>1.1271478541250602E-4</v>
      </c>
      <c r="AG347" s="8">
        <v>3.2834749242440777E-4</v>
      </c>
      <c r="AH347" s="8">
        <v>1.0172805595875748E-3</v>
      </c>
      <c r="AI347" s="8">
        <v>4.8489342146526265E-3</v>
      </c>
      <c r="AJ347" s="8">
        <v>2.4136628357332226E-4</v>
      </c>
    </row>
    <row r="348" spans="1:36" x14ac:dyDescent="0.2">
      <c r="A348" t="s">
        <v>398</v>
      </c>
      <c r="B348">
        <v>2012</v>
      </c>
      <c r="C348" t="s">
        <v>402</v>
      </c>
      <c r="D348" s="7">
        <v>106</v>
      </c>
      <c r="E348" s="7">
        <v>57</v>
      </c>
      <c r="F348" s="7">
        <v>52</v>
      </c>
      <c r="G348" s="7">
        <v>48</v>
      </c>
      <c r="H348" s="7">
        <v>68</v>
      </c>
      <c r="I348" s="7">
        <v>37</v>
      </c>
      <c r="J348" s="7">
        <v>113</v>
      </c>
      <c r="K348" s="7">
        <v>258</v>
      </c>
      <c r="L348" s="7">
        <v>646</v>
      </c>
      <c r="M348" s="7">
        <v>1208</v>
      </c>
      <c r="N348" s="7">
        <v>2593</v>
      </c>
      <c r="O348" s="7">
        <v>723409.38400000008</v>
      </c>
      <c r="P348" s="7">
        <v>1535861.0449999995</v>
      </c>
      <c r="Q348" s="7">
        <v>1763578.4849999999</v>
      </c>
      <c r="R348" s="7">
        <v>1515174.5880000005</v>
      </c>
      <c r="S348" s="7">
        <v>1608523.1840000001</v>
      </c>
      <c r="T348" s="7">
        <v>1914402.1029999994</v>
      </c>
      <c r="U348" s="7">
        <v>1617192.2010000001</v>
      </c>
      <c r="V348" s="7">
        <v>987181.80899999954</v>
      </c>
      <c r="W348" s="7">
        <v>671898.69400000002</v>
      </c>
      <c r="X348" s="7">
        <v>303961.94300000014</v>
      </c>
      <c r="Y348" s="7">
        <v>12641183.436000001</v>
      </c>
      <c r="Z348" s="8">
        <v>1.4652837293025768E-4</v>
      </c>
      <c r="AA348" s="8">
        <v>3.7112732421701616E-5</v>
      </c>
      <c r="AB348" s="8">
        <v>2.9485503731352224E-5</v>
      </c>
      <c r="AC348" s="8">
        <v>3.1679517581771895E-5</v>
      </c>
      <c r="AD348" s="8">
        <v>4.2274802549566478E-5</v>
      </c>
      <c r="AE348" s="8">
        <v>1.9327183114779524E-5</v>
      </c>
      <c r="AF348" s="8">
        <v>6.987419301807528E-5</v>
      </c>
      <c r="AG348" s="8">
        <v>2.6135003466215627E-4</v>
      </c>
      <c r="AH348" s="8">
        <v>9.6145446593173464E-4</v>
      </c>
      <c r="AI348" s="8">
        <v>3.9741817284014384E-3</v>
      </c>
      <c r="AJ348" s="8">
        <v>2.0512320014402801E-4</v>
      </c>
    </row>
    <row r="349" spans="1:36" x14ac:dyDescent="0.2">
      <c r="A349" t="s">
        <v>398</v>
      </c>
      <c r="B349">
        <v>2013</v>
      </c>
      <c r="C349" t="s">
        <v>403</v>
      </c>
      <c r="D349" s="7">
        <v>83</v>
      </c>
      <c r="E349" s="7">
        <v>39</v>
      </c>
      <c r="F349" s="7">
        <v>56</v>
      </c>
      <c r="G349" s="7">
        <v>68</v>
      </c>
      <c r="H349" s="7">
        <v>45</v>
      </c>
      <c r="I349" s="7">
        <v>73</v>
      </c>
      <c r="J349" s="7">
        <v>183</v>
      </c>
      <c r="K349" s="7">
        <v>302</v>
      </c>
      <c r="L349" s="7">
        <v>708</v>
      </c>
      <c r="M349" s="7">
        <v>1526</v>
      </c>
      <c r="N349" s="7">
        <v>3083</v>
      </c>
      <c r="O349" s="7">
        <v>719632.51699999976</v>
      </c>
      <c r="P349" s="7">
        <v>1528646.1029999999</v>
      </c>
      <c r="Q349" s="7">
        <v>1752198.0259999998</v>
      </c>
      <c r="R349" s="7">
        <v>1546115.939</v>
      </c>
      <c r="S349" s="7">
        <v>1577390.3019999997</v>
      </c>
      <c r="T349" s="7">
        <v>1892222.3199999998</v>
      </c>
      <c r="U349" s="7">
        <v>1661581.1639999996</v>
      </c>
      <c r="V349" s="7">
        <v>1017454.8830000001</v>
      </c>
      <c r="W349" s="7">
        <v>663223.60100000002</v>
      </c>
      <c r="X349" s="7">
        <v>309331.6939999999</v>
      </c>
      <c r="Y349" s="7">
        <v>12667796.548999999</v>
      </c>
      <c r="Z349" s="8">
        <v>1.1533664480033499E-4</v>
      </c>
      <c r="AA349" s="8">
        <v>2.5512772330666783E-5</v>
      </c>
      <c r="AB349" s="8">
        <v>3.1959857943590679E-5</v>
      </c>
      <c r="AC349" s="8">
        <v>4.3981177791868038E-5</v>
      </c>
      <c r="AD349" s="8">
        <v>2.8528132791829482E-5</v>
      </c>
      <c r="AE349" s="8">
        <v>3.8578976280123369E-5</v>
      </c>
      <c r="AF349" s="8">
        <v>1.101360583310031E-4</v>
      </c>
      <c r="AG349" s="8">
        <v>2.9681905806923131E-4</v>
      </c>
      <c r="AH349" s="8">
        <v>1.0675132774715596E-3</v>
      </c>
      <c r="AI349" s="8">
        <v>4.9332157990897643E-3</v>
      </c>
      <c r="AJ349" s="8">
        <v>2.4337302766702339E-4</v>
      </c>
    </row>
    <row r="350" spans="1:36" x14ac:dyDescent="0.2">
      <c r="A350" t="s">
        <v>398</v>
      </c>
      <c r="B350">
        <v>2014</v>
      </c>
      <c r="C350" t="s">
        <v>404</v>
      </c>
      <c r="D350" s="7">
        <v>91</v>
      </c>
      <c r="E350" s="7">
        <v>56</v>
      </c>
      <c r="F350" s="7">
        <v>49</v>
      </c>
      <c r="G350" s="7">
        <v>60</v>
      </c>
      <c r="H350" s="7">
        <v>48</v>
      </c>
      <c r="I350" s="7">
        <v>90</v>
      </c>
      <c r="J350" s="7">
        <v>213</v>
      </c>
      <c r="K350" s="7">
        <v>320</v>
      </c>
      <c r="L350" s="7">
        <v>611</v>
      </c>
      <c r="M350" s="7">
        <v>1232</v>
      </c>
      <c r="N350" s="7">
        <v>2770</v>
      </c>
      <c r="O350" s="7">
        <v>710530.56700000016</v>
      </c>
      <c r="P350" s="7">
        <v>1506977.7490000005</v>
      </c>
      <c r="Q350" s="7">
        <v>1712392.28</v>
      </c>
      <c r="R350" s="7">
        <v>1561524.2900000003</v>
      </c>
      <c r="S350" s="7">
        <v>1535472.9720000003</v>
      </c>
      <c r="T350" s="7">
        <v>1848769.3040000002</v>
      </c>
      <c r="U350" s="7">
        <v>1683349.0969999996</v>
      </c>
      <c r="V350" s="7">
        <v>1046388.2960000003</v>
      </c>
      <c r="W350" s="7">
        <v>650667.49900000007</v>
      </c>
      <c r="X350" s="7">
        <v>314998.50599999999</v>
      </c>
      <c r="Y350" s="7">
        <v>12571070.559999999</v>
      </c>
      <c r="Z350" s="8">
        <v>1.2807330778775628E-4</v>
      </c>
      <c r="AA350" s="8">
        <v>3.7160469049500198E-5</v>
      </c>
      <c r="AB350" s="8">
        <v>2.8614938628431565E-5</v>
      </c>
      <c r="AC350" s="8">
        <v>3.8423994032138938E-5</v>
      </c>
      <c r="AD350" s="8">
        <v>3.1260726092416033E-5</v>
      </c>
      <c r="AE350" s="8">
        <v>4.8681033271850549E-5</v>
      </c>
      <c r="AF350" s="8">
        <v>1.2653346853579002E-4</v>
      </c>
      <c r="AG350" s="8">
        <v>3.0581381808574806E-4</v>
      </c>
      <c r="AH350" s="8">
        <v>9.3903568403068481E-4</v>
      </c>
      <c r="AI350" s="8">
        <v>3.9111296610403606E-3</v>
      </c>
      <c r="AJ350" s="8">
        <v>2.2034718417808326E-4</v>
      </c>
    </row>
    <row r="351" spans="1:36" x14ac:dyDescent="0.2">
      <c r="A351" t="s">
        <v>398</v>
      </c>
      <c r="B351">
        <v>2015</v>
      </c>
      <c r="C351" t="s">
        <v>405</v>
      </c>
      <c r="D351" s="7">
        <v>108</v>
      </c>
      <c r="E351" s="7">
        <v>45</v>
      </c>
      <c r="F351" s="7">
        <v>55</v>
      </c>
      <c r="G351" s="7">
        <v>43</v>
      </c>
      <c r="H351" s="7">
        <v>54</v>
      </c>
      <c r="I351" s="7">
        <v>75</v>
      </c>
      <c r="J351" s="7">
        <v>200</v>
      </c>
      <c r="K351" s="7">
        <v>355</v>
      </c>
      <c r="L351" s="7">
        <v>697</v>
      </c>
      <c r="M351" s="7">
        <v>1508</v>
      </c>
      <c r="N351" s="7">
        <v>3140</v>
      </c>
      <c r="O351" s="7">
        <v>711561.14800000016</v>
      </c>
      <c r="P351" s="7">
        <v>1504923.5599999996</v>
      </c>
      <c r="Q351" s="7">
        <v>1724994.4540000004</v>
      </c>
      <c r="R351" s="7">
        <v>1591967.8360000004</v>
      </c>
      <c r="S351" s="7">
        <v>1514380.9800000002</v>
      </c>
      <c r="T351" s="7">
        <v>1817953.1800000006</v>
      </c>
      <c r="U351" s="7">
        <v>1713675.8820000002</v>
      </c>
      <c r="V351" s="7">
        <v>1086773.0930000001</v>
      </c>
      <c r="W351" s="7">
        <v>644904.6109999998</v>
      </c>
      <c r="X351" s="7">
        <v>313401.924</v>
      </c>
      <c r="Y351" s="7">
        <v>12624536.668000003</v>
      </c>
      <c r="Z351" s="8">
        <v>1.5177894451314248E-4</v>
      </c>
      <c r="AA351" s="8">
        <v>2.9901850961785734E-5</v>
      </c>
      <c r="AB351" s="8">
        <v>3.1884160480900882E-5</v>
      </c>
      <c r="AC351" s="8">
        <v>2.7010595960306821E-5</v>
      </c>
      <c r="AD351" s="8">
        <v>3.5658134058181314E-5</v>
      </c>
      <c r="AE351" s="8">
        <v>4.1255187881131223E-5</v>
      </c>
      <c r="AF351" s="8">
        <v>1.1670818391082427E-4</v>
      </c>
      <c r="AG351" s="8">
        <v>3.2665512450260855E-4</v>
      </c>
      <c r="AH351" s="8">
        <v>1.0807799915079227E-3</v>
      </c>
      <c r="AI351" s="8">
        <v>4.8117126428362323E-3</v>
      </c>
      <c r="AJ351" s="8">
        <v>2.4872199927614792E-4</v>
      </c>
    </row>
    <row r="352" spans="1:36" x14ac:dyDescent="0.2">
      <c r="A352" t="s">
        <v>398</v>
      </c>
      <c r="B352">
        <v>2016</v>
      </c>
      <c r="C352" t="s">
        <v>406</v>
      </c>
      <c r="D352" s="7">
        <v>104</v>
      </c>
      <c r="E352" s="7">
        <v>59</v>
      </c>
      <c r="F352" s="7">
        <v>51</v>
      </c>
      <c r="G352" s="7">
        <v>57</v>
      </c>
      <c r="H352" s="7">
        <v>54</v>
      </c>
      <c r="I352" s="7">
        <v>87</v>
      </c>
      <c r="J352" s="7">
        <v>138</v>
      </c>
      <c r="K352" s="7">
        <v>356</v>
      </c>
      <c r="L352" s="7">
        <v>624</v>
      </c>
      <c r="M352" s="7">
        <v>1191</v>
      </c>
      <c r="N352" s="7">
        <v>2721</v>
      </c>
      <c r="O352" s="7">
        <v>721188.13399999996</v>
      </c>
      <c r="P352" s="7">
        <v>1524430.3950000003</v>
      </c>
      <c r="Q352" s="7">
        <v>1728222.4399999995</v>
      </c>
      <c r="R352" s="7">
        <v>1650728.6459999999</v>
      </c>
      <c r="S352" s="7">
        <v>1530351.3249999997</v>
      </c>
      <c r="T352" s="7">
        <v>1819542.2779999995</v>
      </c>
      <c r="U352" s="7">
        <v>1775259.0459999999</v>
      </c>
      <c r="V352" s="7">
        <v>1160203.7830000003</v>
      </c>
      <c r="W352" s="7">
        <v>662262.1590000001</v>
      </c>
      <c r="X352" s="7">
        <v>325752.89299999998</v>
      </c>
      <c r="Y352" s="7">
        <v>12897941.098999998</v>
      </c>
      <c r="Z352" s="8">
        <v>1.4420647691910029E-4</v>
      </c>
      <c r="AA352" s="8">
        <v>3.8702980597549676E-5</v>
      </c>
      <c r="AB352" s="8">
        <v>2.9510090147886298E-5</v>
      </c>
      <c r="AC352" s="8">
        <v>3.4530205880973121E-5</v>
      </c>
      <c r="AD352" s="8">
        <v>3.5286015124664271E-5</v>
      </c>
      <c r="AE352" s="8">
        <v>4.781422286907698E-5</v>
      </c>
      <c r="AF352" s="8">
        <v>7.7735134098283029E-5</v>
      </c>
      <c r="AG352" s="8">
        <v>3.0684264714210118E-4</v>
      </c>
      <c r="AH352" s="8">
        <v>9.4222505622580785E-4</v>
      </c>
      <c r="AI352" s="8">
        <v>3.6561455802635039E-3</v>
      </c>
      <c r="AJ352" s="8">
        <v>2.1096390339470262E-4</v>
      </c>
    </row>
    <row r="353" spans="1:36" x14ac:dyDescent="0.2">
      <c r="A353" t="s">
        <v>398</v>
      </c>
      <c r="B353">
        <v>2017</v>
      </c>
      <c r="C353" t="s">
        <v>407</v>
      </c>
      <c r="D353" s="7">
        <v>99</v>
      </c>
      <c r="E353" s="7">
        <v>47</v>
      </c>
      <c r="F353" s="7">
        <v>78</v>
      </c>
      <c r="G353" s="7">
        <v>48</v>
      </c>
      <c r="H353" s="7">
        <v>45</v>
      </c>
      <c r="I353" s="7">
        <v>69</v>
      </c>
      <c r="J353" s="7">
        <v>201</v>
      </c>
      <c r="K353" s="7">
        <v>360</v>
      </c>
      <c r="L353" s="7">
        <v>611</v>
      </c>
      <c r="M353" s="7">
        <v>1422</v>
      </c>
      <c r="N353" s="7">
        <v>2980</v>
      </c>
      <c r="O353" s="7">
        <v>715867</v>
      </c>
      <c r="P353" s="7">
        <v>1510035</v>
      </c>
      <c r="Q353" s="7">
        <v>1703779</v>
      </c>
      <c r="R353" s="7">
        <v>1655660</v>
      </c>
      <c r="S353" s="7">
        <v>1508763</v>
      </c>
      <c r="T353" s="7">
        <v>1777792</v>
      </c>
      <c r="U353" s="7">
        <v>1792804</v>
      </c>
      <c r="V353" s="7">
        <v>1203329</v>
      </c>
      <c r="W353" s="7">
        <v>663455</v>
      </c>
      <c r="X353" s="7">
        <v>326620</v>
      </c>
      <c r="Y353" s="7">
        <v>12858104</v>
      </c>
      <c r="Z353" s="8">
        <v>1.3829384508574918E-4</v>
      </c>
      <c r="AA353" s="8">
        <v>3.1125106371706613E-5</v>
      </c>
      <c r="AB353" s="8">
        <v>4.5780585392823834E-5</v>
      </c>
      <c r="AC353" s="8">
        <v>2.8991459599193072E-5</v>
      </c>
      <c r="AD353" s="8">
        <v>2.9825757922218401E-5</v>
      </c>
      <c r="AE353" s="8">
        <v>3.8812189502483977E-5</v>
      </c>
      <c r="AF353" s="8">
        <v>1.1211487703061796E-4</v>
      </c>
      <c r="AG353" s="8">
        <v>2.9917005241293112E-4</v>
      </c>
      <c r="AH353" s="8">
        <v>9.2093661212893111E-4</v>
      </c>
      <c r="AI353" s="8">
        <v>4.3536831792296855E-3</v>
      </c>
      <c r="AJ353" s="8">
        <v>2.3176045239640307E-4</v>
      </c>
    </row>
    <row r="354" spans="1:36" x14ac:dyDescent="0.2">
      <c r="A354" t="s">
        <v>408</v>
      </c>
      <c r="B354">
        <v>2009</v>
      </c>
      <c r="C354" t="s">
        <v>409</v>
      </c>
      <c r="D354" s="9">
        <v>107.62309368191721</v>
      </c>
      <c r="E354" s="9">
        <v>54.305010893246184</v>
      </c>
      <c r="F354" s="9">
        <v>54.100217864923749</v>
      </c>
      <c r="G354" s="9">
        <v>54.649237472766885</v>
      </c>
      <c r="H354" s="9">
        <v>56.06100217864924</v>
      </c>
      <c r="I354" s="9">
        <v>65.302832244008712</v>
      </c>
      <c r="J354" s="9">
        <v>98.721132897603482</v>
      </c>
      <c r="K354" s="9">
        <v>148.400871459695</v>
      </c>
      <c r="L354" s="9">
        <v>266.79738562091501</v>
      </c>
      <c r="M354" s="9">
        <v>475.49455337690631</v>
      </c>
      <c r="N354" s="9">
        <v>1381.4553376906317</v>
      </c>
      <c r="O354" s="7">
        <v>242236.07500000001</v>
      </c>
      <c r="P354" s="7">
        <v>566001.61200000008</v>
      </c>
      <c r="Q354" s="7">
        <v>571869.15699999989</v>
      </c>
      <c r="R354" s="7">
        <v>547903.72899999993</v>
      </c>
      <c r="S354" s="7">
        <v>521681.36100000015</v>
      </c>
      <c r="T354" s="7">
        <v>493379.63099999982</v>
      </c>
      <c r="U354" s="7">
        <v>429421.26300000009</v>
      </c>
      <c r="V354" s="7">
        <v>291560.6480000001</v>
      </c>
      <c r="W354" s="7">
        <v>163090.80700000006</v>
      </c>
      <c r="X354" s="7">
        <v>62698.668000000027</v>
      </c>
      <c r="Y354" s="7">
        <v>3889842.9509999999</v>
      </c>
      <c r="Z354" s="8">
        <v>4.442901152601536E-4</v>
      </c>
      <c r="AA354" s="8">
        <v>9.5944975671281616E-5</v>
      </c>
      <c r="AB354" s="8">
        <v>9.4602440440626461E-5</v>
      </c>
      <c r="AC354" s="8">
        <v>9.9742408347008884E-5</v>
      </c>
      <c r="AD354" s="8">
        <v>1.0746215289575818E-4</v>
      </c>
      <c r="AE354" s="8">
        <v>1.3235818453155546E-4</v>
      </c>
      <c r="AF354" s="8">
        <v>2.2989344358014115E-4</v>
      </c>
      <c r="AG354" s="8">
        <v>5.0898800121920067E-4</v>
      </c>
      <c r="AH354" s="8">
        <v>1.6358824297246558E-3</v>
      </c>
      <c r="AI354" s="8">
        <v>7.5838062999505204E-3</v>
      </c>
      <c r="AJ354" s="8">
        <v>3.5514424492009056E-4</v>
      </c>
    </row>
    <row r="355" spans="1:36" x14ac:dyDescent="0.2">
      <c r="A355" t="s">
        <v>408</v>
      </c>
      <c r="B355">
        <v>2010</v>
      </c>
      <c r="C355" t="s">
        <v>410</v>
      </c>
      <c r="D355" s="9">
        <v>107.62309368191721</v>
      </c>
      <c r="E355" s="9">
        <v>54.305010893246184</v>
      </c>
      <c r="F355" s="9">
        <v>54.100217864923749</v>
      </c>
      <c r="G355" s="9">
        <v>54.649237472766885</v>
      </c>
      <c r="H355" s="9">
        <v>56.06100217864924</v>
      </c>
      <c r="I355" s="9">
        <v>65.302832244008712</v>
      </c>
      <c r="J355" s="9">
        <v>98.721132897603482</v>
      </c>
      <c r="K355" s="9">
        <v>148.400871459695</v>
      </c>
      <c r="L355" s="9">
        <v>266.79738562091501</v>
      </c>
      <c r="M355" s="9">
        <v>475.49455337690631</v>
      </c>
      <c r="N355" s="9">
        <v>1381.4553376906317</v>
      </c>
      <c r="O355" s="7">
        <v>225701.34499999994</v>
      </c>
      <c r="P355" s="7">
        <v>513887.04800000018</v>
      </c>
      <c r="Q355" s="7">
        <v>535954.93099999998</v>
      </c>
      <c r="R355" s="7">
        <v>480980.196</v>
      </c>
      <c r="S355" s="7">
        <v>473898.36499999993</v>
      </c>
      <c r="T355" s="7">
        <v>462603.2589999999</v>
      </c>
      <c r="U355" s="7">
        <v>414223.30600000004</v>
      </c>
      <c r="V355" s="7">
        <v>285909.24899999989</v>
      </c>
      <c r="W355" s="7">
        <v>155526.22100000005</v>
      </c>
      <c r="X355" s="7">
        <v>58493.865999999987</v>
      </c>
      <c r="Y355" s="7">
        <v>3607177.7859999994</v>
      </c>
      <c r="Z355" s="8">
        <v>4.7683851277854477E-4</v>
      </c>
      <c r="AA355" s="8">
        <v>1.0567499434865337E-4</v>
      </c>
      <c r="AB355" s="8">
        <v>1.0094172986519971E-4</v>
      </c>
      <c r="AC355" s="8">
        <v>1.1362055637061382E-4</v>
      </c>
      <c r="AD355" s="8">
        <v>1.182975218297055E-4</v>
      </c>
      <c r="AE355" s="8">
        <v>1.4116379634932215E-4</v>
      </c>
      <c r="AF355" s="8">
        <v>2.3832829169106065E-4</v>
      </c>
      <c r="AG355" s="8">
        <v>5.1904886595569716E-4</v>
      </c>
      <c r="AH355" s="8">
        <v>1.7154495486707347E-3</v>
      </c>
      <c r="AI355" s="8">
        <v>8.1289643836655687E-3</v>
      </c>
      <c r="AJ355" s="8">
        <v>3.8297400894745693E-4</v>
      </c>
    </row>
    <row r="356" spans="1:36" x14ac:dyDescent="0.2">
      <c r="A356" t="s">
        <v>408</v>
      </c>
      <c r="B356">
        <v>2011</v>
      </c>
      <c r="C356" t="s">
        <v>411</v>
      </c>
      <c r="D356" s="9">
        <v>107.62309368191721</v>
      </c>
      <c r="E356" s="9">
        <v>54.305010893246184</v>
      </c>
      <c r="F356" s="9">
        <v>54.100217864923749</v>
      </c>
      <c r="G356" s="9">
        <v>54.649237472766885</v>
      </c>
      <c r="H356" s="9">
        <v>56.06100217864924</v>
      </c>
      <c r="I356" s="9">
        <v>65.302832244008712</v>
      </c>
      <c r="J356" s="9">
        <v>98.721132897603482</v>
      </c>
      <c r="K356" s="9">
        <v>148.400871459695</v>
      </c>
      <c r="L356" s="9">
        <v>266.79738562091501</v>
      </c>
      <c r="M356" s="9">
        <v>475.49455337690631</v>
      </c>
      <c r="N356" s="9">
        <v>1381.4553376906317</v>
      </c>
      <c r="O356" s="7">
        <v>224841.92599999998</v>
      </c>
      <c r="P356" s="7">
        <v>509876.87700000004</v>
      </c>
      <c r="Q356" s="7">
        <v>541032.34900000016</v>
      </c>
      <c r="R356" s="7">
        <v>484416.02400000021</v>
      </c>
      <c r="S356" s="7">
        <v>477857.13099999999</v>
      </c>
      <c r="T356" s="7">
        <v>480931.80500000017</v>
      </c>
      <c r="U356" s="7">
        <v>432012.12500000012</v>
      </c>
      <c r="V356" s="7">
        <v>304940.35399999999</v>
      </c>
      <c r="W356" s="7">
        <v>166821.68899999995</v>
      </c>
      <c r="X356" s="7">
        <v>62702.027999999991</v>
      </c>
      <c r="Y356" s="7">
        <v>3685432.3080000002</v>
      </c>
      <c r="Z356" s="8">
        <v>4.7866114472759505E-4</v>
      </c>
      <c r="AA356" s="8">
        <v>1.0650612597449909E-4</v>
      </c>
      <c r="AB356" s="8">
        <v>9.9994423558809667E-5</v>
      </c>
      <c r="AC356" s="8">
        <v>1.1281467739549189E-4</v>
      </c>
      <c r="AD356" s="8">
        <v>1.1731749625946095E-4</v>
      </c>
      <c r="AE356" s="8">
        <v>1.3578397511890213E-4</v>
      </c>
      <c r="AF356" s="8">
        <v>2.2851472721420368E-4</v>
      </c>
      <c r="AG356" s="8">
        <v>4.8665540494419114E-4</v>
      </c>
      <c r="AH356" s="8">
        <v>1.5992967534390271E-3</v>
      </c>
      <c r="AI356" s="8">
        <v>7.5833999081641569E-3</v>
      </c>
      <c r="AJ356" s="8">
        <v>3.7484214123045877E-4</v>
      </c>
    </row>
    <row r="357" spans="1:36" x14ac:dyDescent="0.2">
      <c r="A357" t="s">
        <v>408</v>
      </c>
      <c r="B357">
        <v>2012</v>
      </c>
      <c r="C357" t="s">
        <v>412</v>
      </c>
      <c r="D357" s="9">
        <v>107.62309368191721</v>
      </c>
      <c r="E357" s="9">
        <v>54.305010893246184</v>
      </c>
      <c r="F357" s="9">
        <v>54.100217864923749</v>
      </c>
      <c r="G357" s="9">
        <v>54.649237472766885</v>
      </c>
      <c r="H357" s="9">
        <v>56.06100217864924</v>
      </c>
      <c r="I357" s="9">
        <v>65.302832244008712</v>
      </c>
      <c r="J357" s="9">
        <v>98.721132897603482</v>
      </c>
      <c r="K357" s="9">
        <v>148.400871459695</v>
      </c>
      <c r="L357" s="9">
        <v>266.79738562091501</v>
      </c>
      <c r="M357" s="9">
        <v>475.49455337690631</v>
      </c>
      <c r="N357" s="9">
        <v>1381.4553376906317</v>
      </c>
      <c r="O357" s="7">
        <v>211630.06600000008</v>
      </c>
      <c r="P357" s="7">
        <v>482524.12699999992</v>
      </c>
      <c r="Q357" s="7">
        <v>520678.28599999991</v>
      </c>
      <c r="R357" s="7">
        <v>466245.4910000001</v>
      </c>
      <c r="S357" s="7">
        <v>459924.06400000007</v>
      </c>
      <c r="T357" s="7">
        <v>462970.8670000002</v>
      </c>
      <c r="U357" s="7">
        <v>418721.56199999992</v>
      </c>
      <c r="V357" s="7">
        <v>301127.07899999997</v>
      </c>
      <c r="W357" s="7">
        <v>160741.66899999997</v>
      </c>
      <c r="X357" s="7">
        <v>62386.201000000023</v>
      </c>
      <c r="Y357" s="7">
        <v>3546949.4119999995</v>
      </c>
      <c r="Z357" s="8">
        <v>5.085434962814649E-4</v>
      </c>
      <c r="AA357" s="8">
        <v>1.1254361772721511E-4</v>
      </c>
      <c r="AB357" s="8">
        <v>1.0390334938016554E-4</v>
      </c>
      <c r="AC357" s="8">
        <v>1.1721129432384553E-4</v>
      </c>
      <c r="AD357" s="8">
        <v>1.2189186556381019E-4</v>
      </c>
      <c r="AE357" s="8">
        <v>1.4105170951071676E-4</v>
      </c>
      <c r="AF357" s="8">
        <v>2.3576797054841782E-4</v>
      </c>
      <c r="AG357" s="8">
        <v>4.9281808847119663E-4</v>
      </c>
      <c r="AH357" s="8">
        <v>1.6597898185374388E-3</v>
      </c>
      <c r="AI357" s="8">
        <v>7.6217904882027697E-3</v>
      </c>
      <c r="AJ357" s="8">
        <v>3.894770342697608E-4</v>
      </c>
    </row>
    <row r="358" spans="1:36" x14ac:dyDescent="0.2">
      <c r="A358" t="s">
        <v>408</v>
      </c>
      <c r="B358">
        <v>2013</v>
      </c>
      <c r="C358" t="s">
        <v>413</v>
      </c>
      <c r="D358" s="9">
        <v>107.62309368191721</v>
      </c>
      <c r="E358" s="9">
        <v>54.305010893246184</v>
      </c>
      <c r="F358" s="9">
        <v>54.100217864923749</v>
      </c>
      <c r="G358" s="9">
        <v>54.649237472766885</v>
      </c>
      <c r="H358" s="9">
        <v>56.06100217864924</v>
      </c>
      <c r="I358" s="9">
        <v>65.302832244008712</v>
      </c>
      <c r="J358" s="9">
        <v>98.721132897603482</v>
      </c>
      <c r="K358" s="9">
        <v>148.400871459695</v>
      </c>
      <c r="L358" s="9">
        <v>266.79738562091501</v>
      </c>
      <c r="M358" s="9">
        <v>475.49455337690631</v>
      </c>
      <c r="N358" s="9">
        <v>1381.4553376906317</v>
      </c>
      <c r="O358" s="7">
        <v>217021.807</v>
      </c>
      <c r="P358" s="7">
        <v>493487.8</v>
      </c>
      <c r="Q358" s="7">
        <v>538967.22100000025</v>
      </c>
      <c r="R358" s="7">
        <v>481182.77800000011</v>
      </c>
      <c r="S358" s="7">
        <v>477610.24699999997</v>
      </c>
      <c r="T358" s="7">
        <v>492386.61199999979</v>
      </c>
      <c r="U358" s="7">
        <v>450297.73800000013</v>
      </c>
      <c r="V358" s="7">
        <v>331912.6160000001</v>
      </c>
      <c r="W358" s="7">
        <v>178150.00099999996</v>
      </c>
      <c r="X358" s="7">
        <v>70629.533999999971</v>
      </c>
      <c r="Y358" s="7">
        <v>3731646.3539999998</v>
      </c>
      <c r="Z358" s="8">
        <v>4.9590912162074668E-4</v>
      </c>
      <c r="AA358" s="8">
        <v>1.1004326934373288E-4</v>
      </c>
      <c r="AB358" s="8">
        <v>1.0037756612460803E-4</v>
      </c>
      <c r="AC358" s="8">
        <v>1.1357272115995572E-4</v>
      </c>
      <c r="AD358" s="8">
        <v>1.1737813945739996E-4</v>
      </c>
      <c r="AE358" s="8">
        <v>1.326251174433003E-4</v>
      </c>
      <c r="AF358" s="8">
        <v>2.1923524052346773E-4</v>
      </c>
      <c r="AG358" s="8">
        <v>4.4710825773400237E-4</v>
      </c>
      <c r="AH358" s="8">
        <v>1.4975996863503529E-3</v>
      </c>
      <c r="AI358" s="8">
        <v>6.732234044994641E-3</v>
      </c>
      <c r="AJ358" s="8">
        <v>3.7019996179697787E-4</v>
      </c>
    </row>
    <row r="359" spans="1:36" x14ac:dyDescent="0.2">
      <c r="A359" t="s">
        <v>408</v>
      </c>
      <c r="B359">
        <v>2014</v>
      </c>
      <c r="C359" t="s">
        <v>414</v>
      </c>
      <c r="D359" s="9">
        <v>107.62309368191721</v>
      </c>
      <c r="E359" s="9">
        <v>54.305010893246184</v>
      </c>
      <c r="F359" s="9">
        <v>54.100217864923749</v>
      </c>
      <c r="G359" s="9">
        <v>54.649237472766885</v>
      </c>
      <c r="H359" s="9">
        <v>56.06100217864924</v>
      </c>
      <c r="I359" s="9">
        <v>65.302832244008712</v>
      </c>
      <c r="J359" s="9">
        <v>98.721132897603482</v>
      </c>
      <c r="K359" s="9">
        <v>148.400871459695</v>
      </c>
      <c r="L359" s="9">
        <v>266.79738562091501</v>
      </c>
      <c r="M359" s="9">
        <v>475.49455337690631</v>
      </c>
      <c r="N359" s="9">
        <v>1381.4553376906317</v>
      </c>
      <c r="O359" s="7">
        <v>197101.068</v>
      </c>
      <c r="P359" s="7">
        <v>448315.44999999995</v>
      </c>
      <c r="Q359" s="7">
        <v>503713.73400000005</v>
      </c>
      <c r="R359" s="7">
        <v>444109.30099999998</v>
      </c>
      <c r="S359" s="7">
        <v>439700.21899999998</v>
      </c>
      <c r="T359" s="7">
        <v>452760.52999999991</v>
      </c>
      <c r="U359" s="7">
        <v>418176.41700000007</v>
      </c>
      <c r="V359" s="7">
        <v>316542.72099999996</v>
      </c>
      <c r="W359" s="7">
        <v>169081.41899999999</v>
      </c>
      <c r="X359" s="7">
        <v>65446.450999999994</v>
      </c>
      <c r="Y359" s="7">
        <v>3454947.3099999991</v>
      </c>
      <c r="Z359" s="8">
        <v>5.4602998742714684E-4</v>
      </c>
      <c r="AA359" s="8">
        <v>1.2113125009019026E-4</v>
      </c>
      <c r="AB359" s="8">
        <v>1.0740270557110469E-4</v>
      </c>
      <c r="AC359" s="8">
        <v>1.2305357566192221E-4</v>
      </c>
      <c r="AD359" s="8">
        <v>1.2749823574376989E-4</v>
      </c>
      <c r="AE359" s="8">
        <v>1.4423260844757983E-4</v>
      </c>
      <c r="AF359" s="8">
        <v>2.3607532343844121E-4</v>
      </c>
      <c r="AG359" s="8">
        <v>4.6881782967833597E-4</v>
      </c>
      <c r="AH359" s="8">
        <v>1.5779225606151023E-3</v>
      </c>
      <c r="AI359" s="8">
        <v>7.2653985985719283E-3</v>
      </c>
      <c r="AJ359" s="8">
        <v>3.9984845317094924E-4</v>
      </c>
    </row>
    <row r="360" spans="1:36" x14ac:dyDescent="0.2">
      <c r="A360" t="s">
        <v>408</v>
      </c>
      <c r="B360">
        <v>2015</v>
      </c>
      <c r="C360" t="s">
        <v>415</v>
      </c>
      <c r="D360" s="9">
        <v>107.62309368191721</v>
      </c>
      <c r="E360" s="9">
        <v>54.305010893246184</v>
      </c>
      <c r="F360" s="9">
        <v>54.100217864923749</v>
      </c>
      <c r="G360" s="9">
        <v>54.649237472766885</v>
      </c>
      <c r="H360" s="9">
        <v>56.06100217864924</v>
      </c>
      <c r="I360" s="9">
        <v>65.302832244008712</v>
      </c>
      <c r="J360" s="9">
        <v>98.721132897603482</v>
      </c>
      <c r="K360" s="9">
        <v>148.400871459695</v>
      </c>
      <c r="L360" s="9">
        <v>266.79738562091501</v>
      </c>
      <c r="M360" s="9">
        <v>475.49455337690631</v>
      </c>
      <c r="N360" s="9">
        <v>1381.4553376906317</v>
      </c>
      <c r="O360" s="7">
        <v>189464.14600000004</v>
      </c>
      <c r="P360" s="7">
        <v>438114.67599999998</v>
      </c>
      <c r="Q360" s="7">
        <v>501051.93699999974</v>
      </c>
      <c r="R360" s="7">
        <v>438789.38300000003</v>
      </c>
      <c r="S360" s="7">
        <v>441918.22200000001</v>
      </c>
      <c r="T360" s="7">
        <v>459432.39299999998</v>
      </c>
      <c r="U360" s="7">
        <v>425631.53</v>
      </c>
      <c r="V360" s="7">
        <v>331290.86299999995</v>
      </c>
      <c r="W360" s="7">
        <v>179567.64200000002</v>
      </c>
      <c r="X360" s="7">
        <v>69609.047999999995</v>
      </c>
      <c r="Y360" s="7">
        <v>3474869.8400000003</v>
      </c>
      <c r="Z360" s="8">
        <v>5.6803936762746233E-4</v>
      </c>
      <c r="AA360" s="8">
        <v>1.2395159045812515E-4</v>
      </c>
      <c r="AB360" s="8">
        <v>1.0797327356689527E-4</v>
      </c>
      <c r="AC360" s="8">
        <v>1.2454548717457661E-4</v>
      </c>
      <c r="AD360" s="8">
        <v>1.2685831764287203E-4</v>
      </c>
      <c r="AE360" s="8">
        <v>1.4213806696910183E-4</v>
      </c>
      <c r="AF360" s="8">
        <v>2.3194036611339267E-4</v>
      </c>
      <c r="AG360" s="8">
        <v>4.4794737203390669E-4</v>
      </c>
      <c r="AH360" s="8">
        <v>1.4857765165781649E-3</v>
      </c>
      <c r="AI360" s="8">
        <v>6.8309302747094937E-3</v>
      </c>
      <c r="AJ360" s="8">
        <v>3.9755599527452562E-4</v>
      </c>
    </row>
    <row r="361" spans="1:36" x14ac:dyDescent="0.2">
      <c r="A361" t="s">
        <v>408</v>
      </c>
      <c r="B361">
        <v>2016</v>
      </c>
      <c r="C361" t="s">
        <v>416</v>
      </c>
      <c r="D361" s="9">
        <v>107.62309368191721</v>
      </c>
      <c r="E361" s="9">
        <v>54.305010893246184</v>
      </c>
      <c r="F361" s="9">
        <v>54.100217864923749</v>
      </c>
      <c r="G361" s="9">
        <v>54.649237472766885</v>
      </c>
      <c r="H361" s="9">
        <v>56.06100217864924</v>
      </c>
      <c r="I361" s="9">
        <v>65.302832244008712</v>
      </c>
      <c r="J361" s="9">
        <v>98.721132897603482</v>
      </c>
      <c r="K361" s="9">
        <v>148.400871459695</v>
      </c>
      <c r="L361" s="9">
        <v>266.79738562091501</v>
      </c>
      <c r="M361" s="9">
        <v>475.49455337690631</v>
      </c>
      <c r="N361" s="9">
        <v>1381.4553376906317</v>
      </c>
      <c r="O361" s="7">
        <v>179226.171</v>
      </c>
      <c r="P361" s="7">
        <v>423418.359</v>
      </c>
      <c r="Q361" s="7">
        <v>484957.97000000015</v>
      </c>
      <c r="R361" s="7">
        <v>421250.72599999997</v>
      </c>
      <c r="S361" s="7">
        <v>429282.50499999989</v>
      </c>
      <c r="T361" s="7">
        <v>449535.28400000004</v>
      </c>
      <c r="U361" s="7">
        <v>424441.01300000004</v>
      </c>
      <c r="V361" s="7">
        <v>337526.75000000012</v>
      </c>
      <c r="W361" s="7">
        <v>179305.55000000005</v>
      </c>
      <c r="X361" s="7">
        <v>71640.895000000004</v>
      </c>
      <c r="Y361" s="7">
        <v>3400585.2229999998</v>
      </c>
      <c r="Z361" s="8">
        <v>6.0048760223704834E-4</v>
      </c>
      <c r="AA361" s="8">
        <v>1.2825379376912228E-4</v>
      </c>
      <c r="AB361" s="8">
        <v>1.1155650842262419E-4</v>
      </c>
      <c r="AC361" s="8">
        <v>1.2973090394808456E-4</v>
      </c>
      <c r="AD361" s="8">
        <v>1.3059232912053859E-4</v>
      </c>
      <c r="AE361" s="8">
        <v>1.4526742297721107E-4</v>
      </c>
      <c r="AF361" s="8">
        <v>2.3259093695925063E-4</v>
      </c>
      <c r="AG361" s="8">
        <v>4.3967143777402811E-4</v>
      </c>
      <c r="AH361" s="8">
        <v>1.4879482850414555E-3</v>
      </c>
      <c r="AI361" s="8">
        <v>6.637194487546621E-3</v>
      </c>
      <c r="AJ361" s="8">
        <v>4.0624046953656711E-4</v>
      </c>
    </row>
    <row r="362" spans="1:36" x14ac:dyDescent="0.2">
      <c r="A362" t="s">
        <v>408</v>
      </c>
      <c r="B362">
        <v>2017</v>
      </c>
      <c r="C362" t="s">
        <v>417</v>
      </c>
      <c r="D362" s="9">
        <v>107.62309368191721</v>
      </c>
      <c r="E362" s="9">
        <v>54.305010893246184</v>
      </c>
      <c r="F362" s="9">
        <v>54.100217864923749</v>
      </c>
      <c r="G362" s="9">
        <v>54.649237472766885</v>
      </c>
      <c r="H362" s="9">
        <v>56.06100217864924</v>
      </c>
      <c r="I362" s="9">
        <v>65.302832244008712</v>
      </c>
      <c r="J362" s="9">
        <v>98.721132897603482</v>
      </c>
      <c r="K362" s="9">
        <v>148.400871459695</v>
      </c>
      <c r="L362" s="9">
        <v>266.79738562091501</v>
      </c>
      <c r="M362" s="9">
        <v>475.49455337690631</v>
      </c>
      <c r="N362" s="9">
        <v>1381.4553376906317</v>
      </c>
      <c r="O362" s="7">
        <v>179418</v>
      </c>
      <c r="P362" s="7">
        <v>425634</v>
      </c>
      <c r="Q362" s="7">
        <v>490739</v>
      </c>
      <c r="R362" s="7">
        <v>440439</v>
      </c>
      <c r="S362" s="7">
        <v>441536</v>
      </c>
      <c r="T362" s="7">
        <v>465252</v>
      </c>
      <c r="U362" s="7">
        <v>448981</v>
      </c>
      <c r="V362" s="7">
        <v>365090</v>
      </c>
      <c r="W362" s="7">
        <v>202950</v>
      </c>
      <c r="X362" s="7">
        <v>76516</v>
      </c>
      <c r="Y362" s="7">
        <v>3536555</v>
      </c>
      <c r="Z362" s="8">
        <v>5.9984557670867593E-4</v>
      </c>
      <c r="AA362" s="8">
        <v>1.275861676775027E-4</v>
      </c>
      <c r="AB362" s="8">
        <v>1.1024234443344374E-4</v>
      </c>
      <c r="AC362" s="8">
        <v>1.2407901542044842E-4</v>
      </c>
      <c r="AD362" s="8">
        <v>1.2696813437329966E-4</v>
      </c>
      <c r="AE362" s="8">
        <v>1.4036013223803169E-4</v>
      </c>
      <c r="AF362" s="8">
        <v>2.1987819729031626E-4</v>
      </c>
      <c r="AG362" s="8">
        <v>4.0647750269712945E-4</v>
      </c>
      <c r="AH362" s="8">
        <v>1.3145966278438779E-3</v>
      </c>
      <c r="AI362" s="8">
        <v>6.2143153507358759E-3</v>
      </c>
      <c r="AJ362" s="8">
        <v>3.906217597890127E-4</v>
      </c>
    </row>
    <row r="363" spans="1:36" x14ac:dyDescent="0.2">
      <c r="A363" t="s">
        <v>418</v>
      </c>
      <c r="B363">
        <v>2009</v>
      </c>
      <c r="C363" t="s">
        <v>419</v>
      </c>
      <c r="D363" s="7">
        <v>125</v>
      </c>
      <c r="E363" s="7">
        <v>44</v>
      </c>
      <c r="F363" s="7">
        <v>58</v>
      </c>
      <c r="G363" s="7">
        <v>30</v>
      </c>
      <c r="H363" s="7">
        <v>36</v>
      </c>
      <c r="I363" s="7">
        <v>47</v>
      </c>
      <c r="J363" s="7">
        <v>61</v>
      </c>
      <c r="K363" s="7">
        <v>66</v>
      </c>
      <c r="L363" s="7">
        <v>62</v>
      </c>
      <c r="M363" s="7">
        <v>98</v>
      </c>
      <c r="N363" s="7">
        <v>627</v>
      </c>
      <c r="O363" s="7">
        <v>61090.154999999999</v>
      </c>
      <c r="P363" s="7">
        <v>129218.09700000001</v>
      </c>
      <c r="Q363" s="7">
        <v>152566.22200000001</v>
      </c>
      <c r="R363" s="7">
        <v>132592.07399999999</v>
      </c>
      <c r="S363" s="7">
        <v>153612.867</v>
      </c>
      <c r="T363" s="7">
        <v>160689.891</v>
      </c>
      <c r="U363" s="7">
        <v>118191.06200000001</v>
      </c>
      <c r="V363" s="7">
        <v>70282.956000000006</v>
      </c>
      <c r="W363" s="7">
        <v>55547.460999999996</v>
      </c>
      <c r="X363" s="7">
        <v>23552.728000000003</v>
      </c>
      <c r="Y363" s="7">
        <v>1057343.5130000003</v>
      </c>
      <c r="Z363" s="8">
        <v>2.046156209621665E-3</v>
      </c>
      <c r="AA363" s="8">
        <v>3.4050958048082071E-4</v>
      </c>
      <c r="AB363" s="8">
        <v>3.8016278596713233E-4</v>
      </c>
      <c r="AC363" s="8">
        <v>2.2625786817393023E-4</v>
      </c>
      <c r="AD363" s="8">
        <v>2.3435536816066325E-4</v>
      </c>
      <c r="AE363" s="8">
        <v>2.924888411306471E-4</v>
      </c>
      <c r="AF363" s="8">
        <v>5.1611347734568957E-4</v>
      </c>
      <c r="AG363" s="8">
        <v>9.3906124267169409E-4</v>
      </c>
      <c r="AH363" s="8">
        <v>1.1161626271270978E-3</v>
      </c>
      <c r="AI363" s="8">
        <v>4.1608768207232723E-3</v>
      </c>
      <c r="AJ363" s="8">
        <v>5.9299555186281252E-4</v>
      </c>
    </row>
    <row r="364" spans="1:36" x14ac:dyDescent="0.2">
      <c r="A364" t="s">
        <v>418</v>
      </c>
      <c r="B364">
        <v>2010</v>
      </c>
      <c r="C364" t="s">
        <v>420</v>
      </c>
      <c r="D364" s="7">
        <v>121</v>
      </c>
      <c r="E364" s="7">
        <v>62</v>
      </c>
      <c r="F364" s="7">
        <v>63</v>
      </c>
      <c r="G364" s="7">
        <v>58</v>
      </c>
      <c r="H364" s="7">
        <v>45</v>
      </c>
      <c r="I364" s="7">
        <v>63</v>
      </c>
      <c r="J364" s="7">
        <v>67</v>
      </c>
      <c r="K364" s="7">
        <v>48</v>
      </c>
      <c r="L364" s="7">
        <v>61</v>
      </c>
      <c r="M364" s="7">
        <v>111</v>
      </c>
      <c r="N364" s="7">
        <v>699</v>
      </c>
      <c r="O364" s="7">
        <v>59283.511000000006</v>
      </c>
      <c r="P364" s="7">
        <v>127533.791</v>
      </c>
      <c r="Q364" s="7">
        <v>160698.1</v>
      </c>
      <c r="R364" s="7">
        <v>127788.056</v>
      </c>
      <c r="S364" s="7">
        <v>146914.60700000002</v>
      </c>
      <c r="T364" s="7">
        <v>160827.18800000002</v>
      </c>
      <c r="U364" s="7">
        <v>122761.476</v>
      </c>
      <c r="V364" s="7">
        <v>70635.231</v>
      </c>
      <c r="W364" s="7">
        <v>54667.648999999998</v>
      </c>
      <c r="X364" s="7">
        <v>24560.228999999999</v>
      </c>
      <c r="Y364" s="7">
        <v>1055669.838</v>
      </c>
      <c r="Z364" s="8">
        <v>2.0410397083263166E-3</v>
      </c>
      <c r="AA364" s="8">
        <v>4.8614566785676436E-4</v>
      </c>
      <c r="AB364" s="8">
        <v>3.9203948273190534E-4</v>
      </c>
      <c r="AC364" s="8">
        <v>4.5387653443918109E-4</v>
      </c>
      <c r="AD364" s="8">
        <v>3.063003803290982E-4</v>
      </c>
      <c r="AE364" s="8">
        <v>3.9172481210079973E-4</v>
      </c>
      <c r="AF364" s="8">
        <v>5.4577382240011518E-4</v>
      </c>
      <c r="AG364" s="8">
        <v>6.7954757591151646E-4</v>
      </c>
      <c r="AH364" s="8">
        <v>1.1158336075509669E-3</v>
      </c>
      <c r="AI364" s="8">
        <v>4.519501833635183E-3</v>
      </c>
      <c r="AJ364" s="8">
        <v>6.6213883814685633E-4</v>
      </c>
    </row>
    <row r="365" spans="1:36" x14ac:dyDescent="0.2">
      <c r="A365" t="s">
        <v>418</v>
      </c>
      <c r="B365">
        <v>2011</v>
      </c>
      <c r="C365" t="s">
        <v>421</v>
      </c>
      <c r="D365" s="7">
        <v>106</v>
      </c>
      <c r="E365" s="7">
        <v>57</v>
      </c>
      <c r="F365" s="7">
        <v>44</v>
      </c>
      <c r="G365" s="7">
        <v>49</v>
      </c>
      <c r="H365" s="7">
        <v>43</v>
      </c>
      <c r="I365" s="7">
        <v>53</v>
      </c>
      <c r="J365" s="7">
        <v>51</v>
      </c>
      <c r="K365" s="7">
        <v>65</v>
      </c>
      <c r="L365" s="7">
        <v>47</v>
      </c>
      <c r="M365" s="7">
        <v>139</v>
      </c>
      <c r="N365" s="7">
        <v>654</v>
      </c>
      <c r="O365" s="7">
        <v>58002.8</v>
      </c>
      <c r="P365" s="7">
        <v>126279.783</v>
      </c>
      <c r="Q365" s="7">
        <v>161452.304</v>
      </c>
      <c r="R365" s="7">
        <v>127379.747</v>
      </c>
      <c r="S365" s="7">
        <v>142137.97</v>
      </c>
      <c r="T365" s="7">
        <v>160668.035</v>
      </c>
      <c r="U365" s="7">
        <v>127612.29800000001</v>
      </c>
      <c r="V365" s="7">
        <v>72231.608000000007</v>
      </c>
      <c r="W365" s="7">
        <v>53682.701000000001</v>
      </c>
      <c r="X365" s="7">
        <v>25087.219000000001</v>
      </c>
      <c r="Y365" s="7">
        <v>1054534.4649999999</v>
      </c>
      <c r="Z365" s="8">
        <v>1.8274979828559999E-3</v>
      </c>
      <c r="AA365" s="8">
        <v>4.5137866605298176E-4</v>
      </c>
      <c r="AB365" s="8">
        <v>2.7252630597331086E-4</v>
      </c>
      <c r="AC365" s="8">
        <v>3.8467653731483702E-4</v>
      </c>
      <c r="AD365" s="8">
        <v>3.0252296413125921E-4</v>
      </c>
      <c r="AE365" s="8">
        <v>3.2987270927910457E-4</v>
      </c>
      <c r="AF365" s="8">
        <v>3.9964800257730643E-4</v>
      </c>
      <c r="AG365" s="8">
        <v>8.9988305396717727E-4</v>
      </c>
      <c r="AH365" s="8">
        <v>8.7551481435332401E-4</v>
      </c>
      <c r="AI365" s="8">
        <v>5.5406699323667557E-3</v>
      </c>
      <c r="AJ365" s="8">
        <v>6.201788767520273E-4</v>
      </c>
    </row>
    <row r="366" spans="1:36" x14ac:dyDescent="0.2">
      <c r="A366" t="s">
        <v>418</v>
      </c>
      <c r="B366">
        <v>2012</v>
      </c>
      <c r="C366" t="s">
        <v>422</v>
      </c>
      <c r="D366" s="7">
        <v>115</v>
      </c>
      <c r="E366" s="7">
        <v>46</v>
      </c>
      <c r="F366" s="7">
        <v>52</v>
      </c>
      <c r="G366" s="7">
        <v>47</v>
      </c>
      <c r="H366" s="7">
        <v>57</v>
      </c>
      <c r="I366" s="7">
        <v>39</v>
      </c>
      <c r="J366" s="7">
        <v>57</v>
      </c>
      <c r="K366" s="7">
        <v>45</v>
      </c>
      <c r="L366" s="7">
        <v>44</v>
      </c>
      <c r="M366" s="7">
        <v>71</v>
      </c>
      <c r="N366" s="7">
        <v>573</v>
      </c>
      <c r="O366" s="7">
        <v>56621.284999999996</v>
      </c>
      <c r="P366" s="7">
        <v>124764.889</v>
      </c>
      <c r="Q366" s="7">
        <v>161408.93099999998</v>
      </c>
      <c r="R366" s="7">
        <v>128129.56299999999</v>
      </c>
      <c r="S366" s="7">
        <v>137111.88399999999</v>
      </c>
      <c r="T366" s="7">
        <v>160128.08899999998</v>
      </c>
      <c r="U366" s="7">
        <v>130742.87300000001</v>
      </c>
      <c r="V366" s="7">
        <v>75064.736999999994</v>
      </c>
      <c r="W366" s="7">
        <v>51452.987000000001</v>
      </c>
      <c r="X366" s="7">
        <v>26116.228000000003</v>
      </c>
      <c r="Y366" s="7">
        <v>1051541.4659999998</v>
      </c>
      <c r="Z366" s="8">
        <v>2.0310383277242828E-3</v>
      </c>
      <c r="AA366" s="8">
        <v>3.6869347112551833E-4</v>
      </c>
      <c r="AB366" s="8">
        <v>3.2216309021958645E-4</v>
      </c>
      <c r="AC366" s="8">
        <v>3.6681620462562569E-4</v>
      </c>
      <c r="AD366" s="8">
        <v>4.1571888837877834E-4</v>
      </c>
      <c r="AE366" s="8">
        <v>2.4355502050611499E-4</v>
      </c>
      <c r="AF366" s="8">
        <v>4.3597022684364596E-4</v>
      </c>
      <c r="AG366" s="8">
        <v>5.9948255064158824E-4</v>
      </c>
      <c r="AH366" s="8">
        <v>8.5514957566992171E-4</v>
      </c>
      <c r="AI366" s="8">
        <v>2.7186161799475786E-3</v>
      </c>
      <c r="AJ366" s="8">
        <v>5.4491431724481339E-4</v>
      </c>
    </row>
    <row r="367" spans="1:36" x14ac:dyDescent="0.2">
      <c r="A367" t="s">
        <v>418</v>
      </c>
      <c r="B367">
        <v>2013</v>
      </c>
      <c r="C367" t="s">
        <v>423</v>
      </c>
      <c r="D367" s="7">
        <v>129</v>
      </c>
      <c r="E367" s="7">
        <v>51</v>
      </c>
      <c r="F367" s="7">
        <v>61</v>
      </c>
      <c r="G367" s="7">
        <v>59</v>
      </c>
      <c r="H367" s="7">
        <v>49</v>
      </c>
      <c r="I367" s="7">
        <v>56</v>
      </c>
      <c r="J367" s="7">
        <v>66</v>
      </c>
      <c r="K367" s="7">
        <v>62</v>
      </c>
      <c r="L367" s="7">
        <v>53</v>
      </c>
      <c r="M367" s="7">
        <v>97</v>
      </c>
      <c r="N367" s="7">
        <v>683</v>
      </c>
      <c r="O367" s="7">
        <v>56278.313000000002</v>
      </c>
      <c r="P367" s="7">
        <v>123212.005</v>
      </c>
      <c r="Q367" s="7">
        <v>160714.88900000002</v>
      </c>
      <c r="R367" s="7">
        <v>129837.633</v>
      </c>
      <c r="S367" s="7">
        <v>133707.21699999998</v>
      </c>
      <c r="T367" s="7">
        <v>159528.177</v>
      </c>
      <c r="U367" s="7">
        <v>134099.59299999999</v>
      </c>
      <c r="V367" s="7">
        <v>78665.145999999993</v>
      </c>
      <c r="W367" s="7">
        <v>50036.478999999999</v>
      </c>
      <c r="X367" s="7">
        <v>27201.741999999998</v>
      </c>
      <c r="Y367" s="7">
        <v>1053281.1940000001</v>
      </c>
      <c r="Z367" s="8">
        <v>2.2921795825685109E-3</v>
      </c>
      <c r="AA367" s="8">
        <v>4.1392070521050281E-4</v>
      </c>
      <c r="AB367" s="8">
        <v>3.7955413079369385E-4</v>
      </c>
      <c r="AC367" s="8">
        <v>4.5441370607857584E-4</v>
      </c>
      <c r="AD367" s="8">
        <v>3.6647236476397538E-4</v>
      </c>
      <c r="AE367" s="8">
        <v>3.5103516540529387E-4</v>
      </c>
      <c r="AF367" s="8">
        <v>4.9217151613577237E-4</v>
      </c>
      <c r="AG367" s="8">
        <v>7.8815082857661004E-4</v>
      </c>
      <c r="AH367" s="8">
        <v>1.0592272090128485E-3</v>
      </c>
      <c r="AI367" s="8">
        <v>3.5659480925890703E-3</v>
      </c>
      <c r="AJ367" s="8">
        <v>6.4844981937463503E-4</v>
      </c>
    </row>
    <row r="368" spans="1:36" x14ac:dyDescent="0.2">
      <c r="A368" t="s">
        <v>418</v>
      </c>
      <c r="B368">
        <v>2014</v>
      </c>
      <c r="C368" t="s">
        <v>424</v>
      </c>
      <c r="D368" s="7">
        <v>91</v>
      </c>
      <c r="E368" s="7">
        <v>64</v>
      </c>
      <c r="F368" s="7">
        <v>58</v>
      </c>
      <c r="G368" s="7">
        <v>54</v>
      </c>
      <c r="H368" s="7">
        <v>68</v>
      </c>
      <c r="I368" s="7">
        <v>40</v>
      </c>
      <c r="J368" s="7">
        <v>60</v>
      </c>
      <c r="K368" s="7">
        <v>44</v>
      </c>
      <c r="L368" s="7">
        <v>43</v>
      </c>
      <c r="M368" s="7">
        <v>85</v>
      </c>
      <c r="N368" s="7">
        <v>607</v>
      </c>
      <c r="O368" s="7">
        <v>55335.516999999993</v>
      </c>
      <c r="P368" s="7">
        <v>121847.66500000002</v>
      </c>
      <c r="Q368" s="7">
        <v>159175.99799999999</v>
      </c>
      <c r="R368" s="7">
        <v>132136.65400000001</v>
      </c>
      <c r="S368" s="7">
        <v>130328.41</v>
      </c>
      <c r="T368" s="7">
        <v>156938.89800000002</v>
      </c>
      <c r="U368" s="7">
        <v>137176.37900000002</v>
      </c>
      <c r="V368" s="7">
        <v>81733.797000000006</v>
      </c>
      <c r="W368" s="7">
        <v>49353.993000000002</v>
      </c>
      <c r="X368" s="7">
        <v>27806.086000000003</v>
      </c>
      <c r="Y368" s="7">
        <v>1051833.3970000001</v>
      </c>
      <c r="Z368" s="8">
        <v>1.6445134144133869E-3</v>
      </c>
      <c r="AA368" s="8">
        <v>5.2524601107456579E-4</v>
      </c>
      <c r="AB368" s="8">
        <v>3.643765437550453E-4</v>
      </c>
      <c r="AC368" s="8">
        <v>4.0866783262121951E-4</v>
      </c>
      <c r="AD368" s="8">
        <v>5.2175883984159708E-4</v>
      </c>
      <c r="AE368" s="8">
        <v>2.5487626400944903E-4</v>
      </c>
      <c r="AF368" s="8">
        <v>4.3739308791639699E-4</v>
      </c>
      <c r="AG368" s="8">
        <v>5.383329982822161E-4</v>
      </c>
      <c r="AH368" s="8">
        <v>8.7125675930618211E-4</v>
      </c>
      <c r="AI368" s="8">
        <v>3.0568847409879977E-3</v>
      </c>
      <c r="AJ368" s="8">
        <v>5.770875898514562E-4</v>
      </c>
    </row>
    <row r="369" spans="1:36" x14ac:dyDescent="0.2">
      <c r="A369" t="s">
        <v>418</v>
      </c>
      <c r="B369">
        <v>2015</v>
      </c>
      <c r="C369" t="s">
        <v>425</v>
      </c>
      <c r="D369" s="7">
        <v>129</v>
      </c>
      <c r="E369" s="7">
        <v>52</v>
      </c>
      <c r="F369" s="7">
        <v>47</v>
      </c>
      <c r="G369" s="7">
        <v>64</v>
      </c>
      <c r="H369" s="7">
        <v>52</v>
      </c>
      <c r="I369" s="7">
        <v>59</v>
      </c>
      <c r="J369" s="7">
        <v>64</v>
      </c>
      <c r="K369" s="7">
        <v>53</v>
      </c>
      <c r="L369" s="7">
        <v>40</v>
      </c>
      <c r="M369" s="7">
        <v>151</v>
      </c>
      <c r="N369" s="7">
        <v>711</v>
      </c>
      <c r="O369" s="7">
        <v>60149.471000000005</v>
      </c>
      <c r="P369" s="7">
        <v>130967.41000000002</v>
      </c>
      <c r="Q369" s="7">
        <v>167466.32399999999</v>
      </c>
      <c r="R369" s="7">
        <v>144973.32</v>
      </c>
      <c r="S369" s="7">
        <v>138295.10699999999</v>
      </c>
      <c r="T369" s="7">
        <v>166243.875</v>
      </c>
      <c r="U369" s="7">
        <v>151538.52199999997</v>
      </c>
      <c r="V369" s="7">
        <v>93732.197</v>
      </c>
      <c r="W369" s="7">
        <v>52903.271999999997</v>
      </c>
      <c r="X369" s="7">
        <v>30530.058000000005</v>
      </c>
      <c r="Y369" s="7">
        <v>1136799.5560000001</v>
      </c>
      <c r="Z369" s="8">
        <v>2.1446572655643139E-3</v>
      </c>
      <c r="AA369" s="8">
        <v>3.9704534127994127E-4</v>
      </c>
      <c r="AB369" s="8">
        <v>2.8065344050903036E-4</v>
      </c>
      <c r="AC369" s="8">
        <v>4.4146053908401903E-4</v>
      </c>
      <c r="AD369" s="8">
        <v>3.760075184727975E-4</v>
      </c>
      <c r="AE369" s="8">
        <v>3.5490029331907715E-4</v>
      </c>
      <c r="AF369" s="8">
        <v>4.2233485687553435E-4</v>
      </c>
      <c r="AG369" s="8">
        <v>5.6544070977019776E-4</v>
      </c>
      <c r="AH369" s="8">
        <v>7.5609690077392566E-4</v>
      </c>
      <c r="AI369" s="8">
        <v>4.9459454023965486E-3</v>
      </c>
      <c r="AJ369" s="8">
        <v>6.2544007538299911E-4</v>
      </c>
    </row>
    <row r="370" spans="1:36" x14ac:dyDescent="0.2">
      <c r="A370" t="s">
        <v>418</v>
      </c>
      <c r="B370">
        <v>2016</v>
      </c>
      <c r="C370" t="s">
        <v>426</v>
      </c>
      <c r="D370" s="7">
        <v>114</v>
      </c>
      <c r="E370" s="7">
        <v>41</v>
      </c>
      <c r="F370" s="7">
        <v>43</v>
      </c>
      <c r="G370" s="7">
        <v>62</v>
      </c>
      <c r="H370" s="7">
        <v>64</v>
      </c>
      <c r="I370" s="7">
        <v>60</v>
      </c>
      <c r="J370" s="7">
        <v>56</v>
      </c>
      <c r="K370" s="7">
        <v>53</v>
      </c>
      <c r="L370" s="7">
        <v>68</v>
      </c>
      <c r="M370" s="7">
        <v>70</v>
      </c>
      <c r="N370" s="7">
        <v>631</v>
      </c>
      <c r="O370" s="7">
        <v>55056.796000000002</v>
      </c>
      <c r="P370" s="7">
        <v>118658.35800000001</v>
      </c>
      <c r="Q370" s="7">
        <v>156283.859</v>
      </c>
      <c r="R370" s="7">
        <v>138074.07199999999</v>
      </c>
      <c r="S370" s="7">
        <v>125863.67600000001</v>
      </c>
      <c r="T370" s="7">
        <v>152607.30099999998</v>
      </c>
      <c r="U370" s="7">
        <v>142242.617</v>
      </c>
      <c r="V370" s="7">
        <v>88888.597000000009</v>
      </c>
      <c r="W370" s="7">
        <v>47755.512000000002</v>
      </c>
      <c r="X370" s="7">
        <v>28938.930999999997</v>
      </c>
      <c r="Y370" s="7">
        <v>1054369.719</v>
      </c>
      <c r="Z370" s="8">
        <v>2.0705890695128719E-3</v>
      </c>
      <c r="AA370" s="8">
        <v>3.4552981088782636E-4</v>
      </c>
      <c r="AB370" s="8">
        <v>2.7514037774048055E-4</v>
      </c>
      <c r="AC370" s="8">
        <v>4.490343415090996E-4</v>
      </c>
      <c r="AD370" s="8">
        <v>5.084866582158302E-4</v>
      </c>
      <c r="AE370" s="8">
        <v>3.931659862066495E-4</v>
      </c>
      <c r="AF370" s="8">
        <v>3.9369354403821186E-4</v>
      </c>
      <c r="AG370" s="8">
        <v>5.9625195794236682E-4</v>
      </c>
      <c r="AH370" s="8">
        <v>1.4239194001312351E-3</v>
      </c>
      <c r="AI370" s="8">
        <v>2.4188868621304641E-3</v>
      </c>
      <c r="AJ370" s="8">
        <v>5.9846180009651812E-4</v>
      </c>
    </row>
    <row r="371" spans="1:36" x14ac:dyDescent="0.2">
      <c r="A371" t="s">
        <v>418</v>
      </c>
      <c r="B371">
        <v>2017</v>
      </c>
      <c r="C371" t="s">
        <v>427</v>
      </c>
      <c r="D371" s="7">
        <v>99</v>
      </c>
      <c r="E371" s="7">
        <v>60</v>
      </c>
      <c r="F371" s="7">
        <v>42</v>
      </c>
      <c r="G371" s="7">
        <v>52</v>
      </c>
      <c r="H371" s="7">
        <v>55</v>
      </c>
      <c r="I371" s="7">
        <v>52</v>
      </c>
      <c r="J371" s="7">
        <v>81</v>
      </c>
      <c r="K371" s="7">
        <v>63</v>
      </c>
      <c r="L371" s="7">
        <v>46</v>
      </c>
      <c r="M371" s="7">
        <v>122</v>
      </c>
      <c r="N371" s="7">
        <v>672</v>
      </c>
      <c r="O371" s="7">
        <v>54571</v>
      </c>
      <c r="P371" s="7">
        <v>117794</v>
      </c>
      <c r="Q371" s="7">
        <v>154512</v>
      </c>
      <c r="R371" s="7">
        <v>140547</v>
      </c>
      <c r="S371" s="7">
        <v>124511</v>
      </c>
      <c r="T371" s="7">
        <v>149424</v>
      </c>
      <c r="U371" s="7">
        <v>144635</v>
      </c>
      <c r="V371" s="7">
        <v>93339</v>
      </c>
      <c r="W371" s="7">
        <v>49153</v>
      </c>
      <c r="X371" s="7">
        <v>27652</v>
      </c>
      <c r="Y371" s="7">
        <v>1056138</v>
      </c>
      <c r="Z371" s="8">
        <v>1.8141503729086877E-3</v>
      </c>
      <c r="AA371" s="8">
        <v>5.0936380460804456E-4</v>
      </c>
      <c r="AB371" s="8">
        <v>2.7182354768561667E-4</v>
      </c>
      <c r="AC371" s="8">
        <v>3.6998299501234464E-4</v>
      </c>
      <c r="AD371" s="8">
        <v>4.4172804009284323E-4</v>
      </c>
      <c r="AE371" s="8">
        <v>3.4800299817967664E-4</v>
      </c>
      <c r="AF371" s="8">
        <v>5.6003042140560723E-4</v>
      </c>
      <c r="AG371" s="8">
        <v>6.7495902034519334E-4</v>
      </c>
      <c r="AH371" s="8">
        <v>9.3585335584806624E-4</v>
      </c>
      <c r="AI371" s="8">
        <v>4.4119774338203382E-3</v>
      </c>
      <c r="AJ371" s="8">
        <v>6.362804860728427E-4</v>
      </c>
    </row>
    <row r="372" spans="1:36" x14ac:dyDescent="0.2">
      <c r="A372" t="s">
        <v>428</v>
      </c>
      <c r="B372">
        <v>2009</v>
      </c>
      <c r="C372" t="s">
        <v>429</v>
      </c>
      <c r="D372" s="7">
        <v>89</v>
      </c>
      <c r="E372" s="7">
        <v>60</v>
      </c>
      <c r="F372" s="7">
        <v>42</v>
      </c>
      <c r="G372" s="7">
        <v>69</v>
      </c>
      <c r="H372" s="7">
        <v>39</v>
      </c>
      <c r="I372" s="7">
        <v>66</v>
      </c>
      <c r="J372" s="7">
        <v>68</v>
      </c>
      <c r="K372" s="7">
        <v>82</v>
      </c>
      <c r="L372" s="7">
        <v>197</v>
      </c>
      <c r="M372" s="7">
        <v>296</v>
      </c>
      <c r="N372" s="7">
        <v>1008</v>
      </c>
      <c r="O372" s="7">
        <v>295751.25200000009</v>
      </c>
      <c r="P372" s="7">
        <v>571771.255</v>
      </c>
      <c r="Q372" s="7">
        <v>622318.76599999995</v>
      </c>
      <c r="R372" s="7">
        <v>576709.62600000005</v>
      </c>
      <c r="S372" s="7">
        <v>606807.52399999986</v>
      </c>
      <c r="T372" s="7">
        <v>622042.08500000008</v>
      </c>
      <c r="U372" s="7">
        <v>514633.33399999997</v>
      </c>
      <c r="V372" s="7">
        <v>314381.929</v>
      </c>
      <c r="W372" s="7">
        <v>195406.98300000001</v>
      </c>
      <c r="X372" s="7">
        <v>66003.995999999999</v>
      </c>
      <c r="Y372" s="7">
        <v>4385826.75</v>
      </c>
      <c r="Z372" s="8">
        <v>3.0092856546892988E-4</v>
      </c>
      <c r="AA372" s="8">
        <v>1.0493706963285519E-4</v>
      </c>
      <c r="AB372" s="8">
        <v>6.7489528348884802E-5</v>
      </c>
      <c r="AC372" s="8">
        <v>1.19644266177031E-4</v>
      </c>
      <c r="AD372" s="8">
        <v>6.4270791737908653E-5</v>
      </c>
      <c r="AE372" s="8">
        <v>1.0610214580577774E-4</v>
      </c>
      <c r="AF372" s="8">
        <v>1.3213290999140759E-4</v>
      </c>
      <c r="AG372" s="8">
        <v>2.6082924123797206E-4</v>
      </c>
      <c r="AH372" s="8">
        <v>1.0081523033391288E-3</v>
      </c>
      <c r="AI372" s="8">
        <v>4.4845769640977492E-3</v>
      </c>
      <c r="AJ372" s="8">
        <v>2.2983123991388854E-4</v>
      </c>
    </row>
    <row r="373" spans="1:36" x14ac:dyDescent="0.2">
      <c r="A373" t="s">
        <v>428</v>
      </c>
      <c r="B373">
        <v>2010</v>
      </c>
      <c r="C373" t="s">
        <v>430</v>
      </c>
      <c r="D373" s="7">
        <v>129</v>
      </c>
      <c r="E373" s="7">
        <v>59</v>
      </c>
      <c r="F373" s="7">
        <v>43</v>
      </c>
      <c r="G373" s="7">
        <v>52</v>
      </c>
      <c r="H373" s="7">
        <v>55</v>
      </c>
      <c r="I373" s="7">
        <v>56</v>
      </c>
      <c r="J373" s="7">
        <v>48</v>
      </c>
      <c r="K373" s="7">
        <v>57</v>
      </c>
      <c r="L373" s="7">
        <v>208</v>
      </c>
      <c r="M373" s="7">
        <v>327</v>
      </c>
      <c r="N373" s="7">
        <v>1034</v>
      </c>
      <c r="O373" s="7">
        <v>313276.27899999998</v>
      </c>
      <c r="P373" s="7">
        <v>619036.0830000001</v>
      </c>
      <c r="Q373" s="7">
        <v>687400.77399999998</v>
      </c>
      <c r="R373" s="7">
        <v>612780.52399999998</v>
      </c>
      <c r="S373" s="7">
        <v>656475.16100000008</v>
      </c>
      <c r="T373" s="7">
        <v>695496.45599999989</v>
      </c>
      <c r="U373" s="7">
        <v>592628.96</v>
      </c>
      <c r="V373" s="7">
        <v>365179.96199999988</v>
      </c>
      <c r="W373" s="7">
        <v>202964.13499999998</v>
      </c>
      <c r="X373" s="7">
        <v>71050.82699999999</v>
      </c>
      <c r="Y373" s="7">
        <v>4816289.1609999994</v>
      </c>
      <c r="Z373" s="8">
        <v>4.1177710745217324E-4</v>
      </c>
      <c r="AA373" s="8">
        <v>9.5309468414299188E-5</v>
      </c>
      <c r="AB373" s="8">
        <v>6.2554482954364554E-5</v>
      </c>
      <c r="AC373" s="8">
        <v>8.4859093857232325E-5</v>
      </c>
      <c r="AD373" s="8">
        <v>8.3780778416991768E-5</v>
      </c>
      <c r="AE373" s="8">
        <v>8.0518023516715096E-5</v>
      </c>
      <c r="AF373" s="8">
        <v>8.0995029335049709E-5</v>
      </c>
      <c r="AG373" s="8">
        <v>1.5608742519119935E-4</v>
      </c>
      <c r="AH373" s="8">
        <v>1.0248116003352022E-3</v>
      </c>
      <c r="AI373" s="8">
        <v>4.602339111408232E-3</v>
      </c>
      <c r="AJ373" s="8">
        <v>2.146881064311579E-4</v>
      </c>
    </row>
    <row r="374" spans="1:36" x14ac:dyDescent="0.2">
      <c r="A374" t="s">
        <v>428</v>
      </c>
      <c r="B374">
        <v>2011</v>
      </c>
      <c r="C374" t="s">
        <v>431</v>
      </c>
      <c r="D374" s="7">
        <v>118</v>
      </c>
      <c r="E374" s="7">
        <v>36</v>
      </c>
      <c r="F374" s="7">
        <v>63</v>
      </c>
      <c r="G374" s="7">
        <v>49</v>
      </c>
      <c r="H374" s="7">
        <v>69</v>
      </c>
      <c r="I374" s="7">
        <v>53</v>
      </c>
      <c r="J374" s="7">
        <v>69</v>
      </c>
      <c r="K374" s="7">
        <v>97</v>
      </c>
      <c r="L374" s="7">
        <v>212</v>
      </c>
      <c r="M374" s="7">
        <v>313</v>
      </c>
      <c r="N374" s="7">
        <v>1079</v>
      </c>
      <c r="O374" s="7">
        <v>293181.717</v>
      </c>
      <c r="P374" s="7">
        <v>578872.32599999988</v>
      </c>
      <c r="Q374" s="7">
        <v>642728.35300000012</v>
      </c>
      <c r="R374" s="7">
        <v>573459.15700000001</v>
      </c>
      <c r="S374" s="7">
        <v>596935.53500000003</v>
      </c>
      <c r="T374" s="7">
        <v>638512.36300000001</v>
      </c>
      <c r="U374" s="7">
        <v>556351.95700000005</v>
      </c>
      <c r="V374" s="7">
        <v>350246.05100000009</v>
      </c>
      <c r="W374" s="7">
        <v>188046.33599999998</v>
      </c>
      <c r="X374" s="7">
        <v>65826.290000000008</v>
      </c>
      <c r="Y374" s="7">
        <v>4484160.085</v>
      </c>
      <c r="Z374" s="8">
        <v>4.0248075905770074E-4</v>
      </c>
      <c r="AA374" s="8">
        <v>6.2189879154803479E-5</v>
      </c>
      <c r="AB374" s="8">
        <v>9.8019637232340962E-5</v>
      </c>
      <c r="AC374" s="8">
        <v>8.5446364229911498E-5</v>
      </c>
      <c r="AD374" s="8">
        <v>1.1559037107750672E-4</v>
      </c>
      <c r="AE374" s="8">
        <v>8.3005440569676169E-5</v>
      </c>
      <c r="AF374" s="8">
        <v>1.2402221135711757E-4</v>
      </c>
      <c r="AG374" s="8">
        <v>2.7694816179383555E-4</v>
      </c>
      <c r="AH374" s="8">
        <v>1.1273817108566264E-3</v>
      </c>
      <c r="AI374" s="8">
        <v>4.7549390980412224E-3</v>
      </c>
      <c r="AJ374" s="8">
        <v>2.4062477243160242E-4</v>
      </c>
    </row>
    <row r="375" spans="1:36" x14ac:dyDescent="0.2">
      <c r="A375" t="s">
        <v>428</v>
      </c>
      <c r="B375">
        <v>2012</v>
      </c>
      <c r="C375" t="s">
        <v>432</v>
      </c>
      <c r="D375" s="7">
        <v>120</v>
      </c>
      <c r="E375" s="7">
        <v>54</v>
      </c>
      <c r="F375" s="7">
        <v>63</v>
      </c>
      <c r="G375" s="7">
        <v>45</v>
      </c>
      <c r="H375" s="7">
        <v>47</v>
      </c>
      <c r="I375" s="7">
        <v>67</v>
      </c>
      <c r="J375" s="7">
        <v>63</v>
      </c>
      <c r="K375" s="7">
        <v>71</v>
      </c>
      <c r="L375" s="7">
        <v>211</v>
      </c>
      <c r="M375" s="7">
        <v>287</v>
      </c>
      <c r="N375" s="7">
        <v>1028</v>
      </c>
      <c r="O375" s="7">
        <v>299551.49200000003</v>
      </c>
      <c r="P375" s="7">
        <v>593917.21400000015</v>
      </c>
      <c r="Q375" s="7">
        <v>666026.16899999999</v>
      </c>
      <c r="R375" s="7">
        <v>592260.32900000003</v>
      </c>
      <c r="S375" s="7">
        <v>602528.25799999991</v>
      </c>
      <c r="T375" s="7">
        <v>653668.3350000002</v>
      </c>
      <c r="U375" s="7">
        <v>585188.31299999997</v>
      </c>
      <c r="V375" s="7">
        <v>376015.15499999997</v>
      </c>
      <c r="W375" s="7">
        <v>195526.424</v>
      </c>
      <c r="X375" s="7">
        <v>70237.979999999981</v>
      </c>
      <c r="Y375" s="7">
        <v>4634919.6689999998</v>
      </c>
      <c r="Z375" s="8">
        <v>4.0059890604717799E-4</v>
      </c>
      <c r="AA375" s="8">
        <v>9.0921762708834342E-5</v>
      </c>
      <c r="AB375" s="8">
        <v>9.4590877854830956E-5</v>
      </c>
      <c r="AC375" s="8">
        <v>7.5980101648847733E-5</v>
      </c>
      <c r="AD375" s="8">
        <v>7.8004640240458245E-5</v>
      </c>
      <c r="AE375" s="8">
        <v>1.0249846353655785E-4</v>
      </c>
      <c r="AF375" s="8">
        <v>1.076576524179491E-4</v>
      </c>
      <c r="AG375" s="8">
        <v>1.8882217659551515E-4</v>
      </c>
      <c r="AH375" s="8">
        <v>1.0791380299575264E-3</v>
      </c>
      <c r="AI375" s="8">
        <v>4.0861083989032721E-3</v>
      </c>
      <c r="AJ375" s="8">
        <v>2.2179456677008484E-4</v>
      </c>
    </row>
    <row r="376" spans="1:36" x14ac:dyDescent="0.2">
      <c r="A376" t="s">
        <v>428</v>
      </c>
      <c r="B376">
        <v>2013</v>
      </c>
      <c r="C376" t="s">
        <v>433</v>
      </c>
      <c r="D376" s="7">
        <v>111</v>
      </c>
      <c r="E376" s="7">
        <v>67</v>
      </c>
      <c r="F376" s="7">
        <v>52</v>
      </c>
      <c r="G376" s="7">
        <v>54</v>
      </c>
      <c r="H376" s="7">
        <v>33</v>
      </c>
      <c r="I376" s="7">
        <v>68</v>
      </c>
      <c r="J376" s="7">
        <v>62</v>
      </c>
      <c r="K376" s="7">
        <v>109</v>
      </c>
      <c r="L376" s="7">
        <v>177</v>
      </c>
      <c r="M376" s="7">
        <v>282</v>
      </c>
      <c r="N376" s="7">
        <v>1015</v>
      </c>
      <c r="O376" s="7">
        <v>296378.63</v>
      </c>
      <c r="P376" s="7">
        <v>596263.27400000009</v>
      </c>
      <c r="Q376" s="7">
        <v>658243.70799999975</v>
      </c>
      <c r="R376" s="7">
        <v>594961.59000000008</v>
      </c>
      <c r="S376" s="7">
        <v>594106.38300000003</v>
      </c>
      <c r="T376" s="7">
        <v>651155.68400000012</v>
      </c>
      <c r="U376" s="7">
        <v>593016.21399999992</v>
      </c>
      <c r="V376" s="7">
        <v>389587.52799999999</v>
      </c>
      <c r="W376" s="7">
        <v>197296.47999999998</v>
      </c>
      <c r="X376" s="7">
        <v>72934.394</v>
      </c>
      <c r="Y376" s="7">
        <v>4643943.8849999988</v>
      </c>
      <c r="Z376" s="8">
        <v>3.7452092952855611E-4</v>
      </c>
      <c r="AA376" s="8">
        <v>1.1236647119071095E-4</v>
      </c>
      <c r="AB376" s="8">
        <v>7.8998096553017133E-5</v>
      </c>
      <c r="AC376" s="8">
        <v>9.0762161638031108E-5</v>
      </c>
      <c r="AD376" s="8">
        <v>5.5545607561667952E-5</v>
      </c>
      <c r="AE376" s="8">
        <v>1.0442971115952047E-4</v>
      </c>
      <c r="AF376" s="8">
        <v>1.0455026108274336E-4</v>
      </c>
      <c r="AG376" s="8">
        <v>2.7978308381576322E-4</v>
      </c>
      <c r="AH376" s="8">
        <v>8.9712700398912344E-4</v>
      </c>
      <c r="AI376" s="8">
        <v>3.8664885595676574E-3</v>
      </c>
      <c r="AJ376" s="8">
        <v>2.1856422582505004E-4</v>
      </c>
    </row>
    <row r="377" spans="1:36" x14ac:dyDescent="0.2">
      <c r="A377" t="s">
        <v>428</v>
      </c>
      <c r="B377">
        <v>2014</v>
      </c>
      <c r="C377" t="s">
        <v>434</v>
      </c>
      <c r="D377" s="7">
        <v>82</v>
      </c>
      <c r="E377" s="7">
        <v>44</v>
      </c>
      <c r="F377" s="7">
        <v>45</v>
      </c>
      <c r="G377" s="7">
        <v>57</v>
      </c>
      <c r="H377" s="7">
        <v>52</v>
      </c>
      <c r="I377" s="7">
        <v>52</v>
      </c>
      <c r="J377" s="7">
        <v>84</v>
      </c>
      <c r="K377" s="7">
        <v>107</v>
      </c>
      <c r="L377" s="7">
        <v>181</v>
      </c>
      <c r="M377" s="7">
        <v>256</v>
      </c>
      <c r="N377" s="7">
        <v>960</v>
      </c>
      <c r="O377" s="7">
        <v>294928.51499999996</v>
      </c>
      <c r="P377" s="7">
        <v>603902.85900000005</v>
      </c>
      <c r="Q377" s="7">
        <v>663081.32600000012</v>
      </c>
      <c r="R377" s="7">
        <v>605716.11700000009</v>
      </c>
      <c r="S377" s="7">
        <v>595004.31200000003</v>
      </c>
      <c r="T377" s="7">
        <v>653556.11699999985</v>
      </c>
      <c r="U377" s="7">
        <v>611836.7080000001</v>
      </c>
      <c r="V377" s="7">
        <v>417395.87500000012</v>
      </c>
      <c r="W377" s="7">
        <v>205231.06700000007</v>
      </c>
      <c r="X377" s="7">
        <v>75785.447</v>
      </c>
      <c r="Y377" s="7">
        <v>4726438.3430000003</v>
      </c>
      <c r="Z377" s="8">
        <v>2.7803347533214958E-4</v>
      </c>
      <c r="AA377" s="8">
        <v>7.2859400057915602E-5</v>
      </c>
      <c r="AB377" s="8">
        <v>6.7864978601433259E-5</v>
      </c>
      <c r="AC377" s="8">
        <v>9.4103489077210727E-5</v>
      </c>
      <c r="AD377" s="8">
        <v>8.7394324631381832E-5</v>
      </c>
      <c r="AE377" s="8">
        <v>7.956470553545444E-5</v>
      </c>
      <c r="AF377" s="8">
        <v>1.3729153367502753E-4</v>
      </c>
      <c r="AG377" s="8">
        <v>2.563513594857639E-4</v>
      </c>
      <c r="AH377" s="8">
        <v>8.8193275338767276E-4</v>
      </c>
      <c r="AI377" s="8">
        <v>3.3779572481772127E-3</v>
      </c>
      <c r="AJ377" s="8">
        <v>2.0311277336808792E-4</v>
      </c>
    </row>
    <row r="378" spans="1:36" x14ac:dyDescent="0.2">
      <c r="A378" t="s">
        <v>428</v>
      </c>
      <c r="B378">
        <v>2015</v>
      </c>
      <c r="C378" t="s">
        <v>435</v>
      </c>
      <c r="D378" s="7">
        <v>132</v>
      </c>
      <c r="E378" s="7">
        <v>67</v>
      </c>
      <c r="F378" s="7">
        <v>46</v>
      </c>
      <c r="G378" s="7">
        <v>56</v>
      </c>
      <c r="H378" s="7">
        <v>50</v>
      </c>
      <c r="I378" s="7">
        <v>46</v>
      </c>
      <c r="J378" s="7">
        <v>76</v>
      </c>
      <c r="K378" s="7">
        <v>129</v>
      </c>
      <c r="L378" s="7">
        <v>221</v>
      </c>
      <c r="M378" s="7">
        <v>328</v>
      </c>
      <c r="N378" s="7">
        <v>1151</v>
      </c>
      <c r="O378" s="7">
        <v>286301.08800000011</v>
      </c>
      <c r="P378" s="7">
        <v>593470.88300000015</v>
      </c>
      <c r="Q378" s="7">
        <v>637090.69099999999</v>
      </c>
      <c r="R378" s="7">
        <v>598183.3820000001</v>
      </c>
      <c r="S378" s="7">
        <v>577669.12300000002</v>
      </c>
      <c r="T378" s="7">
        <v>630881.902</v>
      </c>
      <c r="U378" s="7">
        <v>602879.72</v>
      </c>
      <c r="V378" s="7">
        <v>426021.39099999989</v>
      </c>
      <c r="W378" s="7">
        <v>203119.114</v>
      </c>
      <c r="X378" s="7">
        <v>76144.672999999995</v>
      </c>
      <c r="Y378" s="7">
        <v>4631761.9670000002</v>
      </c>
      <c r="Z378" s="8">
        <v>4.6105308548460687E-4</v>
      </c>
      <c r="AA378" s="8">
        <v>1.1289517635863525E-4</v>
      </c>
      <c r="AB378" s="8">
        <v>7.2203221063859492E-5</v>
      </c>
      <c r="AC378" s="8">
        <v>9.3616776535594215E-5</v>
      </c>
      <c r="AD378" s="8">
        <v>8.6554738706364956E-5</v>
      </c>
      <c r="AE378" s="8">
        <v>7.29138050309771E-5</v>
      </c>
      <c r="AF378" s="8">
        <v>1.2606162967299681E-4</v>
      </c>
      <c r="AG378" s="8">
        <v>3.0280169664062724E-4</v>
      </c>
      <c r="AH378" s="8">
        <v>1.0880315281406752E-3</v>
      </c>
      <c r="AI378" s="8">
        <v>4.3075895801666913E-3</v>
      </c>
      <c r="AJ378" s="8">
        <v>2.4850154394818883E-4</v>
      </c>
    </row>
    <row r="379" spans="1:36" x14ac:dyDescent="0.2">
      <c r="A379" t="s">
        <v>428</v>
      </c>
      <c r="B379">
        <v>2016</v>
      </c>
      <c r="C379" t="s">
        <v>436</v>
      </c>
      <c r="D379" s="7">
        <v>101</v>
      </c>
      <c r="E379" s="7">
        <v>49</v>
      </c>
      <c r="F379" s="7">
        <v>63</v>
      </c>
      <c r="G379" s="7">
        <v>50</v>
      </c>
      <c r="H379" s="7">
        <v>66</v>
      </c>
      <c r="I379" s="7">
        <v>47</v>
      </c>
      <c r="J379" s="7">
        <v>86</v>
      </c>
      <c r="K379" s="7">
        <v>100</v>
      </c>
      <c r="L379" s="7">
        <v>159</v>
      </c>
      <c r="M379" s="7">
        <v>244</v>
      </c>
      <c r="N379" s="7">
        <v>965</v>
      </c>
      <c r="O379" s="7">
        <v>295647.4439999999</v>
      </c>
      <c r="P379" s="7">
        <v>619839.28300000017</v>
      </c>
      <c r="Q379" s="7">
        <v>669343.20900000003</v>
      </c>
      <c r="R379" s="7">
        <v>635441.70300000021</v>
      </c>
      <c r="S379" s="7">
        <v>606910.72399999993</v>
      </c>
      <c r="T379" s="7">
        <v>661726.0140000002</v>
      </c>
      <c r="U379" s="7">
        <v>649758.71800000011</v>
      </c>
      <c r="V379" s="7">
        <v>483952.75099999987</v>
      </c>
      <c r="W379" s="7">
        <v>220350.55899999998</v>
      </c>
      <c r="X379" s="7">
        <v>82513.180999999982</v>
      </c>
      <c r="Y379" s="7">
        <v>4925483.5860000011</v>
      </c>
      <c r="Z379" s="8">
        <v>3.4162311242575815E-4</v>
      </c>
      <c r="AA379" s="8">
        <v>7.9052750194924304E-5</v>
      </c>
      <c r="AB379" s="8">
        <v>9.412211725300405E-5</v>
      </c>
      <c r="AC379" s="8">
        <v>7.8685424270934231E-5</v>
      </c>
      <c r="AD379" s="8">
        <v>1.0874746052435878E-4</v>
      </c>
      <c r="AE379" s="8">
        <v>7.1026374973373783E-5</v>
      </c>
      <c r="AF379" s="8">
        <v>1.3235682356785243E-4</v>
      </c>
      <c r="AG379" s="8">
        <v>2.0663174203136212E-4</v>
      </c>
      <c r="AH379" s="8">
        <v>7.215774750995754E-4</v>
      </c>
      <c r="AI379" s="8">
        <v>2.9571033020772772E-3</v>
      </c>
      <c r="AJ379" s="8">
        <v>1.9591984891450612E-4</v>
      </c>
    </row>
    <row r="380" spans="1:36" x14ac:dyDescent="0.2">
      <c r="A380" t="s">
        <v>428</v>
      </c>
      <c r="B380">
        <v>2017</v>
      </c>
      <c r="C380" t="s">
        <v>437</v>
      </c>
      <c r="D380" s="7">
        <v>85</v>
      </c>
      <c r="E380" s="7">
        <v>39</v>
      </c>
      <c r="F380" s="7">
        <v>45</v>
      </c>
      <c r="G380" s="7">
        <v>58</v>
      </c>
      <c r="H380" s="7">
        <v>52</v>
      </c>
      <c r="I380" s="7">
        <v>60</v>
      </c>
      <c r="J380" s="7">
        <v>55</v>
      </c>
      <c r="K380" s="7">
        <v>97</v>
      </c>
      <c r="L380" s="7">
        <v>207</v>
      </c>
      <c r="M380" s="7">
        <v>253</v>
      </c>
      <c r="N380" s="7">
        <v>951</v>
      </c>
      <c r="O380" s="7">
        <v>287954</v>
      </c>
      <c r="P380" s="7">
        <v>609680</v>
      </c>
      <c r="Q380" s="7">
        <v>653241</v>
      </c>
      <c r="R380" s="7">
        <v>629942</v>
      </c>
      <c r="S380" s="7">
        <v>589578</v>
      </c>
      <c r="T380" s="7">
        <v>639932</v>
      </c>
      <c r="U380" s="7">
        <v>631530</v>
      </c>
      <c r="V380" s="7">
        <v>478421</v>
      </c>
      <c r="W380" s="7">
        <v>219282</v>
      </c>
      <c r="X380" s="7">
        <v>82674</v>
      </c>
      <c r="Y380" s="7">
        <v>4822234</v>
      </c>
      <c r="Z380" s="8">
        <v>2.9518603665863296E-4</v>
      </c>
      <c r="AA380" s="8">
        <v>6.3967983204303895E-5</v>
      </c>
      <c r="AB380" s="8">
        <v>6.8887286621629689E-5</v>
      </c>
      <c r="AC380" s="8">
        <v>9.2071968530436129E-5</v>
      </c>
      <c r="AD380" s="8">
        <v>8.8198677698285888E-5</v>
      </c>
      <c r="AE380" s="8">
        <v>9.3759961995962065E-5</v>
      </c>
      <c r="AF380" s="8">
        <v>8.709008281475147E-5</v>
      </c>
      <c r="AG380" s="8">
        <v>2.0275029733226593E-4</v>
      </c>
      <c r="AH380" s="8">
        <v>9.4398993077407175E-4</v>
      </c>
      <c r="AI380" s="8">
        <v>3.0602124005128578E-3</v>
      </c>
      <c r="AJ380" s="8">
        <v>1.9721149989817996E-4</v>
      </c>
    </row>
    <row r="381" spans="1:36" x14ac:dyDescent="0.2">
      <c r="A381" t="s">
        <v>438</v>
      </c>
      <c r="B381">
        <v>2009</v>
      </c>
      <c r="C381" t="s">
        <v>439</v>
      </c>
      <c r="D381" s="7">
        <v>106</v>
      </c>
      <c r="E381" s="7">
        <v>48</v>
      </c>
      <c r="F381" s="7">
        <v>51</v>
      </c>
      <c r="G381" s="7">
        <v>54</v>
      </c>
      <c r="H381" s="7">
        <v>57</v>
      </c>
      <c r="I381" s="7">
        <v>43</v>
      </c>
      <c r="J381" s="7">
        <v>55</v>
      </c>
      <c r="K381" s="7">
        <v>48</v>
      </c>
      <c r="L381" s="7">
        <v>43</v>
      </c>
      <c r="M381" s="7">
        <v>77</v>
      </c>
      <c r="N381" s="7">
        <v>582</v>
      </c>
      <c r="O381" s="7">
        <v>55525.162000000011</v>
      </c>
      <c r="P381" s="7">
        <v>104202.947</v>
      </c>
      <c r="Q381" s="7">
        <v>119497.20700000004</v>
      </c>
      <c r="R381" s="7">
        <v>96951.753999999986</v>
      </c>
      <c r="S381" s="7">
        <v>96791.543999999994</v>
      </c>
      <c r="T381" s="7">
        <v>114736.485</v>
      </c>
      <c r="U381" s="7">
        <v>86550.713999999964</v>
      </c>
      <c r="V381" s="7">
        <v>53423.368999999999</v>
      </c>
      <c r="W381" s="7">
        <v>40950.546999999999</v>
      </c>
      <c r="X381" s="7">
        <v>18533.295000000002</v>
      </c>
      <c r="Y381" s="7">
        <v>787163.02399999998</v>
      </c>
      <c r="Z381" s="8">
        <v>1.9090444076507148E-3</v>
      </c>
      <c r="AA381" s="8">
        <v>4.6063956329373294E-4</v>
      </c>
      <c r="AB381" s="8">
        <v>4.2678821773633574E-4</v>
      </c>
      <c r="AC381" s="8">
        <v>5.5697806147993992E-4</v>
      </c>
      <c r="AD381" s="8">
        <v>5.8889441829753232E-4</v>
      </c>
      <c r="AE381" s="8">
        <v>3.747718086361108E-4</v>
      </c>
      <c r="AF381" s="8">
        <v>6.354655837963396E-4</v>
      </c>
      <c r="AG381" s="8">
        <v>8.9848320872463138E-4</v>
      </c>
      <c r="AH381" s="8">
        <v>1.0500470237918922E-3</v>
      </c>
      <c r="AI381" s="8">
        <v>4.1546848523157914E-3</v>
      </c>
      <c r="AJ381" s="8">
        <v>7.3936399736174597E-4</v>
      </c>
    </row>
    <row r="382" spans="1:36" x14ac:dyDescent="0.2">
      <c r="A382" t="s">
        <v>438</v>
      </c>
      <c r="B382">
        <v>2010</v>
      </c>
      <c r="C382" t="s">
        <v>440</v>
      </c>
      <c r="D382" s="7">
        <v>114</v>
      </c>
      <c r="E382" s="7">
        <v>59</v>
      </c>
      <c r="F382" s="7">
        <v>56</v>
      </c>
      <c r="G382" s="7">
        <v>68</v>
      </c>
      <c r="H382" s="7">
        <v>59</v>
      </c>
      <c r="I382" s="7">
        <v>67</v>
      </c>
      <c r="J382" s="7">
        <v>45</v>
      </c>
      <c r="K382" s="7">
        <v>36</v>
      </c>
      <c r="L382" s="7">
        <v>62</v>
      </c>
      <c r="M382" s="7">
        <v>72</v>
      </c>
      <c r="N382" s="7">
        <v>638</v>
      </c>
      <c r="O382" s="7">
        <v>52763.137999999999</v>
      </c>
      <c r="P382" s="7">
        <v>100992.29400000001</v>
      </c>
      <c r="Q382" s="7">
        <v>107115.26300000001</v>
      </c>
      <c r="R382" s="7">
        <v>92840.982000000018</v>
      </c>
      <c r="S382" s="7">
        <v>90924.632000000012</v>
      </c>
      <c r="T382" s="7">
        <v>108636.36199999999</v>
      </c>
      <c r="U382" s="7">
        <v>83743.777000000002</v>
      </c>
      <c r="V382" s="7">
        <v>51132.86099999999</v>
      </c>
      <c r="W382" s="7">
        <v>36537.791999999994</v>
      </c>
      <c r="X382" s="7">
        <v>16915.374999999996</v>
      </c>
      <c r="Y382" s="7">
        <v>741602.47600000002</v>
      </c>
      <c r="Z382" s="8">
        <v>2.1605993184105163E-3</v>
      </c>
      <c r="AA382" s="8">
        <v>5.8420298879437269E-4</v>
      </c>
      <c r="AB382" s="8">
        <v>5.2280131170475677E-4</v>
      </c>
      <c r="AC382" s="8">
        <v>7.3243516532386509E-4</v>
      </c>
      <c r="AD382" s="8">
        <v>6.4888907111551456E-4</v>
      </c>
      <c r="AE382" s="8">
        <v>6.1673641096339363E-4</v>
      </c>
      <c r="AF382" s="8">
        <v>5.3735336059657307E-4</v>
      </c>
      <c r="AG382" s="8">
        <v>7.0404822448718457E-4</v>
      </c>
      <c r="AH382" s="8">
        <v>1.6968731991248954E-3</v>
      </c>
      <c r="AI382" s="8">
        <v>4.2564826378368803E-3</v>
      </c>
      <c r="AJ382" s="8">
        <v>8.6029917731828063E-4</v>
      </c>
    </row>
    <row r="383" spans="1:36" x14ac:dyDescent="0.2">
      <c r="A383" t="s">
        <v>438</v>
      </c>
      <c r="B383">
        <v>2011</v>
      </c>
      <c r="C383" t="s">
        <v>441</v>
      </c>
      <c r="D383" s="7">
        <v>97</v>
      </c>
      <c r="E383" s="7">
        <v>65</v>
      </c>
      <c r="F383" s="7">
        <v>63</v>
      </c>
      <c r="G383" s="7">
        <v>40</v>
      </c>
      <c r="H383" s="7">
        <v>58</v>
      </c>
      <c r="I383" s="7">
        <v>54</v>
      </c>
      <c r="J383" s="7">
        <v>58</v>
      </c>
      <c r="K383" s="7">
        <v>38</v>
      </c>
      <c r="L383" s="7">
        <v>58</v>
      </c>
      <c r="M383" s="7">
        <v>74</v>
      </c>
      <c r="N383" s="7">
        <v>605</v>
      </c>
      <c r="O383" s="7">
        <v>59999.095000000001</v>
      </c>
      <c r="P383" s="7">
        <v>114385.98000000001</v>
      </c>
      <c r="Q383" s="7">
        <v>123365.54799999997</v>
      </c>
      <c r="R383" s="7">
        <v>106589.21299999999</v>
      </c>
      <c r="S383" s="7">
        <v>101186.17800000003</v>
      </c>
      <c r="T383" s="7">
        <v>123283.088</v>
      </c>
      <c r="U383" s="7">
        <v>99694.980999999985</v>
      </c>
      <c r="V383" s="7">
        <v>59611.988999999994</v>
      </c>
      <c r="W383" s="7">
        <v>40949.639000000003</v>
      </c>
      <c r="X383" s="7">
        <v>18974.231999999996</v>
      </c>
      <c r="Y383" s="7">
        <v>848039.94299999985</v>
      </c>
      <c r="Z383" s="8">
        <v>1.6166910517566972E-3</v>
      </c>
      <c r="AA383" s="8">
        <v>5.6825145878891797E-4</v>
      </c>
      <c r="AB383" s="8">
        <v>5.1067742186821892E-4</v>
      </c>
      <c r="AC383" s="8">
        <v>3.7527249591382201E-4</v>
      </c>
      <c r="AD383" s="8">
        <v>5.7320081800105128E-4</v>
      </c>
      <c r="AE383" s="8">
        <v>4.3801628330400027E-4</v>
      </c>
      <c r="AF383" s="8">
        <v>5.8177452283179637E-4</v>
      </c>
      <c r="AG383" s="8">
        <v>6.3745566349077869E-4</v>
      </c>
      <c r="AH383" s="8">
        <v>1.4163739025880057E-3</v>
      </c>
      <c r="AI383" s="8">
        <v>3.9000260985530277E-3</v>
      </c>
      <c r="AJ383" s="8">
        <v>7.1340979277434826E-4</v>
      </c>
    </row>
    <row r="384" spans="1:36" x14ac:dyDescent="0.2">
      <c r="A384" t="s">
        <v>438</v>
      </c>
      <c r="B384">
        <v>2012</v>
      </c>
      <c r="C384" t="s">
        <v>442</v>
      </c>
      <c r="D384" s="7">
        <v>91</v>
      </c>
      <c r="E384" s="7">
        <v>62</v>
      </c>
      <c r="F384" s="7">
        <v>49</v>
      </c>
      <c r="G384" s="7">
        <v>55</v>
      </c>
      <c r="H384" s="7">
        <v>49</v>
      </c>
      <c r="I384" s="7">
        <v>72</v>
      </c>
      <c r="J384" s="7">
        <v>64</v>
      </c>
      <c r="K384" s="7">
        <v>52</v>
      </c>
      <c r="L384" s="7">
        <v>43</v>
      </c>
      <c r="M384" s="7">
        <v>97</v>
      </c>
      <c r="N384" s="7">
        <v>634</v>
      </c>
      <c r="O384" s="7">
        <v>55130.277000000016</v>
      </c>
      <c r="P384" s="7">
        <v>104309.61500000001</v>
      </c>
      <c r="Q384" s="7">
        <v>112204.15900000001</v>
      </c>
      <c r="R384" s="7">
        <v>101853.24799999998</v>
      </c>
      <c r="S384" s="7">
        <v>92127.539999999979</v>
      </c>
      <c r="T384" s="7">
        <v>114947.70800000003</v>
      </c>
      <c r="U384" s="7">
        <v>99498.329000000012</v>
      </c>
      <c r="V384" s="7">
        <v>59087.103999999992</v>
      </c>
      <c r="W384" s="7">
        <v>40288.564000000006</v>
      </c>
      <c r="X384" s="7">
        <v>19232.377999999997</v>
      </c>
      <c r="Y384" s="7">
        <v>798678.92200000002</v>
      </c>
      <c r="Z384" s="8">
        <v>1.6506356389248684E-3</v>
      </c>
      <c r="AA384" s="8">
        <v>5.9438432401461743E-4</v>
      </c>
      <c r="AB384" s="8">
        <v>4.3670395497550133E-4</v>
      </c>
      <c r="AC384" s="8">
        <v>5.3999259797782794E-4</v>
      </c>
      <c r="AD384" s="8">
        <v>5.3187136007322032E-4</v>
      </c>
      <c r="AE384" s="8">
        <v>6.2637177593832479E-4</v>
      </c>
      <c r="AF384" s="8">
        <v>6.4322688273488486E-4</v>
      </c>
      <c r="AG384" s="8">
        <v>8.8005667023382985E-4</v>
      </c>
      <c r="AH384" s="8">
        <v>1.0673003882689886E-3</v>
      </c>
      <c r="AI384" s="8">
        <v>5.0435780744326059E-3</v>
      </c>
      <c r="AJ384" s="8">
        <v>7.9381085757512955E-4</v>
      </c>
    </row>
    <row r="385" spans="1:36" x14ac:dyDescent="0.2">
      <c r="A385" t="s">
        <v>438</v>
      </c>
      <c r="B385">
        <v>2013</v>
      </c>
      <c r="C385" t="s">
        <v>443</v>
      </c>
      <c r="D385" s="7">
        <v>97</v>
      </c>
      <c r="E385" s="7">
        <v>25</v>
      </c>
      <c r="F385" s="7">
        <v>49</v>
      </c>
      <c r="G385" s="7">
        <v>53</v>
      </c>
      <c r="H385" s="7">
        <v>38</v>
      </c>
      <c r="I385" s="7">
        <v>60</v>
      </c>
      <c r="J385" s="7">
        <v>60</v>
      </c>
      <c r="K385" s="7">
        <v>52</v>
      </c>
      <c r="L385" s="7">
        <v>52</v>
      </c>
      <c r="M385" s="7">
        <v>114</v>
      </c>
      <c r="N385" s="7">
        <v>600</v>
      </c>
      <c r="O385" s="7">
        <v>53159.536</v>
      </c>
      <c r="P385" s="7">
        <v>103901.27099999999</v>
      </c>
      <c r="Q385" s="7">
        <v>102711.96999999999</v>
      </c>
      <c r="R385" s="7">
        <v>99046.280999999974</v>
      </c>
      <c r="S385" s="7">
        <v>90949.018999999986</v>
      </c>
      <c r="T385" s="7">
        <v>108124.497</v>
      </c>
      <c r="U385" s="7">
        <v>99206.274999999994</v>
      </c>
      <c r="V385" s="7">
        <v>60278.039999999986</v>
      </c>
      <c r="W385" s="7">
        <v>38320.198999999993</v>
      </c>
      <c r="X385" s="7">
        <v>17777.231000000003</v>
      </c>
      <c r="Y385" s="7">
        <v>773474.31900000002</v>
      </c>
      <c r="Z385" s="8">
        <v>1.824696137302628E-3</v>
      </c>
      <c r="AA385" s="8">
        <v>2.4061303350177498E-4</v>
      </c>
      <c r="AB385" s="8">
        <v>4.7706221582547787E-4</v>
      </c>
      <c r="AC385" s="8">
        <v>5.351033826297831E-4</v>
      </c>
      <c r="AD385" s="8">
        <v>4.1781649123670046E-4</v>
      </c>
      <c r="AE385" s="8">
        <v>5.5491587627917477E-4</v>
      </c>
      <c r="AF385" s="8">
        <v>6.0480045239073843E-4</v>
      </c>
      <c r="AG385" s="8">
        <v>8.6266905825073295E-4</v>
      </c>
      <c r="AH385" s="8">
        <v>1.3569866899699559E-3</v>
      </c>
      <c r="AI385" s="8">
        <v>6.4126972305191951E-3</v>
      </c>
      <c r="AJ385" s="8">
        <v>7.7572064806976477E-4</v>
      </c>
    </row>
    <row r="386" spans="1:36" x14ac:dyDescent="0.2">
      <c r="A386" t="s">
        <v>438</v>
      </c>
      <c r="B386">
        <v>2014</v>
      </c>
      <c r="C386" t="s">
        <v>444</v>
      </c>
      <c r="D386" s="7">
        <v>112</v>
      </c>
      <c r="E386" s="7">
        <v>36</v>
      </c>
      <c r="F386" s="7">
        <v>62</v>
      </c>
      <c r="G386" s="7">
        <v>41</v>
      </c>
      <c r="H386" s="7">
        <v>40</v>
      </c>
      <c r="I386" s="7">
        <v>56</v>
      </c>
      <c r="J386" s="7">
        <v>51</v>
      </c>
      <c r="K386" s="7">
        <v>69</v>
      </c>
      <c r="L386" s="7">
        <v>63</v>
      </c>
      <c r="M386" s="7">
        <v>96</v>
      </c>
      <c r="N386" s="7">
        <v>626</v>
      </c>
      <c r="O386" s="7">
        <v>48676.28100000001</v>
      </c>
      <c r="P386" s="7">
        <v>95126.344000000026</v>
      </c>
      <c r="Q386" s="7">
        <v>97905.493000000002</v>
      </c>
      <c r="R386" s="7">
        <v>92403.574000000037</v>
      </c>
      <c r="S386" s="7">
        <v>81982.353000000003</v>
      </c>
      <c r="T386" s="7">
        <v>97546.681999999972</v>
      </c>
      <c r="U386" s="7">
        <v>91150.550000000032</v>
      </c>
      <c r="V386" s="7">
        <v>55467.795999999995</v>
      </c>
      <c r="W386" s="7">
        <v>34496.375999999997</v>
      </c>
      <c r="X386" s="7">
        <v>16766.043999999998</v>
      </c>
      <c r="Y386" s="7">
        <v>711521.49300000002</v>
      </c>
      <c r="Z386" s="8">
        <v>2.30091530616318E-3</v>
      </c>
      <c r="AA386" s="8">
        <v>3.7844406172069423E-4</v>
      </c>
      <c r="AB386" s="8">
        <v>6.3326375364863342E-4</v>
      </c>
      <c r="AC386" s="8">
        <v>4.4370578133698575E-4</v>
      </c>
      <c r="AD386" s="8">
        <v>4.8790987982499109E-4</v>
      </c>
      <c r="AE386" s="8">
        <v>5.7408410877573483E-4</v>
      </c>
      <c r="AF386" s="8">
        <v>5.5951390309767724E-4</v>
      </c>
      <c r="AG386" s="8">
        <v>1.2439650567691567E-3</v>
      </c>
      <c r="AH386" s="8">
        <v>1.826278795198661E-3</v>
      </c>
      <c r="AI386" s="8">
        <v>5.7258587654905359E-3</v>
      </c>
      <c r="AJ386" s="8">
        <v>8.7980476508247934E-4</v>
      </c>
    </row>
    <row r="387" spans="1:36" x14ac:dyDescent="0.2">
      <c r="A387" t="s">
        <v>438</v>
      </c>
      <c r="B387">
        <v>2015</v>
      </c>
      <c r="C387" t="s">
        <v>445</v>
      </c>
      <c r="D387" s="7">
        <v>102</v>
      </c>
      <c r="E387" s="7">
        <v>54</v>
      </c>
      <c r="F387" s="7">
        <v>65</v>
      </c>
      <c r="G387" s="7">
        <v>72</v>
      </c>
      <c r="H387" s="7">
        <v>38</v>
      </c>
      <c r="I387" s="7">
        <v>55</v>
      </c>
      <c r="J387" s="7">
        <v>62</v>
      </c>
      <c r="K387" s="7">
        <v>46</v>
      </c>
      <c r="L387" s="7">
        <v>48</v>
      </c>
      <c r="M387" s="7">
        <v>113</v>
      </c>
      <c r="N387" s="7">
        <v>655</v>
      </c>
      <c r="O387" s="7">
        <v>45186.614000000009</v>
      </c>
      <c r="P387" s="7">
        <v>89129.640000000072</v>
      </c>
      <c r="Q387" s="7">
        <v>94221.318999999989</v>
      </c>
      <c r="R387" s="7">
        <v>82976.632000000012</v>
      </c>
      <c r="S387" s="7">
        <v>74376.45699999998</v>
      </c>
      <c r="T387" s="7">
        <v>84225.718999999997</v>
      </c>
      <c r="U387" s="7">
        <v>85090.688000000009</v>
      </c>
      <c r="V387" s="7">
        <v>53649.700000000012</v>
      </c>
      <c r="W387" s="7">
        <v>33144.765999999996</v>
      </c>
      <c r="X387" s="7">
        <v>15548.692000000003</v>
      </c>
      <c r="Y387" s="7">
        <v>657550.22700000007</v>
      </c>
      <c r="Z387" s="8">
        <v>2.2573056702146345E-3</v>
      </c>
      <c r="AA387" s="8">
        <v>6.0585906102616322E-4</v>
      </c>
      <c r="AB387" s="8">
        <v>6.8986510367149512E-4</v>
      </c>
      <c r="AC387" s="8">
        <v>8.6771417764943738E-4</v>
      </c>
      <c r="AD387" s="8">
        <v>5.1091436097850166E-4</v>
      </c>
      <c r="AE387" s="8">
        <v>6.5300718893239722E-4</v>
      </c>
      <c r="AF387" s="8">
        <v>7.2863437183631643E-4</v>
      </c>
      <c r="AG387" s="8">
        <v>8.5741392775728453E-4</v>
      </c>
      <c r="AH387" s="8">
        <v>1.4481924536742846E-3</v>
      </c>
      <c r="AI387" s="8">
        <v>7.2674923395485598E-3</v>
      </c>
      <c r="AJ387" s="8">
        <v>9.9612162402918595E-4</v>
      </c>
    </row>
    <row r="388" spans="1:36" x14ac:dyDescent="0.2">
      <c r="A388" t="s">
        <v>438</v>
      </c>
      <c r="B388">
        <v>2016</v>
      </c>
      <c r="C388" t="s">
        <v>446</v>
      </c>
      <c r="D388" s="7">
        <v>93</v>
      </c>
      <c r="E388" s="7">
        <v>35</v>
      </c>
      <c r="F388" s="7">
        <v>41</v>
      </c>
      <c r="G388" s="7">
        <v>72</v>
      </c>
      <c r="H388" s="7">
        <v>58</v>
      </c>
      <c r="I388" s="7">
        <v>66</v>
      </c>
      <c r="J388" s="7">
        <v>46</v>
      </c>
      <c r="K388" s="7">
        <v>37</v>
      </c>
      <c r="L388" s="7">
        <v>61</v>
      </c>
      <c r="M388" s="7">
        <v>104</v>
      </c>
      <c r="N388" s="7">
        <v>613</v>
      </c>
      <c r="O388" s="7">
        <v>52809.127000000008</v>
      </c>
      <c r="P388" s="7">
        <v>103182.58900000002</v>
      </c>
      <c r="Q388" s="7">
        <v>104977.06799999998</v>
      </c>
      <c r="R388" s="7">
        <v>101234.12299999999</v>
      </c>
      <c r="S388" s="7">
        <v>88875.686999999976</v>
      </c>
      <c r="T388" s="7">
        <v>98078.281999999963</v>
      </c>
      <c r="U388" s="7">
        <v>101828.02499999999</v>
      </c>
      <c r="V388" s="7">
        <v>63261.175999999992</v>
      </c>
      <c r="W388" s="7">
        <v>36248.487000000008</v>
      </c>
      <c r="X388" s="7">
        <v>17611.056999999997</v>
      </c>
      <c r="Y388" s="7">
        <v>768105.62099999993</v>
      </c>
      <c r="Z388" s="8">
        <v>1.7610592199337055E-3</v>
      </c>
      <c r="AA388" s="8">
        <v>3.3920451443605464E-4</v>
      </c>
      <c r="AB388" s="8">
        <v>3.9056148910541116E-4</v>
      </c>
      <c r="AC388" s="8">
        <v>7.1122263784514634E-4</v>
      </c>
      <c r="AD388" s="8">
        <v>6.5259692451097469E-4</v>
      </c>
      <c r="AE388" s="8">
        <v>6.7293185253795558E-4</v>
      </c>
      <c r="AF388" s="8">
        <v>4.5174204252709414E-4</v>
      </c>
      <c r="AG388" s="8">
        <v>5.8487689195028567E-4</v>
      </c>
      <c r="AH388" s="8">
        <v>1.6828288584844931E-3</v>
      </c>
      <c r="AI388" s="8">
        <v>5.9053809206341228E-3</v>
      </c>
      <c r="AJ388" s="8">
        <v>7.9806732725368255E-4</v>
      </c>
    </row>
    <row r="389" spans="1:36" x14ac:dyDescent="0.2">
      <c r="A389" t="s">
        <v>438</v>
      </c>
      <c r="B389">
        <v>2017</v>
      </c>
      <c r="C389" t="s">
        <v>447</v>
      </c>
      <c r="D389" s="7">
        <v>106</v>
      </c>
      <c r="E389" s="7">
        <v>46</v>
      </c>
      <c r="F389" s="7">
        <v>55</v>
      </c>
      <c r="G389" s="7">
        <v>46</v>
      </c>
      <c r="H389" s="7">
        <v>47</v>
      </c>
      <c r="I389" s="7">
        <v>41</v>
      </c>
      <c r="J389" s="7">
        <v>56</v>
      </c>
      <c r="K389" s="7">
        <v>47</v>
      </c>
      <c r="L389" s="7">
        <v>48</v>
      </c>
      <c r="M389" s="7">
        <v>97</v>
      </c>
      <c r="N389" s="7">
        <v>589</v>
      </c>
      <c r="O389" s="7">
        <v>59377</v>
      </c>
      <c r="P389" s="7">
        <v>120839</v>
      </c>
      <c r="Q389" s="7">
        <v>121720</v>
      </c>
      <c r="R389" s="7">
        <v>116598</v>
      </c>
      <c r="S389" s="7">
        <v>105042</v>
      </c>
      <c r="T389" s="7">
        <v>109302</v>
      </c>
      <c r="U389" s="7">
        <v>118246</v>
      </c>
      <c r="V389" s="7">
        <v>79809</v>
      </c>
      <c r="W389" s="7">
        <v>42592</v>
      </c>
      <c r="X389" s="7">
        <v>19178</v>
      </c>
      <c r="Y389" s="7">
        <v>892703</v>
      </c>
      <c r="Z389" s="8">
        <v>1.7852030247402194E-3</v>
      </c>
      <c r="AA389" s="8">
        <v>3.8067180297751555E-4</v>
      </c>
      <c r="AB389" s="8">
        <v>4.51856720341768E-4</v>
      </c>
      <c r="AC389" s="8">
        <v>3.9451791625928404E-4</v>
      </c>
      <c r="AD389" s="8">
        <v>4.4744007159041145E-4</v>
      </c>
      <c r="AE389" s="8">
        <v>3.7510750032021371E-4</v>
      </c>
      <c r="AF389" s="8">
        <v>4.735889586117078E-4</v>
      </c>
      <c r="AG389" s="8">
        <v>5.8890601310629127E-4</v>
      </c>
      <c r="AH389" s="8">
        <v>1.1269722013523666E-3</v>
      </c>
      <c r="AI389" s="8">
        <v>5.0578788194806552E-3</v>
      </c>
      <c r="AJ389" s="8">
        <v>6.5979390682007345E-4</v>
      </c>
    </row>
    <row r="390" spans="1:36" x14ac:dyDescent="0.2">
      <c r="A390" t="s">
        <v>448</v>
      </c>
      <c r="B390">
        <v>2009</v>
      </c>
      <c r="C390" t="s">
        <v>449</v>
      </c>
      <c r="D390" s="7">
        <v>105</v>
      </c>
      <c r="E390" s="7">
        <v>53</v>
      </c>
      <c r="F390" s="7">
        <v>53</v>
      </c>
      <c r="G390" s="7">
        <v>53</v>
      </c>
      <c r="H390" s="7">
        <v>57</v>
      </c>
      <c r="I390" s="7">
        <v>59</v>
      </c>
      <c r="J390" s="7">
        <v>132</v>
      </c>
      <c r="K390" s="7">
        <v>164</v>
      </c>
      <c r="L390" s="7">
        <v>378</v>
      </c>
      <c r="M390" s="7">
        <v>554</v>
      </c>
      <c r="N390" s="7">
        <v>1608</v>
      </c>
      <c r="O390" s="7">
        <v>405972.66799999995</v>
      </c>
      <c r="P390" s="7">
        <v>795174.43799999962</v>
      </c>
      <c r="Q390" s="7">
        <v>815508.31900000002</v>
      </c>
      <c r="R390" s="7">
        <v>820092.1050000001</v>
      </c>
      <c r="S390" s="7">
        <v>861006.35999999987</v>
      </c>
      <c r="T390" s="7">
        <v>879131.15100000007</v>
      </c>
      <c r="U390" s="7">
        <v>696165.50699999987</v>
      </c>
      <c r="V390" s="7">
        <v>426953.42300000018</v>
      </c>
      <c r="W390" s="7">
        <v>262068.78400000001</v>
      </c>
      <c r="X390" s="7">
        <v>94521.242999999973</v>
      </c>
      <c r="Y390" s="7">
        <v>6056593.9979999997</v>
      </c>
      <c r="Z390" s="8">
        <v>2.5863810122310997E-4</v>
      </c>
      <c r="AA390" s="8">
        <v>6.6652041951076942E-5</v>
      </c>
      <c r="AB390" s="8">
        <v>6.4990140217073615E-5</v>
      </c>
      <c r="AC390" s="8">
        <v>6.4626887244573575E-5</v>
      </c>
      <c r="AD390" s="8">
        <v>6.6201601577019724E-5</v>
      </c>
      <c r="AE390" s="8">
        <v>6.7111715849095185E-5</v>
      </c>
      <c r="AF390" s="8">
        <v>1.8961008362627772E-4</v>
      </c>
      <c r="AG390" s="8">
        <v>3.8411684077305062E-4</v>
      </c>
      <c r="AH390" s="8">
        <v>1.4423694200832403E-3</v>
      </c>
      <c r="AI390" s="8">
        <v>5.8611163206984083E-3</v>
      </c>
      <c r="AJ390" s="8">
        <v>2.6549575562287843E-4</v>
      </c>
    </row>
    <row r="391" spans="1:36" x14ac:dyDescent="0.2">
      <c r="A391" t="s">
        <v>448</v>
      </c>
      <c r="B391">
        <v>2010</v>
      </c>
      <c r="C391" t="s">
        <v>450</v>
      </c>
      <c r="D391" s="7">
        <v>120</v>
      </c>
      <c r="E391" s="7">
        <v>70</v>
      </c>
      <c r="F391" s="7">
        <v>60</v>
      </c>
      <c r="G391" s="7">
        <v>67</v>
      </c>
      <c r="H391" s="7">
        <v>62</v>
      </c>
      <c r="I391" s="7">
        <v>58</v>
      </c>
      <c r="J391" s="7">
        <v>127</v>
      </c>
      <c r="K391" s="7">
        <v>209</v>
      </c>
      <c r="L391" s="7">
        <v>373</v>
      </c>
      <c r="M391" s="7">
        <v>535</v>
      </c>
      <c r="N391" s="7">
        <v>1681</v>
      </c>
      <c r="O391" s="7">
        <v>405224.66099999996</v>
      </c>
      <c r="P391" s="7">
        <v>830016.85199999972</v>
      </c>
      <c r="Q391" s="7">
        <v>854012.89799999993</v>
      </c>
      <c r="R391" s="7">
        <v>822706.54499999981</v>
      </c>
      <c r="S391" s="7">
        <v>876685.22099999979</v>
      </c>
      <c r="T391" s="7">
        <v>913957.92600000021</v>
      </c>
      <c r="U391" s="7">
        <v>746007.66400000011</v>
      </c>
      <c r="V391" s="7">
        <v>460381.03900000005</v>
      </c>
      <c r="W391" s="7">
        <v>264383.554</v>
      </c>
      <c r="X391" s="7">
        <v>95329.391000000018</v>
      </c>
      <c r="Y391" s="7">
        <v>6268705.7509999992</v>
      </c>
      <c r="Z391" s="8">
        <v>2.9613202637733841E-4</v>
      </c>
      <c r="AA391" s="8">
        <v>8.4335637079330071E-5</v>
      </c>
      <c r="AB391" s="8">
        <v>7.0256550153414673E-5</v>
      </c>
      <c r="AC391" s="8">
        <v>8.1438515844066872E-5</v>
      </c>
      <c r="AD391" s="8">
        <v>7.0720936676996885E-5</v>
      </c>
      <c r="AE391" s="8">
        <v>6.3460251670272166E-5</v>
      </c>
      <c r="AF391" s="8">
        <v>1.7023953791445227E-4</v>
      </c>
      <c r="AG391" s="8">
        <v>4.5397178053633956E-4</v>
      </c>
      <c r="AH391" s="8">
        <v>1.4108290563338141E-3</v>
      </c>
      <c r="AI391" s="8">
        <v>5.6121201907185147E-3</v>
      </c>
      <c r="AJ391" s="8">
        <v>2.6815742623297365E-4</v>
      </c>
    </row>
    <row r="392" spans="1:36" x14ac:dyDescent="0.2">
      <c r="A392" t="s">
        <v>448</v>
      </c>
      <c r="B392">
        <v>2011</v>
      </c>
      <c r="C392" t="s">
        <v>451</v>
      </c>
      <c r="D392" s="7">
        <v>102</v>
      </c>
      <c r="E392" s="7">
        <v>51</v>
      </c>
      <c r="F392" s="7">
        <v>50</v>
      </c>
      <c r="G392" s="7">
        <v>51</v>
      </c>
      <c r="H392" s="7">
        <v>51</v>
      </c>
      <c r="I392" s="7">
        <v>73</v>
      </c>
      <c r="J392" s="7">
        <v>97</v>
      </c>
      <c r="K392" s="7">
        <v>236</v>
      </c>
      <c r="L392" s="7">
        <v>406</v>
      </c>
      <c r="M392" s="7">
        <v>550</v>
      </c>
      <c r="N392" s="7">
        <v>1667</v>
      </c>
      <c r="O392" s="7">
        <v>410603.21800000023</v>
      </c>
      <c r="P392" s="7">
        <v>837694.1479999997</v>
      </c>
      <c r="Q392" s="7">
        <v>864387.43499999971</v>
      </c>
      <c r="R392" s="7">
        <v>829296.53299999994</v>
      </c>
      <c r="S392" s="7">
        <v>870345.652</v>
      </c>
      <c r="T392" s="7">
        <v>919269.40000000026</v>
      </c>
      <c r="U392" s="7">
        <v>768296.71900000016</v>
      </c>
      <c r="V392" s="7">
        <v>474593.35200000025</v>
      </c>
      <c r="W392" s="7">
        <v>267836.51400000002</v>
      </c>
      <c r="X392" s="7">
        <v>98621.291999999987</v>
      </c>
      <c r="Y392" s="7">
        <v>6340944.2630000012</v>
      </c>
      <c r="Z392" s="8">
        <v>2.484150038979966E-4</v>
      </c>
      <c r="AA392" s="8">
        <v>6.0881408950704547E-5</v>
      </c>
      <c r="AB392" s="8">
        <v>5.7844431762245616E-5</v>
      </c>
      <c r="AC392" s="8">
        <v>6.1497905719569681E-5</v>
      </c>
      <c r="AD392" s="8">
        <v>5.8597408837288014E-5</v>
      </c>
      <c r="AE392" s="8">
        <v>7.9410888690518771E-5</v>
      </c>
      <c r="AF392" s="8">
        <v>1.2625330500728063E-4</v>
      </c>
      <c r="AG392" s="8">
        <v>4.9726781676452951E-4</v>
      </c>
      <c r="AH392" s="8">
        <v>1.5158500756173969E-3</v>
      </c>
      <c r="AI392" s="8">
        <v>5.5768890150009395E-3</v>
      </c>
      <c r="AJ392" s="8">
        <v>2.6289459910996217E-4</v>
      </c>
    </row>
    <row r="393" spans="1:36" x14ac:dyDescent="0.2">
      <c r="A393" t="s">
        <v>448</v>
      </c>
      <c r="B393">
        <v>2012</v>
      </c>
      <c r="C393" t="s">
        <v>452</v>
      </c>
      <c r="D393" s="7">
        <v>127</v>
      </c>
      <c r="E393" s="7">
        <v>33</v>
      </c>
      <c r="F393" s="7">
        <v>50</v>
      </c>
      <c r="G393" s="7">
        <v>36</v>
      </c>
      <c r="H393" s="7">
        <v>62</v>
      </c>
      <c r="I393" s="7">
        <v>60</v>
      </c>
      <c r="J393" s="7">
        <v>126</v>
      </c>
      <c r="K393" s="7">
        <v>214</v>
      </c>
      <c r="L393" s="7">
        <v>355</v>
      </c>
      <c r="M393" s="7">
        <v>630</v>
      </c>
      <c r="N393" s="7">
        <v>1693</v>
      </c>
      <c r="O393" s="7">
        <v>405201.67799999984</v>
      </c>
      <c r="P393" s="7">
        <v>831540.3139999999</v>
      </c>
      <c r="Q393" s="7">
        <v>864447.7349999994</v>
      </c>
      <c r="R393" s="7">
        <v>824634.37399999984</v>
      </c>
      <c r="S393" s="7">
        <v>854745.59899999981</v>
      </c>
      <c r="T393" s="7">
        <v>914103.51400000032</v>
      </c>
      <c r="U393" s="7">
        <v>783965.92500000016</v>
      </c>
      <c r="V393" s="7">
        <v>488551.87399999995</v>
      </c>
      <c r="W393" s="7">
        <v>267612.79799999995</v>
      </c>
      <c r="X393" s="7">
        <v>98936.495999999985</v>
      </c>
      <c r="Y393" s="7">
        <v>6333740.3069999991</v>
      </c>
      <c r="Z393" s="8">
        <v>3.1342417096308286E-4</v>
      </c>
      <c r="AA393" s="8">
        <v>3.9685388001525085E-5</v>
      </c>
      <c r="AB393" s="8">
        <v>5.7840396793913788E-5</v>
      </c>
      <c r="AC393" s="8">
        <v>4.3655711106701946E-5</v>
      </c>
      <c r="AD393" s="8">
        <v>7.2536202669585214E-5</v>
      </c>
      <c r="AE393" s="8">
        <v>6.5638080459233389E-5</v>
      </c>
      <c r="AF393" s="8">
        <v>1.6072127114453346E-4</v>
      </c>
      <c r="AG393" s="8">
        <v>4.3802922757799106E-4</v>
      </c>
      <c r="AH393" s="8">
        <v>1.3265434338457912E-3</v>
      </c>
      <c r="AI393" s="8">
        <v>6.3677209671949581E-3</v>
      </c>
      <c r="AJ393" s="8">
        <v>2.6729861313210299E-4</v>
      </c>
    </row>
    <row r="394" spans="1:36" x14ac:dyDescent="0.2">
      <c r="A394" t="s">
        <v>448</v>
      </c>
      <c r="B394">
        <v>2013</v>
      </c>
      <c r="C394" t="s">
        <v>453</v>
      </c>
      <c r="D394" s="7">
        <v>96</v>
      </c>
      <c r="E394" s="7">
        <v>55</v>
      </c>
      <c r="F394" s="7">
        <v>47</v>
      </c>
      <c r="G394" s="7">
        <v>37</v>
      </c>
      <c r="H394" s="7">
        <v>59</v>
      </c>
      <c r="I394" s="7">
        <v>70</v>
      </c>
      <c r="J394" s="7">
        <v>150</v>
      </c>
      <c r="K394" s="7">
        <v>249</v>
      </c>
      <c r="L394" s="7">
        <v>411</v>
      </c>
      <c r="M394" s="7">
        <v>597</v>
      </c>
      <c r="N394" s="7">
        <v>1771</v>
      </c>
      <c r="O394" s="7">
        <v>390066.82400000002</v>
      </c>
      <c r="P394" s="7">
        <v>804215.81599999999</v>
      </c>
      <c r="Q394" s="7">
        <v>857793.94100000011</v>
      </c>
      <c r="R394" s="7">
        <v>808226.48400000017</v>
      </c>
      <c r="S394" s="7">
        <v>819600.277</v>
      </c>
      <c r="T394" s="7">
        <v>879521.45599999989</v>
      </c>
      <c r="U394" s="7">
        <v>774237.23200000008</v>
      </c>
      <c r="V394" s="7">
        <v>489886.72199999989</v>
      </c>
      <c r="W394" s="7">
        <v>263208.22600000002</v>
      </c>
      <c r="X394" s="7">
        <v>98276.160999999993</v>
      </c>
      <c r="Y394" s="7">
        <v>6185033.1390000004</v>
      </c>
      <c r="Z394" s="8">
        <v>2.4611167649571755E-4</v>
      </c>
      <c r="AA394" s="8">
        <v>6.8389602524305485E-5</v>
      </c>
      <c r="AB394" s="8">
        <v>5.479171366634775E-5</v>
      </c>
      <c r="AC394" s="8">
        <v>4.5779247194280253E-5</v>
      </c>
      <c r="AD394" s="8">
        <v>7.1986310468267453E-5</v>
      </c>
      <c r="AE394" s="8">
        <v>7.9588734899492902E-5</v>
      </c>
      <c r="AF394" s="8">
        <v>1.9373906833764873E-4</v>
      </c>
      <c r="AG394" s="8">
        <v>5.0828076944694177E-4</v>
      </c>
      <c r="AH394" s="8">
        <v>1.5615013491257677E-3</v>
      </c>
      <c r="AI394" s="8">
        <v>6.0747183643040355E-3</v>
      </c>
      <c r="AJ394" s="8">
        <v>2.8633638012913481E-4</v>
      </c>
    </row>
    <row r="395" spans="1:36" x14ac:dyDescent="0.2">
      <c r="A395" t="s">
        <v>448</v>
      </c>
      <c r="B395">
        <v>2014</v>
      </c>
      <c r="C395" t="s">
        <v>454</v>
      </c>
      <c r="D395" s="7">
        <v>104</v>
      </c>
      <c r="E395" s="7">
        <v>53</v>
      </c>
      <c r="F395" s="7">
        <v>49</v>
      </c>
      <c r="G395" s="7">
        <v>43</v>
      </c>
      <c r="H395" s="7">
        <v>73</v>
      </c>
      <c r="I395" s="7">
        <v>92</v>
      </c>
      <c r="J395" s="7">
        <v>173</v>
      </c>
      <c r="K395" s="7">
        <v>257</v>
      </c>
      <c r="L395" s="7">
        <v>409</v>
      </c>
      <c r="M395" s="7">
        <v>582</v>
      </c>
      <c r="N395" s="7">
        <v>1835</v>
      </c>
      <c r="O395" s="7">
        <v>407946.527</v>
      </c>
      <c r="P395" s="7">
        <v>847750.86999999988</v>
      </c>
      <c r="Q395" s="7">
        <v>885144.30299999984</v>
      </c>
      <c r="R395" s="7">
        <v>847093.72900000005</v>
      </c>
      <c r="S395" s="7">
        <v>848296.13799999992</v>
      </c>
      <c r="T395" s="7">
        <v>911845.54299999995</v>
      </c>
      <c r="U395" s="7">
        <v>825409.06199999992</v>
      </c>
      <c r="V395" s="7">
        <v>542648.28900000011</v>
      </c>
      <c r="W395" s="7">
        <v>289910.95000000007</v>
      </c>
      <c r="X395" s="7">
        <v>108793.857</v>
      </c>
      <c r="Y395" s="7">
        <v>6514839.2679999992</v>
      </c>
      <c r="Z395" s="8">
        <v>2.5493537293920878E-4</v>
      </c>
      <c r="AA395" s="8">
        <v>6.2518366982035662E-5</v>
      </c>
      <c r="AB395" s="8">
        <v>5.5358205248483656E-5</v>
      </c>
      <c r="AC395" s="8">
        <v>5.0761797104509077E-5</v>
      </c>
      <c r="AD395" s="8">
        <v>8.6054853641217459E-5</v>
      </c>
      <c r="AE395" s="8">
        <v>1.0089428051303202E-4</v>
      </c>
      <c r="AF395" s="8">
        <v>2.0959304660505412E-4</v>
      </c>
      <c r="AG395" s="8">
        <v>4.7360326238861492E-4</v>
      </c>
      <c r="AH395" s="8">
        <v>1.4107780337376007E-3</v>
      </c>
      <c r="AI395" s="8">
        <v>5.3495667498947115E-3</v>
      </c>
      <c r="AJ395" s="8">
        <v>2.8166466193775026E-4</v>
      </c>
    </row>
    <row r="396" spans="1:36" x14ac:dyDescent="0.2">
      <c r="A396" t="s">
        <v>448</v>
      </c>
      <c r="B396">
        <v>2015</v>
      </c>
      <c r="C396" t="s">
        <v>455</v>
      </c>
      <c r="D396" s="7">
        <v>107</v>
      </c>
      <c r="E396" s="7">
        <v>43</v>
      </c>
      <c r="F396" s="7">
        <v>64</v>
      </c>
      <c r="G396" s="7">
        <v>35</v>
      </c>
      <c r="H396" s="7">
        <v>59</v>
      </c>
      <c r="I396" s="7">
        <v>89</v>
      </c>
      <c r="J396" s="7">
        <v>108</v>
      </c>
      <c r="K396" s="7">
        <v>308</v>
      </c>
      <c r="L396" s="7">
        <v>485</v>
      </c>
      <c r="M396" s="7">
        <v>645</v>
      </c>
      <c r="N396" s="7">
        <v>1943</v>
      </c>
      <c r="O396" s="7">
        <v>400449.66000000003</v>
      </c>
      <c r="P396" s="7">
        <v>836348.94599999965</v>
      </c>
      <c r="Q396" s="7">
        <v>872131.00999999966</v>
      </c>
      <c r="R396" s="7">
        <v>847675.4360000001</v>
      </c>
      <c r="S396" s="7">
        <v>837665.88500000001</v>
      </c>
      <c r="T396" s="7">
        <v>898668.44200000016</v>
      </c>
      <c r="U396" s="7">
        <v>830839.18700000003</v>
      </c>
      <c r="V396" s="7">
        <v>552916.42700000003</v>
      </c>
      <c r="W396" s="7">
        <v>283530</v>
      </c>
      <c r="X396" s="7">
        <v>106922.15199999997</v>
      </c>
      <c r="Y396" s="7">
        <v>6467147.1449999996</v>
      </c>
      <c r="Z396" s="8">
        <v>2.6719962753870235E-4</v>
      </c>
      <c r="AA396" s="8">
        <v>5.141394654187801E-5</v>
      </c>
      <c r="AB396" s="8">
        <v>7.3383470219686402E-5</v>
      </c>
      <c r="AC396" s="8">
        <v>4.1289388029406096E-5</v>
      </c>
      <c r="AD396" s="8">
        <v>7.0433810253595319E-5</v>
      </c>
      <c r="AE396" s="8">
        <v>9.9035412662237433E-5</v>
      </c>
      <c r="AF396" s="8">
        <v>1.2998905406708987E-4</v>
      </c>
      <c r="AG396" s="8">
        <v>5.5704620980631485E-4</v>
      </c>
      <c r="AH396" s="8">
        <v>1.7105773639473777E-3</v>
      </c>
      <c r="AI396" s="8">
        <v>6.0324262833767149E-3</v>
      </c>
      <c r="AJ396" s="8">
        <v>3.0044159448300295E-4</v>
      </c>
    </row>
    <row r="397" spans="1:36" x14ac:dyDescent="0.2">
      <c r="A397" t="s">
        <v>448</v>
      </c>
      <c r="B397">
        <v>2016</v>
      </c>
      <c r="C397" t="s">
        <v>456</v>
      </c>
      <c r="D397" s="7">
        <v>97</v>
      </c>
      <c r="E397" s="7">
        <v>65</v>
      </c>
      <c r="F397" s="7">
        <v>60</v>
      </c>
      <c r="G397" s="7">
        <v>52</v>
      </c>
      <c r="H397" s="7">
        <v>65</v>
      </c>
      <c r="I397" s="7">
        <v>60</v>
      </c>
      <c r="J397" s="7">
        <v>187</v>
      </c>
      <c r="K397" s="7">
        <v>281</v>
      </c>
      <c r="L397" s="7">
        <v>412</v>
      </c>
      <c r="M397" s="7">
        <v>519</v>
      </c>
      <c r="N397" s="7">
        <v>1798</v>
      </c>
      <c r="O397" s="7">
        <v>391701.37999999983</v>
      </c>
      <c r="P397" s="7">
        <v>816246.28700000001</v>
      </c>
      <c r="Q397" s="7">
        <v>857368.25899999973</v>
      </c>
      <c r="R397" s="7">
        <v>838939.32199999993</v>
      </c>
      <c r="S397" s="7">
        <v>812439.92899999989</v>
      </c>
      <c r="T397" s="7">
        <v>868683.73300000012</v>
      </c>
      <c r="U397" s="7">
        <v>816612.11199999996</v>
      </c>
      <c r="V397" s="7">
        <v>561853.78300000005</v>
      </c>
      <c r="W397" s="7">
        <v>281941.76699999999</v>
      </c>
      <c r="X397" s="7">
        <v>104944.91300000002</v>
      </c>
      <c r="Y397" s="7">
        <v>6350731.4849999994</v>
      </c>
      <c r="Z397" s="8">
        <v>2.4763762639794641E-4</v>
      </c>
      <c r="AA397" s="8">
        <v>7.9632827781549225E-5</v>
      </c>
      <c r="AB397" s="8">
        <v>6.9981597021076585E-5</v>
      </c>
      <c r="AC397" s="8">
        <v>6.1983028612884596E-5</v>
      </c>
      <c r="AD397" s="8">
        <v>8.0005915120402718E-5</v>
      </c>
      <c r="AE397" s="8">
        <v>6.9070016762936201E-5</v>
      </c>
      <c r="AF397" s="8">
        <v>2.2899488906919372E-4</v>
      </c>
      <c r="AG397" s="8">
        <v>5.0013012015263046E-4</v>
      </c>
      <c r="AH397" s="8">
        <v>1.461294665149772E-3</v>
      </c>
      <c r="AI397" s="8">
        <v>4.9454517152251101E-3</v>
      </c>
      <c r="AJ397" s="8">
        <v>2.8311699278213149E-4</v>
      </c>
    </row>
    <row r="398" spans="1:36" x14ac:dyDescent="0.2">
      <c r="A398" t="s">
        <v>448</v>
      </c>
      <c r="B398">
        <v>2017</v>
      </c>
      <c r="C398" t="s">
        <v>457</v>
      </c>
      <c r="D398" s="7">
        <v>92</v>
      </c>
      <c r="E398" s="7">
        <v>56</v>
      </c>
      <c r="F398" s="7">
        <v>66</v>
      </c>
      <c r="G398" s="7">
        <v>52</v>
      </c>
      <c r="H398" s="7">
        <v>66</v>
      </c>
      <c r="I398" s="7">
        <v>82</v>
      </c>
      <c r="J398" s="7">
        <v>169</v>
      </c>
      <c r="K398" s="7">
        <v>337</v>
      </c>
      <c r="L398" s="7">
        <v>439</v>
      </c>
      <c r="M398" s="7">
        <v>545</v>
      </c>
      <c r="N398" s="7">
        <v>1904</v>
      </c>
      <c r="O398" s="7">
        <v>420176</v>
      </c>
      <c r="P398" s="7">
        <v>874939</v>
      </c>
      <c r="Q398" s="7">
        <v>921170</v>
      </c>
      <c r="R398" s="7">
        <v>914686</v>
      </c>
      <c r="S398" s="7">
        <v>872935</v>
      </c>
      <c r="T398" s="7">
        <v>931694</v>
      </c>
      <c r="U398" s="7">
        <v>894819</v>
      </c>
      <c r="V398" s="7">
        <v>630197</v>
      </c>
      <c r="W398" s="7">
        <v>311698</v>
      </c>
      <c r="X398" s="7">
        <v>117505</v>
      </c>
      <c r="Y398" s="7">
        <v>6889819</v>
      </c>
      <c r="Z398" s="8">
        <v>2.1895586611324778E-4</v>
      </c>
      <c r="AA398" s="8">
        <v>6.4004462025352621E-5</v>
      </c>
      <c r="AB398" s="8">
        <v>7.1648012853219278E-5</v>
      </c>
      <c r="AC398" s="8">
        <v>5.685011031107943E-5</v>
      </c>
      <c r="AD398" s="8">
        <v>7.5607003957912106E-5</v>
      </c>
      <c r="AE398" s="8">
        <v>8.8011729172882944E-5</v>
      </c>
      <c r="AF398" s="8">
        <v>1.8886501068931258E-4</v>
      </c>
      <c r="AG398" s="8">
        <v>5.3475341837552379E-4</v>
      </c>
      <c r="AH398" s="8">
        <v>1.4084145551142451E-3</v>
      </c>
      <c r="AI398" s="8">
        <v>4.6381005063614311E-3</v>
      </c>
      <c r="AJ398" s="8">
        <v>2.7634978509595098E-4</v>
      </c>
    </row>
    <row r="399" spans="1:36" x14ac:dyDescent="0.2">
      <c r="A399" t="s">
        <v>458</v>
      </c>
      <c r="B399">
        <v>2009</v>
      </c>
      <c r="C399" t="s">
        <v>459</v>
      </c>
      <c r="D399" s="7">
        <v>116</v>
      </c>
      <c r="E399" s="7">
        <v>39</v>
      </c>
      <c r="F399" s="7">
        <v>50</v>
      </c>
      <c r="G399" s="7">
        <v>85</v>
      </c>
      <c r="H399" s="7">
        <v>118</v>
      </c>
      <c r="I399" s="7">
        <v>222</v>
      </c>
      <c r="J399" s="7">
        <v>317</v>
      </c>
      <c r="K399" s="7">
        <v>415</v>
      </c>
      <c r="L399" s="7">
        <v>852</v>
      </c>
      <c r="M399" s="7">
        <v>1245</v>
      </c>
      <c r="N399" s="7">
        <v>3459</v>
      </c>
      <c r="O399" s="7">
        <v>1985625.7340000004</v>
      </c>
      <c r="P399" s="7">
        <v>3566777.6169999987</v>
      </c>
      <c r="Q399" s="7">
        <v>3508389.5350000006</v>
      </c>
      <c r="R399" s="7">
        <v>3482930.1059999992</v>
      </c>
      <c r="S399" s="7">
        <v>3379838.4699999974</v>
      </c>
      <c r="T399" s="7">
        <v>3189718.6149999988</v>
      </c>
      <c r="U399" s="7">
        <v>2232492.8169999989</v>
      </c>
      <c r="V399" s="7">
        <v>1285094.737999999</v>
      </c>
      <c r="W399" s="7">
        <v>809215.82099999965</v>
      </c>
      <c r="X399" s="7">
        <v>293159.61399999988</v>
      </c>
      <c r="Y399" s="7">
        <v>23733243.06699999</v>
      </c>
      <c r="Z399" s="8">
        <v>5.84198713854904E-5</v>
      </c>
      <c r="AA399" s="8">
        <v>1.0934239301636846E-5</v>
      </c>
      <c r="AB399" s="8">
        <v>1.4251553170249662E-5</v>
      </c>
      <c r="AC399" s="8">
        <v>2.4404738944824528E-5</v>
      </c>
      <c r="AD399" s="8">
        <v>3.4912911089505435E-5</v>
      </c>
      <c r="AE399" s="8">
        <v>6.9598615676010059E-5</v>
      </c>
      <c r="AF399" s="8">
        <v>1.4199373793550717E-4</v>
      </c>
      <c r="AG399" s="8">
        <v>3.2293338983386324E-4</v>
      </c>
      <c r="AH399" s="8">
        <v>1.0528711598188098E-3</v>
      </c>
      <c r="AI399" s="8">
        <v>4.2468332626471551E-3</v>
      </c>
      <c r="AJ399" s="8">
        <v>1.4574493634245816E-4</v>
      </c>
    </row>
    <row r="400" spans="1:36" x14ac:dyDescent="0.2">
      <c r="A400" t="s">
        <v>458</v>
      </c>
      <c r="B400">
        <v>2010</v>
      </c>
      <c r="C400" t="s">
        <v>460</v>
      </c>
      <c r="D400" s="7">
        <v>97</v>
      </c>
      <c r="E400" s="7">
        <v>64</v>
      </c>
      <c r="F400" s="7">
        <v>44</v>
      </c>
      <c r="G400" s="7">
        <v>53</v>
      </c>
      <c r="H400" s="7">
        <v>82</v>
      </c>
      <c r="I400" s="7">
        <v>145</v>
      </c>
      <c r="J400" s="7">
        <v>266</v>
      </c>
      <c r="K400" s="7">
        <v>390</v>
      </c>
      <c r="L400" s="7">
        <v>826</v>
      </c>
      <c r="M400" s="7">
        <v>1219</v>
      </c>
      <c r="N400" s="7">
        <v>3186</v>
      </c>
      <c r="O400" s="7">
        <v>1895620.4740000002</v>
      </c>
      <c r="P400" s="7">
        <v>3641491.3590000034</v>
      </c>
      <c r="Q400" s="7">
        <v>3609520.675999999</v>
      </c>
      <c r="R400" s="7">
        <v>3465989.0809999974</v>
      </c>
      <c r="S400" s="7">
        <v>3414624.5640000012</v>
      </c>
      <c r="T400" s="7">
        <v>3306800.4679999999</v>
      </c>
      <c r="U400" s="7">
        <v>2388891.4879999999</v>
      </c>
      <c r="V400" s="7">
        <v>1366247.2309999997</v>
      </c>
      <c r="W400" s="7">
        <v>796666.04900000023</v>
      </c>
      <c r="X400" s="7">
        <v>289290.71200000006</v>
      </c>
      <c r="Y400" s="7">
        <v>24175142.101999998</v>
      </c>
      <c r="Z400" s="8">
        <v>5.1170580467153151E-5</v>
      </c>
      <c r="AA400" s="8">
        <v>1.7575216769860786E-5</v>
      </c>
      <c r="AB400" s="8">
        <v>1.2189984197225862E-5</v>
      </c>
      <c r="AC400" s="8">
        <v>1.5291450365651063E-5</v>
      </c>
      <c r="AD400" s="8">
        <v>2.4014353104735637E-5</v>
      </c>
      <c r="AE400" s="8">
        <v>4.3849032139425717E-5</v>
      </c>
      <c r="AF400" s="8">
        <v>1.1134871606189926E-4</v>
      </c>
      <c r="AG400" s="8">
        <v>2.8545346050915443E-4</v>
      </c>
      <c r="AH400" s="8">
        <v>1.0368208875435581E-3</v>
      </c>
      <c r="AI400" s="8">
        <v>4.2137543634653569E-3</v>
      </c>
      <c r="AJ400" s="8">
        <v>1.3178826360389517E-4</v>
      </c>
    </row>
    <row r="401" spans="1:36" x14ac:dyDescent="0.2">
      <c r="A401" t="s">
        <v>458</v>
      </c>
      <c r="B401">
        <v>2011</v>
      </c>
      <c r="C401" t="s">
        <v>461</v>
      </c>
      <c r="D401" s="7">
        <v>95</v>
      </c>
      <c r="E401" s="7">
        <v>60</v>
      </c>
      <c r="F401" s="7">
        <v>55</v>
      </c>
      <c r="G401" s="7">
        <v>51</v>
      </c>
      <c r="H401" s="7">
        <v>67</v>
      </c>
      <c r="I401" s="7">
        <v>135</v>
      </c>
      <c r="J401" s="7">
        <v>280</v>
      </c>
      <c r="K401" s="7">
        <v>405</v>
      </c>
      <c r="L401" s="7">
        <v>803</v>
      </c>
      <c r="M401" s="7">
        <v>1265</v>
      </c>
      <c r="N401" s="7">
        <v>3216</v>
      </c>
      <c r="O401" s="7">
        <v>1924913.1259999988</v>
      </c>
      <c r="P401" s="7">
        <v>3733148.7680000025</v>
      </c>
      <c r="Q401" s="7">
        <v>3682627.9380000019</v>
      </c>
      <c r="R401" s="7">
        <v>3555937.4959999989</v>
      </c>
      <c r="S401" s="7">
        <v>3458491.4709999999</v>
      </c>
      <c r="T401" s="7">
        <v>3387215.0599999977</v>
      </c>
      <c r="U401" s="7">
        <v>2518834.6079999991</v>
      </c>
      <c r="V401" s="7">
        <v>1436207.670999998</v>
      </c>
      <c r="W401" s="7">
        <v>815470.04899999988</v>
      </c>
      <c r="X401" s="7">
        <v>302246.83400000003</v>
      </c>
      <c r="Y401" s="7">
        <v>24815093.020999994</v>
      </c>
      <c r="Z401" s="8">
        <v>4.9352876613923647E-5</v>
      </c>
      <c r="AA401" s="8">
        <v>1.6072223136219779E-5</v>
      </c>
      <c r="AB401" s="8">
        <v>1.4934986896848978E-5</v>
      </c>
      <c r="AC401" s="8">
        <v>1.4342209349115066E-5</v>
      </c>
      <c r="AD401" s="8">
        <v>1.9372608133287485E-5</v>
      </c>
      <c r="AE401" s="8">
        <v>3.9855750995627689E-5</v>
      </c>
      <c r="AF401" s="8">
        <v>1.1116251901204626E-4</v>
      </c>
      <c r="AG401" s="8">
        <v>2.819926450594766E-4</v>
      </c>
      <c r="AH401" s="8">
        <v>9.8470814591499508E-4</v>
      </c>
      <c r="AI401" s="8">
        <v>4.1853209287876277E-3</v>
      </c>
      <c r="AJ401" s="8">
        <v>1.295985470325834E-4</v>
      </c>
    </row>
    <row r="402" spans="1:36" x14ac:dyDescent="0.2">
      <c r="A402" t="s">
        <v>458</v>
      </c>
      <c r="B402">
        <v>2012</v>
      </c>
      <c r="C402" t="s">
        <v>462</v>
      </c>
      <c r="D402" s="7">
        <v>99</v>
      </c>
      <c r="E402" s="7">
        <v>37</v>
      </c>
      <c r="F402" s="7">
        <v>63</v>
      </c>
      <c r="G402" s="7">
        <v>42</v>
      </c>
      <c r="H402" s="7">
        <v>74</v>
      </c>
      <c r="I402" s="7">
        <v>125</v>
      </c>
      <c r="J402" s="7">
        <v>253</v>
      </c>
      <c r="K402" s="7">
        <v>440</v>
      </c>
      <c r="L402" s="7">
        <v>784</v>
      </c>
      <c r="M402" s="7">
        <v>1211</v>
      </c>
      <c r="N402" s="7">
        <v>3128</v>
      </c>
      <c r="O402" s="7">
        <v>1914320.7790000006</v>
      </c>
      <c r="P402" s="7">
        <v>3763085.0730000003</v>
      </c>
      <c r="Q402" s="7">
        <v>3694811.7749999994</v>
      </c>
      <c r="R402" s="7">
        <v>3600543.3080000021</v>
      </c>
      <c r="S402" s="7">
        <v>3454687.9779999978</v>
      </c>
      <c r="T402" s="7">
        <v>3392555.4999999986</v>
      </c>
      <c r="U402" s="7">
        <v>2598309.8310000002</v>
      </c>
      <c r="V402" s="7">
        <v>1486837.0019999994</v>
      </c>
      <c r="W402" s="7">
        <v>822902.7589999995</v>
      </c>
      <c r="X402" s="7">
        <v>312120.07299999992</v>
      </c>
      <c r="Y402" s="7">
        <v>25040174.077999998</v>
      </c>
      <c r="Z402" s="8">
        <v>5.1715470618103741E-5</v>
      </c>
      <c r="AA402" s="8">
        <v>9.8323581003984385E-6</v>
      </c>
      <c r="AB402" s="8">
        <v>1.7050936241535607E-5</v>
      </c>
      <c r="AC402" s="8">
        <v>1.1664906211982154E-5</v>
      </c>
      <c r="AD402" s="8">
        <v>2.1420168904179991E-5</v>
      </c>
      <c r="AE402" s="8">
        <v>3.6845381011452888E-5</v>
      </c>
      <c r="AF402" s="8">
        <v>9.7370989780163738E-5</v>
      </c>
      <c r="AG402" s="8">
        <v>2.9593021925613887E-4</v>
      </c>
      <c r="AH402" s="8">
        <v>9.5272496224550935E-4</v>
      </c>
      <c r="AI402" s="8">
        <v>3.879917072811912E-3</v>
      </c>
      <c r="AJ402" s="8">
        <v>1.2491925935723521E-4</v>
      </c>
    </row>
    <row r="403" spans="1:36" x14ac:dyDescent="0.2">
      <c r="A403" t="s">
        <v>458</v>
      </c>
      <c r="B403">
        <v>2013</v>
      </c>
      <c r="C403" t="s">
        <v>463</v>
      </c>
      <c r="D403" s="7">
        <v>125</v>
      </c>
      <c r="E403" s="7">
        <v>51</v>
      </c>
      <c r="F403" s="7">
        <v>58</v>
      </c>
      <c r="G403" s="7">
        <v>61</v>
      </c>
      <c r="H403" s="7">
        <v>83</v>
      </c>
      <c r="I403" s="7">
        <v>186</v>
      </c>
      <c r="J403" s="7">
        <v>365</v>
      </c>
      <c r="K403" s="7">
        <v>490</v>
      </c>
      <c r="L403" s="7">
        <v>841</v>
      </c>
      <c r="M403" s="7">
        <v>1277</v>
      </c>
      <c r="N403" s="7">
        <v>3537</v>
      </c>
      <c r="O403" s="7">
        <v>1935820.7289999989</v>
      </c>
      <c r="P403" s="7">
        <v>3862721.597000001</v>
      </c>
      <c r="Q403" s="7">
        <v>3768454.8230000013</v>
      </c>
      <c r="R403" s="7">
        <v>3689711.0820000041</v>
      </c>
      <c r="S403" s="7">
        <v>3515056.0790000004</v>
      </c>
      <c r="T403" s="7">
        <v>3444028.4460000014</v>
      </c>
      <c r="U403" s="7">
        <v>2715331.6399999987</v>
      </c>
      <c r="V403" s="7">
        <v>1573989.3889999986</v>
      </c>
      <c r="W403" s="7">
        <v>851795.47700000065</v>
      </c>
      <c r="X403" s="7">
        <v>323943.87600000005</v>
      </c>
      <c r="Y403" s="7">
        <v>25680853.138000004</v>
      </c>
      <c r="Z403" s="8">
        <v>6.4572094991756897E-5</v>
      </c>
      <c r="AA403" s="8">
        <v>1.3203126013432955E-5</v>
      </c>
      <c r="AB403" s="8">
        <v>1.539092352812849E-5</v>
      </c>
      <c r="AC403" s="8">
        <v>1.6532459762929463E-5</v>
      </c>
      <c r="AD403" s="8">
        <v>2.361271004917017E-5</v>
      </c>
      <c r="AE403" s="8">
        <v>5.4006522569819656E-5</v>
      </c>
      <c r="AF403" s="8">
        <v>1.3442188593950174E-4</v>
      </c>
      <c r="AG403" s="8">
        <v>3.1131086614968309E-4</v>
      </c>
      <c r="AH403" s="8">
        <v>9.8732620999817701E-4</v>
      </c>
      <c r="AI403" s="8">
        <v>3.9420408737716028E-3</v>
      </c>
      <c r="AJ403" s="8">
        <v>1.3772906924055007E-4</v>
      </c>
    </row>
    <row r="404" spans="1:36" x14ac:dyDescent="0.2">
      <c r="A404" t="s">
        <v>458</v>
      </c>
      <c r="B404">
        <v>2014</v>
      </c>
      <c r="C404" t="s">
        <v>464</v>
      </c>
      <c r="D404" s="7">
        <v>108</v>
      </c>
      <c r="E404" s="7">
        <v>46</v>
      </c>
      <c r="F404" s="7">
        <v>48</v>
      </c>
      <c r="G404" s="7">
        <v>91</v>
      </c>
      <c r="H404" s="7">
        <v>111</v>
      </c>
      <c r="I404" s="7">
        <v>203</v>
      </c>
      <c r="J404" s="7">
        <v>458</v>
      </c>
      <c r="K404" s="7">
        <v>533</v>
      </c>
      <c r="L404" s="7">
        <v>829</v>
      </c>
      <c r="M404" s="7">
        <v>1190</v>
      </c>
      <c r="N404" s="7">
        <v>3617</v>
      </c>
      <c r="O404" s="7">
        <v>1933816.064</v>
      </c>
      <c r="P404" s="7">
        <v>3902246.302999997</v>
      </c>
      <c r="Q404" s="7">
        <v>3797501.5940000005</v>
      </c>
      <c r="R404" s="7">
        <v>3756948.0820000004</v>
      </c>
      <c r="S404" s="7">
        <v>3546395.046999997</v>
      </c>
      <c r="T404" s="7">
        <v>3447274.1000000015</v>
      </c>
      <c r="U404" s="7">
        <v>2795286.0599999996</v>
      </c>
      <c r="V404" s="7">
        <v>1640312.9579999996</v>
      </c>
      <c r="W404" s="7">
        <v>867255.90099999995</v>
      </c>
      <c r="X404" s="7">
        <v>331829.67</v>
      </c>
      <c r="Y404" s="7">
        <v>26018865.778999999</v>
      </c>
      <c r="Z404" s="8">
        <v>5.5848124343639746E-5</v>
      </c>
      <c r="AA404" s="8">
        <v>1.1788082152742586E-5</v>
      </c>
      <c r="AB404" s="8">
        <v>1.2639889361952956E-5</v>
      </c>
      <c r="AC404" s="8">
        <v>2.4221788008195314E-5</v>
      </c>
      <c r="AD404" s="8">
        <v>3.129938952906509E-5</v>
      </c>
      <c r="AE404" s="8">
        <v>5.888710735244404E-5</v>
      </c>
      <c r="AF404" s="8">
        <v>1.6384727364898033E-4</v>
      </c>
      <c r="AG404" s="8">
        <v>3.2493799271687525E-4</v>
      </c>
      <c r="AH404" s="8">
        <v>9.5588856650512439E-4</v>
      </c>
      <c r="AI404" s="8">
        <v>3.5861772095304198E-3</v>
      </c>
      <c r="AJ404" s="8">
        <v>1.3901451472643765E-4</v>
      </c>
    </row>
    <row r="405" spans="1:36" x14ac:dyDescent="0.2">
      <c r="A405" t="s">
        <v>458</v>
      </c>
      <c r="B405">
        <v>2015</v>
      </c>
      <c r="C405" t="s">
        <v>465</v>
      </c>
      <c r="D405" s="7">
        <v>112</v>
      </c>
      <c r="E405" s="7">
        <v>38</v>
      </c>
      <c r="F405" s="7">
        <v>62</v>
      </c>
      <c r="G405" s="7">
        <v>62</v>
      </c>
      <c r="H405" s="7">
        <v>65</v>
      </c>
      <c r="I405" s="7">
        <v>161</v>
      </c>
      <c r="J405" s="7">
        <v>318</v>
      </c>
      <c r="K405" s="7">
        <v>496</v>
      </c>
      <c r="L405" s="7">
        <v>826</v>
      </c>
      <c r="M405" s="7">
        <v>1253</v>
      </c>
      <c r="N405" s="7">
        <v>3393</v>
      </c>
      <c r="O405" s="7">
        <v>1916586.6740000015</v>
      </c>
      <c r="P405" s="7">
        <v>3885681.7449999982</v>
      </c>
      <c r="Q405" s="7">
        <v>3804172.3629999985</v>
      </c>
      <c r="R405" s="7">
        <v>3768801.7449999982</v>
      </c>
      <c r="S405" s="7">
        <v>3538066.8300000019</v>
      </c>
      <c r="T405" s="7">
        <v>3400375.6400000011</v>
      </c>
      <c r="U405" s="7">
        <v>2839062.5380000006</v>
      </c>
      <c r="V405" s="7">
        <v>1700907.1150000002</v>
      </c>
      <c r="W405" s="7">
        <v>874629.42699999921</v>
      </c>
      <c r="X405" s="7">
        <v>334921.24500000011</v>
      </c>
      <c r="Y405" s="7">
        <v>26063205.322000001</v>
      </c>
      <c r="Z405" s="8">
        <v>5.8437221503920311E-5</v>
      </c>
      <c r="AA405" s="8">
        <v>9.7794936625722082E-6</v>
      </c>
      <c r="AB405" s="8">
        <v>1.6297894544164749E-5</v>
      </c>
      <c r="AC405" s="8">
        <v>1.6450852073143484E-5</v>
      </c>
      <c r="AD405" s="8">
        <v>1.8371614535048216E-5</v>
      </c>
      <c r="AE405" s="8">
        <v>4.7347710090053448E-5</v>
      </c>
      <c r="AF405" s="8">
        <v>1.1200880422451614E-4</v>
      </c>
      <c r="AG405" s="8">
        <v>2.9160910412206722E-4</v>
      </c>
      <c r="AH405" s="8">
        <v>9.443999647178584E-4</v>
      </c>
      <c r="AI405" s="8">
        <v>3.7411780193280946E-3</v>
      </c>
      <c r="AJ405" s="8">
        <v>1.3018352724006522E-4</v>
      </c>
    </row>
    <row r="406" spans="1:36" x14ac:dyDescent="0.2">
      <c r="A406" t="s">
        <v>458</v>
      </c>
      <c r="B406">
        <v>2016</v>
      </c>
      <c r="C406" t="s">
        <v>466</v>
      </c>
      <c r="D406" s="7">
        <v>115</v>
      </c>
      <c r="E406" s="7">
        <v>75</v>
      </c>
      <c r="F406" s="7">
        <v>37</v>
      </c>
      <c r="G406" s="7">
        <v>45</v>
      </c>
      <c r="H406" s="7">
        <v>84</v>
      </c>
      <c r="I406" s="7">
        <v>110</v>
      </c>
      <c r="J406" s="7">
        <v>320</v>
      </c>
      <c r="K406" s="7">
        <v>518</v>
      </c>
      <c r="L406" s="7">
        <v>716</v>
      </c>
      <c r="M406" s="7">
        <v>1026</v>
      </c>
      <c r="N406" s="7">
        <v>3046</v>
      </c>
      <c r="O406" s="7">
        <v>1936654.3180000004</v>
      </c>
      <c r="P406" s="7">
        <v>3937365.8679999993</v>
      </c>
      <c r="Q406" s="7">
        <v>3843164.1370000024</v>
      </c>
      <c r="R406" s="7">
        <v>3853360.4499999997</v>
      </c>
      <c r="S406" s="7">
        <v>3591032.81</v>
      </c>
      <c r="T406" s="7">
        <v>3417364.297999999</v>
      </c>
      <c r="U406" s="7">
        <v>2916420.4219999998</v>
      </c>
      <c r="V406" s="7">
        <v>1799092.833000001</v>
      </c>
      <c r="W406" s="7">
        <v>902832.27700000035</v>
      </c>
      <c r="X406" s="7">
        <v>347125.95200000011</v>
      </c>
      <c r="Y406" s="7">
        <v>26544413.364999998</v>
      </c>
      <c r="Z406" s="8">
        <v>5.9380757283912957E-5</v>
      </c>
      <c r="AA406" s="8">
        <v>1.9048267932006163E-5</v>
      </c>
      <c r="AB406" s="8">
        <v>9.6274836777807845E-6</v>
      </c>
      <c r="AC406" s="8">
        <v>1.1678118510818266E-5</v>
      </c>
      <c r="AD406" s="8">
        <v>2.33915991427547E-5</v>
      </c>
      <c r="AE406" s="8">
        <v>3.2188549539297616E-5</v>
      </c>
      <c r="AF406" s="8">
        <v>1.0972354931616922E-4</v>
      </c>
      <c r="AG406" s="8">
        <v>2.8792288563355068E-4</v>
      </c>
      <c r="AH406" s="8">
        <v>7.9305981657986258E-4</v>
      </c>
      <c r="AI406" s="8">
        <v>2.9556994920391308E-3</v>
      </c>
      <c r="AJ406" s="8">
        <v>1.1475107617244568E-4</v>
      </c>
    </row>
    <row r="407" spans="1:36" x14ac:dyDescent="0.2">
      <c r="A407" t="s">
        <v>458</v>
      </c>
      <c r="B407">
        <v>2017</v>
      </c>
      <c r="C407" t="s">
        <v>467</v>
      </c>
      <c r="D407" s="7">
        <v>118</v>
      </c>
      <c r="E407" s="7">
        <v>57</v>
      </c>
      <c r="F407" s="7">
        <v>39</v>
      </c>
      <c r="G407" s="7">
        <v>56</v>
      </c>
      <c r="H407" s="7">
        <v>62</v>
      </c>
      <c r="I407" s="7">
        <v>168</v>
      </c>
      <c r="J407" s="7">
        <v>326</v>
      </c>
      <c r="K407" s="7">
        <v>518</v>
      </c>
      <c r="L407" s="7">
        <v>741</v>
      </c>
      <c r="M407" s="7">
        <v>1031</v>
      </c>
      <c r="N407" s="7">
        <v>3116</v>
      </c>
      <c r="O407" s="7">
        <v>1956475</v>
      </c>
      <c r="P407" s="7">
        <v>3992090</v>
      </c>
      <c r="Q407" s="7">
        <v>3899817</v>
      </c>
      <c r="R407" s="7">
        <v>3953626</v>
      </c>
      <c r="S407" s="7">
        <v>3667632</v>
      </c>
      <c r="T407" s="7">
        <v>3469176</v>
      </c>
      <c r="U407" s="7">
        <v>3022032</v>
      </c>
      <c r="V407" s="7">
        <v>1908434</v>
      </c>
      <c r="W407" s="7">
        <v>939087</v>
      </c>
      <c r="X407" s="7">
        <v>359501</v>
      </c>
      <c r="Y407" s="7">
        <v>27167870</v>
      </c>
      <c r="Z407" s="8">
        <v>6.031255191096232E-5</v>
      </c>
      <c r="AA407" s="8">
        <v>1.4278235210128028E-5</v>
      </c>
      <c r="AB407" s="8">
        <v>1.0000469252788015E-5</v>
      </c>
      <c r="AC407" s="8">
        <v>1.4164212801109665E-5</v>
      </c>
      <c r="AD407" s="8">
        <v>1.6904640378314947E-5</v>
      </c>
      <c r="AE407" s="8">
        <v>4.8426485136528098E-5</v>
      </c>
      <c r="AF407" s="8">
        <v>1.0787443680278699E-4</v>
      </c>
      <c r="AG407" s="8">
        <v>2.7142672997861072E-4</v>
      </c>
      <c r="AH407" s="8">
        <v>7.890642720003578E-4</v>
      </c>
      <c r="AI407" s="8">
        <v>2.8678640671375047E-3</v>
      </c>
      <c r="AJ407" s="8">
        <v>1.1469430617858522E-4</v>
      </c>
    </row>
    <row r="408" spans="1:36" x14ac:dyDescent="0.2">
      <c r="A408" t="s">
        <v>468</v>
      </c>
      <c r="B408">
        <v>2009</v>
      </c>
      <c r="C408" t="s">
        <v>469</v>
      </c>
      <c r="D408" s="7">
        <v>78</v>
      </c>
      <c r="E408" s="7">
        <v>57</v>
      </c>
      <c r="F408" s="7">
        <v>39</v>
      </c>
      <c r="G408" s="7">
        <v>44</v>
      </c>
      <c r="H408" s="7">
        <v>64</v>
      </c>
      <c r="I408" s="7">
        <v>40</v>
      </c>
      <c r="J408" s="7">
        <v>42</v>
      </c>
      <c r="K408" s="7">
        <v>72</v>
      </c>
      <c r="L408" s="7">
        <v>72</v>
      </c>
      <c r="M408" s="7">
        <v>124</v>
      </c>
      <c r="N408" s="7">
        <v>632</v>
      </c>
      <c r="O408" s="7">
        <v>258158.67400000003</v>
      </c>
      <c r="P408" s="7">
        <v>438616.08299999993</v>
      </c>
      <c r="Q408" s="7">
        <v>463179.386</v>
      </c>
      <c r="R408" s="7">
        <v>413122.76900000003</v>
      </c>
      <c r="S408" s="7">
        <v>318041.86699999997</v>
      </c>
      <c r="T408" s="7">
        <v>299989.28500000003</v>
      </c>
      <c r="U408" s="7">
        <v>211216.62999999998</v>
      </c>
      <c r="V408" s="7">
        <v>123373.08500000001</v>
      </c>
      <c r="W408" s="7">
        <v>79235.283000000025</v>
      </c>
      <c r="X408" s="7">
        <v>29270.849000000002</v>
      </c>
      <c r="Y408" s="7">
        <v>2634203.9109999998</v>
      </c>
      <c r="Z408" s="8">
        <v>3.0213976075814516E-4</v>
      </c>
      <c r="AA408" s="8">
        <v>1.2995419504487256E-4</v>
      </c>
      <c r="AB408" s="8">
        <v>8.4200638410967618E-5</v>
      </c>
      <c r="AC408" s="8">
        <v>1.065058701714889E-4</v>
      </c>
      <c r="AD408" s="8">
        <v>2.012313680701667E-4</v>
      </c>
      <c r="AE408" s="8">
        <v>1.3333809572565233E-4</v>
      </c>
      <c r="AF408" s="8">
        <v>1.9884797896832274E-4</v>
      </c>
      <c r="AG408" s="8">
        <v>5.835956845854993E-4</v>
      </c>
      <c r="AH408" s="8">
        <v>9.0868609631898428E-4</v>
      </c>
      <c r="AI408" s="8">
        <v>4.236296664985699E-3</v>
      </c>
      <c r="AJ408" s="8">
        <v>2.3992068243497495E-4</v>
      </c>
    </row>
    <row r="409" spans="1:36" x14ac:dyDescent="0.2">
      <c r="A409" t="s">
        <v>468</v>
      </c>
      <c r="B409">
        <v>2010</v>
      </c>
      <c r="C409" t="s">
        <v>470</v>
      </c>
      <c r="D409" s="7">
        <v>98</v>
      </c>
      <c r="E409" s="7">
        <v>73</v>
      </c>
      <c r="F409" s="7">
        <v>55</v>
      </c>
      <c r="G409" s="7">
        <v>52</v>
      </c>
      <c r="H409" s="7">
        <v>48</v>
      </c>
      <c r="I409" s="7">
        <v>56</v>
      </c>
      <c r="J409" s="7">
        <v>55</v>
      </c>
      <c r="K409" s="7">
        <v>56</v>
      </c>
      <c r="L409" s="7">
        <v>91</v>
      </c>
      <c r="M409" s="7">
        <v>148</v>
      </c>
      <c r="N409" s="7">
        <v>732</v>
      </c>
      <c r="O409" s="7">
        <v>255764.22200000004</v>
      </c>
      <c r="P409" s="7">
        <v>452268.92499999993</v>
      </c>
      <c r="Q409" s="7">
        <v>448952.08700000006</v>
      </c>
      <c r="R409" s="7">
        <v>425979.51700000011</v>
      </c>
      <c r="S409" s="7">
        <v>320635.80200000003</v>
      </c>
      <c r="T409" s="7">
        <v>301820.64299999998</v>
      </c>
      <c r="U409" s="7">
        <v>223932.15199999997</v>
      </c>
      <c r="V409" s="7">
        <v>128441.24700000002</v>
      </c>
      <c r="W409" s="7">
        <v>79531.786999999997</v>
      </c>
      <c r="X409" s="7">
        <v>28674.317999999996</v>
      </c>
      <c r="Y409" s="7">
        <v>2666000.7000000002</v>
      </c>
      <c r="Z409" s="8">
        <v>3.8316539832533727E-4</v>
      </c>
      <c r="AA409" s="8">
        <v>1.6140839214190983E-4</v>
      </c>
      <c r="AB409" s="8">
        <v>1.2250750490441531E-4</v>
      </c>
      <c r="AC409" s="8">
        <v>1.2207159716555099E-4</v>
      </c>
      <c r="AD409" s="8">
        <v>1.4970255879285743E-4</v>
      </c>
      <c r="AE409" s="8">
        <v>1.8554065568006893E-4</v>
      </c>
      <c r="AF409" s="8">
        <v>2.4561010783301905E-4</v>
      </c>
      <c r="AG409" s="8">
        <v>4.3599701270418209E-4</v>
      </c>
      <c r="AH409" s="8">
        <v>1.1441965965130396E-3</v>
      </c>
      <c r="AI409" s="8">
        <v>5.1614130805133713E-3</v>
      </c>
      <c r="AJ409" s="8">
        <v>2.7456857006826743E-4</v>
      </c>
    </row>
    <row r="410" spans="1:36" x14ac:dyDescent="0.2">
      <c r="A410" t="s">
        <v>468</v>
      </c>
      <c r="B410">
        <v>2011</v>
      </c>
      <c r="C410" t="s">
        <v>471</v>
      </c>
      <c r="D410" s="7">
        <v>121</v>
      </c>
      <c r="E410" s="7">
        <v>54</v>
      </c>
      <c r="F410" s="7">
        <v>52</v>
      </c>
      <c r="G410" s="7">
        <v>51</v>
      </c>
      <c r="H410" s="7">
        <v>61</v>
      </c>
      <c r="I410" s="7">
        <v>60</v>
      </c>
      <c r="J410" s="7">
        <v>50</v>
      </c>
      <c r="K410" s="7">
        <v>54</v>
      </c>
      <c r="L410" s="7">
        <v>67</v>
      </c>
      <c r="M410" s="7">
        <v>148</v>
      </c>
      <c r="N410" s="7">
        <v>718</v>
      </c>
      <c r="O410" s="7">
        <v>252970.53399999999</v>
      </c>
      <c r="P410" s="7">
        <v>453814.27500000002</v>
      </c>
      <c r="Q410" s="7">
        <v>443867.43000000005</v>
      </c>
      <c r="R410" s="7">
        <v>427466.05600000004</v>
      </c>
      <c r="S410" s="7">
        <v>322234.35199999996</v>
      </c>
      <c r="T410" s="7">
        <v>300486.93200000003</v>
      </c>
      <c r="U410" s="7">
        <v>230371.46600000001</v>
      </c>
      <c r="V410" s="7">
        <v>133850.23200000002</v>
      </c>
      <c r="W410" s="7">
        <v>80002.817999999999</v>
      </c>
      <c r="X410" s="7">
        <v>29838.632999999994</v>
      </c>
      <c r="Y410" s="7">
        <v>2674902.7279999997</v>
      </c>
      <c r="Z410" s="8">
        <v>4.7831657737655727E-4</v>
      </c>
      <c r="AA410" s="8">
        <v>1.1899140898553709E-4</v>
      </c>
      <c r="AB410" s="8">
        <v>1.1715209651674599E-4</v>
      </c>
      <c r="AC410" s="8">
        <v>1.1930771878644791E-4</v>
      </c>
      <c r="AD410" s="8">
        <v>1.8930321867111178E-4</v>
      </c>
      <c r="AE410" s="8">
        <v>1.9967590470789591E-4</v>
      </c>
      <c r="AF410" s="8">
        <v>2.1704076840835834E-4</v>
      </c>
      <c r="AG410" s="8">
        <v>4.0343598358499666E-4</v>
      </c>
      <c r="AH410" s="8">
        <v>8.3747050010163392E-4</v>
      </c>
      <c r="AI410" s="8">
        <v>4.9600127458922141E-3</v>
      </c>
      <c r="AJ410" s="8">
        <v>2.6842097564304406E-4</v>
      </c>
    </row>
    <row r="411" spans="1:36" x14ac:dyDescent="0.2">
      <c r="A411" t="s">
        <v>468</v>
      </c>
      <c r="B411">
        <v>2012</v>
      </c>
      <c r="C411" t="s">
        <v>472</v>
      </c>
      <c r="D411" s="7">
        <v>95</v>
      </c>
      <c r="E411" s="7">
        <v>66</v>
      </c>
      <c r="F411" s="7">
        <v>50</v>
      </c>
      <c r="G411" s="7">
        <v>46</v>
      </c>
      <c r="H411" s="7">
        <v>29</v>
      </c>
      <c r="I411" s="7">
        <v>60</v>
      </c>
      <c r="J411" s="7">
        <v>47</v>
      </c>
      <c r="K411" s="7">
        <v>47</v>
      </c>
      <c r="L411" s="7">
        <v>75</v>
      </c>
      <c r="M411" s="7">
        <v>145</v>
      </c>
      <c r="N411" s="7">
        <v>660</v>
      </c>
      <c r="O411" s="7">
        <v>260600.56999999998</v>
      </c>
      <c r="P411" s="7">
        <v>477120.62300000002</v>
      </c>
      <c r="Q411" s="7">
        <v>451651.56699999998</v>
      </c>
      <c r="R411" s="7">
        <v>442332.42199999996</v>
      </c>
      <c r="S411" s="7">
        <v>336747.18099999998</v>
      </c>
      <c r="T411" s="7">
        <v>307240.05799999996</v>
      </c>
      <c r="U411" s="7">
        <v>242459.73699999996</v>
      </c>
      <c r="V411" s="7">
        <v>139581.18400000001</v>
      </c>
      <c r="W411" s="7">
        <v>82827.823000000004</v>
      </c>
      <c r="X411" s="7">
        <v>30752.971000000001</v>
      </c>
      <c r="Y411" s="7">
        <v>2771314.1359999995</v>
      </c>
      <c r="Z411" s="8">
        <v>3.6454256412409231E-4</v>
      </c>
      <c r="AA411" s="8">
        <v>1.383297992549779E-4</v>
      </c>
      <c r="AB411" s="8">
        <v>1.1070480798309729E-4</v>
      </c>
      <c r="AC411" s="8">
        <v>1.0399418562178108E-4</v>
      </c>
      <c r="AD411" s="8">
        <v>8.6118018609337668E-5</v>
      </c>
      <c r="AE411" s="8">
        <v>1.9528703513003505E-4</v>
      </c>
      <c r="AF411" s="8">
        <v>1.9384661792320597E-4</v>
      </c>
      <c r="AG411" s="8">
        <v>3.3672160282004768E-4</v>
      </c>
      <c r="AH411" s="8">
        <v>9.0549283179880262E-4</v>
      </c>
      <c r="AI411" s="8">
        <v>4.7149916019496134E-3</v>
      </c>
      <c r="AJ411" s="8">
        <v>2.3815416355239206E-4</v>
      </c>
    </row>
    <row r="412" spans="1:36" x14ac:dyDescent="0.2">
      <c r="A412" t="s">
        <v>468</v>
      </c>
      <c r="B412">
        <v>2013</v>
      </c>
      <c r="C412" t="s">
        <v>473</v>
      </c>
      <c r="D412" s="7">
        <v>78</v>
      </c>
      <c r="E412" s="7">
        <v>34</v>
      </c>
      <c r="F412" s="7">
        <v>53</v>
      </c>
      <c r="G412" s="7">
        <v>42</v>
      </c>
      <c r="H412" s="7">
        <v>50</v>
      </c>
      <c r="I412" s="7">
        <v>47</v>
      </c>
      <c r="J412" s="7">
        <v>71</v>
      </c>
      <c r="K412" s="7">
        <v>69</v>
      </c>
      <c r="L412" s="7">
        <v>95</v>
      </c>
      <c r="M412" s="7">
        <v>169</v>
      </c>
      <c r="N412" s="7">
        <v>708</v>
      </c>
      <c r="O412" s="7">
        <v>264524.179</v>
      </c>
      <c r="P412" s="7">
        <v>499844.74899999995</v>
      </c>
      <c r="Q412" s="7">
        <v>467759.04600000009</v>
      </c>
      <c r="R412" s="7">
        <v>456731.89500000014</v>
      </c>
      <c r="S412" s="7">
        <v>364376.10400000005</v>
      </c>
      <c r="T412" s="7">
        <v>326874.56999999995</v>
      </c>
      <c r="U412" s="7">
        <v>271388.30499999999</v>
      </c>
      <c r="V412" s="7">
        <v>160512.31099999999</v>
      </c>
      <c r="W412" s="7">
        <v>91756.79800000001</v>
      </c>
      <c r="X412" s="7">
        <v>34869.953000000001</v>
      </c>
      <c r="Y412" s="7">
        <v>2938637.91</v>
      </c>
      <c r="Z412" s="8">
        <v>2.9486907508746111E-4</v>
      </c>
      <c r="AA412" s="8">
        <v>6.8021120694017746E-5</v>
      </c>
      <c r="AB412" s="8">
        <v>1.1330619996176405E-4</v>
      </c>
      <c r="AC412" s="8">
        <v>9.1957668075709907E-5</v>
      </c>
      <c r="AD412" s="8">
        <v>1.3722085353873808E-4</v>
      </c>
      <c r="AE412" s="8">
        <v>1.4378604000916929E-4</v>
      </c>
      <c r="AF412" s="8">
        <v>2.6161775836287419E-4</v>
      </c>
      <c r="AG412" s="8">
        <v>4.2987356901241054E-4</v>
      </c>
      <c r="AH412" s="8">
        <v>1.0353456318299161E-3</v>
      </c>
      <c r="AI412" s="8">
        <v>4.8465795179018448E-3</v>
      </c>
      <c r="AJ412" s="8">
        <v>2.4092794746529352E-4</v>
      </c>
    </row>
    <row r="413" spans="1:36" x14ac:dyDescent="0.2">
      <c r="A413" t="s">
        <v>468</v>
      </c>
      <c r="B413">
        <v>2014</v>
      </c>
      <c r="C413" t="s">
        <v>474</v>
      </c>
      <c r="D413" s="7">
        <v>130</v>
      </c>
      <c r="E413" s="7">
        <v>50</v>
      </c>
      <c r="F413" s="7">
        <v>39</v>
      </c>
      <c r="G413" s="7">
        <v>57</v>
      </c>
      <c r="H413" s="7">
        <v>53</v>
      </c>
      <c r="I413" s="7">
        <v>49</v>
      </c>
      <c r="J413" s="7">
        <v>57</v>
      </c>
      <c r="K413" s="7">
        <v>54</v>
      </c>
      <c r="L413" s="7">
        <v>86</v>
      </c>
      <c r="M413" s="7">
        <v>139</v>
      </c>
      <c r="N413" s="7">
        <v>714</v>
      </c>
      <c r="O413" s="7">
        <v>252989.337</v>
      </c>
      <c r="P413" s="7">
        <v>489222.55200000003</v>
      </c>
      <c r="Q413" s="7">
        <v>451357.95499999996</v>
      </c>
      <c r="R413" s="7">
        <v>438414.77399999992</v>
      </c>
      <c r="S413" s="7">
        <v>357851.75099999993</v>
      </c>
      <c r="T413" s="7">
        <v>306610.50300000003</v>
      </c>
      <c r="U413" s="7">
        <v>261314.21299999996</v>
      </c>
      <c r="V413" s="7">
        <v>156474.56900000002</v>
      </c>
      <c r="W413" s="7">
        <v>85776.763999999996</v>
      </c>
      <c r="X413" s="7">
        <v>33224.944000000003</v>
      </c>
      <c r="Y413" s="7">
        <v>2833237.3620000002</v>
      </c>
      <c r="Z413" s="8">
        <v>5.1385564918097711E-4</v>
      </c>
      <c r="AA413" s="8">
        <v>1.0220297448593497E-4</v>
      </c>
      <c r="AB413" s="8">
        <v>8.6405921437675791E-5</v>
      </c>
      <c r="AC413" s="8">
        <v>1.3001386673159882E-4</v>
      </c>
      <c r="AD413" s="8">
        <v>1.4810602393838785E-4</v>
      </c>
      <c r="AE413" s="8">
        <v>1.5981187702496935E-4</v>
      </c>
      <c r="AF413" s="8">
        <v>2.1812820414785479E-4</v>
      </c>
      <c r="AG413" s="8">
        <v>3.4510400217175225E-4</v>
      </c>
      <c r="AH413" s="8">
        <v>1.0026025229862951E-3</v>
      </c>
      <c r="AI413" s="8">
        <v>4.1836037406112704E-3</v>
      </c>
      <c r="AJ413" s="8">
        <v>2.5200853609243061E-4</v>
      </c>
    </row>
    <row r="414" spans="1:36" x14ac:dyDescent="0.2">
      <c r="A414" t="s">
        <v>468</v>
      </c>
      <c r="B414">
        <v>2015</v>
      </c>
      <c r="C414" t="s">
        <v>475</v>
      </c>
      <c r="D414" s="7">
        <v>94</v>
      </c>
      <c r="E414" s="7">
        <v>55</v>
      </c>
      <c r="F414" s="7">
        <v>39</v>
      </c>
      <c r="G414" s="7">
        <v>39</v>
      </c>
      <c r="H414" s="7">
        <v>67</v>
      </c>
      <c r="I414" s="7">
        <v>38</v>
      </c>
      <c r="J414" s="7">
        <v>51</v>
      </c>
      <c r="K414" s="7">
        <v>37</v>
      </c>
      <c r="L414" s="7">
        <v>81</v>
      </c>
      <c r="M414" s="7">
        <v>150</v>
      </c>
      <c r="N414" s="7">
        <v>651</v>
      </c>
      <c r="O414" s="7">
        <v>253695.53799999997</v>
      </c>
      <c r="P414" s="7">
        <v>498613.23600000003</v>
      </c>
      <c r="Q414" s="7">
        <v>466388.68499999988</v>
      </c>
      <c r="R414" s="7">
        <v>441306.55400000006</v>
      </c>
      <c r="S414" s="7">
        <v>373259.47</v>
      </c>
      <c r="T414" s="7">
        <v>311183.13999999996</v>
      </c>
      <c r="U414" s="7">
        <v>274712.21799999994</v>
      </c>
      <c r="V414" s="7">
        <v>165084.31400000001</v>
      </c>
      <c r="W414" s="7">
        <v>88986.472999999998</v>
      </c>
      <c r="X414" s="7">
        <v>33917.68</v>
      </c>
      <c r="Y414" s="7">
        <v>2907147.3079999997</v>
      </c>
      <c r="Z414" s="8">
        <v>3.7052287454894067E-4</v>
      </c>
      <c r="AA414" s="8">
        <v>1.1030593660373669E-4</v>
      </c>
      <c r="AB414" s="8">
        <v>8.3621239653359106E-5</v>
      </c>
      <c r="AC414" s="8">
        <v>8.8373942436395351E-5</v>
      </c>
      <c r="AD414" s="8">
        <v>1.7949979942906742E-4</v>
      </c>
      <c r="AE414" s="8">
        <v>1.2211458499968863E-4</v>
      </c>
      <c r="AF414" s="8">
        <v>1.8564882323508455E-4</v>
      </c>
      <c r="AG414" s="8">
        <v>2.241278962457935E-4</v>
      </c>
      <c r="AH414" s="8">
        <v>9.1025070743055525E-4</v>
      </c>
      <c r="AI414" s="8">
        <v>4.4224722917369352E-3</v>
      </c>
      <c r="AJ414" s="8">
        <v>2.2393086109140503E-4</v>
      </c>
    </row>
    <row r="415" spans="1:36" x14ac:dyDescent="0.2">
      <c r="A415" t="s">
        <v>468</v>
      </c>
      <c r="B415">
        <v>2016</v>
      </c>
      <c r="C415" t="s">
        <v>476</v>
      </c>
      <c r="D415" s="7">
        <v>116</v>
      </c>
      <c r="E415" s="7">
        <v>22</v>
      </c>
      <c r="F415" s="7">
        <v>55</v>
      </c>
      <c r="G415" s="7">
        <v>56</v>
      </c>
      <c r="H415" s="7">
        <v>41</v>
      </c>
      <c r="I415" s="7">
        <v>57</v>
      </c>
      <c r="J415" s="7">
        <v>47</v>
      </c>
      <c r="K415" s="7">
        <v>58</v>
      </c>
      <c r="L415" s="7">
        <v>94</v>
      </c>
      <c r="M415" s="7">
        <v>161</v>
      </c>
      <c r="N415" s="7">
        <v>707</v>
      </c>
      <c r="O415" s="7">
        <v>250285.253</v>
      </c>
      <c r="P415" s="7">
        <v>501206.61</v>
      </c>
      <c r="Q415" s="7">
        <v>469973.57400000002</v>
      </c>
      <c r="R415" s="7">
        <v>437227.15799999994</v>
      </c>
      <c r="S415" s="7">
        <v>381255.03699999995</v>
      </c>
      <c r="T415" s="7">
        <v>306210.23300000001</v>
      </c>
      <c r="U415" s="7">
        <v>277140.74700000003</v>
      </c>
      <c r="V415" s="7">
        <v>172716.182</v>
      </c>
      <c r="W415" s="7">
        <v>89990.382000000012</v>
      </c>
      <c r="X415" s="7">
        <v>34068.915000000001</v>
      </c>
      <c r="Y415" s="7">
        <v>2920074.091</v>
      </c>
      <c r="Z415" s="8">
        <v>4.6347117382900704E-4</v>
      </c>
      <c r="AA415" s="8">
        <v>4.3894073942879567E-5</v>
      </c>
      <c r="AB415" s="8">
        <v>1.1702785654922802E-4</v>
      </c>
      <c r="AC415" s="8">
        <v>1.2807987558723425E-4</v>
      </c>
      <c r="AD415" s="8">
        <v>1.0753956281500881E-4</v>
      </c>
      <c r="AE415" s="8">
        <v>1.8614662038417246E-4</v>
      </c>
      <c r="AF415" s="8">
        <v>1.695889201020303E-4</v>
      </c>
      <c r="AG415" s="8">
        <v>3.3581103593408518E-4</v>
      </c>
      <c r="AH415" s="8">
        <v>1.0445560726700771E-3</v>
      </c>
      <c r="AI415" s="8">
        <v>4.7257155092846363E-3</v>
      </c>
      <c r="AJ415" s="8">
        <v>2.4211714428036408E-4</v>
      </c>
    </row>
    <row r="416" spans="1:36" x14ac:dyDescent="0.2">
      <c r="A416" t="s">
        <v>468</v>
      </c>
      <c r="B416">
        <v>2017</v>
      </c>
      <c r="C416" t="s">
        <v>477</v>
      </c>
      <c r="D416" s="7">
        <v>98</v>
      </c>
      <c r="E416" s="7">
        <v>74</v>
      </c>
      <c r="F416" s="7">
        <v>47</v>
      </c>
      <c r="G416" s="7">
        <v>31</v>
      </c>
      <c r="H416" s="7">
        <v>56</v>
      </c>
      <c r="I416" s="7">
        <v>38</v>
      </c>
      <c r="J416" s="7">
        <v>62</v>
      </c>
      <c r="K416" s="7">
        <v>60</v>
      </c>
      <c r="L416" s="7">
        <v>83</v>
      </c>
      <c r="M416" s="7">
        <v>100</v>
      </c>
      <c r="N416" s="7">
        <v>649</v>
      </c>
      <c r="O416" s="7">
        <v>251018</v>
      </c>
      <c r="P416" s="7">
        <v>506955</v>
      </c>
      <c r="Q416" s="7">
        <v>480382</v>
      </c>
      <c r="R416" s="7">
        <v>443533</v>
      </c>
      <c r="S416" s="7">
        <v>395492</v>
      </c>
      <c r="T416" s="7">
        <v>311592</v>
      </c>
      <c r="U416" s="7">
        <v>287014</v>
      </c>
      <c r="V416" s="7">
        <v>185269</v>
      </c>
      <c r="W416" s="7">
        <v>93407</v>
      </c>
      <c r="X416" s="7">
        <v>35307</v>
      </c>
      <c r="Y416" s="7">
        <v>2989969</v>
      </c>
      <c r="Z416" s="8">
        <v>3.9041024946418184E-4</v>
      </c>
      <c r="AA416" s="8">
        <v>1.4596956337347496E-4</v>
      </c>
      <c r="AB416" s="8">
        <v>9.7838803285718454E-5</v>
      </c>
      <c r="AC416" s="8">
        <v>6.9893333754196416E-5</v>
      </c>
      <c r="AD416" s="8">
        <v>1.41595784491216E-4</v>
      </c>
      <c r="AE416" s="8">
        <v>1.2195435056099002E-4</v>
      </c>
      <c r="AF416" s="8">
        <v>2.1601733713338026E-4</v>
      </c>
      <c r="AG416" s="8">
        <v>3.2385342394032461E-4</v>
      </c>
      <c r="AH416" s="8">
        <v>8.8858436733863628E-4</v>
      </c>
      <c r="AI416" s="8">
        <v>2.8322995439997735E-3</v>
      </c>
      <c r="AJ416" s="8">
        <v>2.1705910663287814E-4</v>
      </c>
    </row>
    <row r="417" spans="1:36" x14ac:dyDescent="0.2">
      <c r="A417" t="s">
        <v>478</v>
      </c>
      <c r="B417">
        <v>2009</v>
      </c>
      <c r="C417" t="s">
        <v>479</v>
      </c>
      <c r="D417" s="7">
        <v>83</v>
      </c>
      <c r="E417" s="7">
        <v>64</v>
      </c>
      <c r="F417" s="7">
        <v>63</v>
      </c>
      <c r="G417" s="7">
        <v>64</v>
      </c>
      <c r="H417" s="7">
        <v>52</v>
      </c>
      <c r="I417" s="7">
        <v>59</v>
      </c>
      <c r="J417" s="7">
        <v>57</v>
      </c>
      <c r="K417" s="7">
        <v>50</v>
      </c>
      <c r="L417" s="7">
        <v>43</v>
      </c>
      <c r="M417" s="7">
        <v>58</v>
      </c>
      <c r="N417" s="7">
        <v>593</v>
      </c>
      <c r="O417" s="7">
        <v>32510.932000000001</v>
      </c>
      <c r="P417" s="7">
        <v>72258.352000000014</v>
      </c>
      <c r="Q417" s="7">
        <v>94733.088999999993</v>
      </c>
      <c r="R417" s="7">
        <v>67506.609000000011</v>
      </c>
      <c r="S417" s="7">
        <v>85457.424000000014</v>
      </c>
      <c r="T417" s="7">
        <v>102428.065</v>
      </c>
      <c r="U417" s="7">
        <v>80435.02900000001</v>
      </c>
      <c r="V417" s="7">
        <v>44563.913</v>
      </c>
      <c r="W417" s="7">
        <v>30203.242999999999</v>
      </c>
      <c r="X417" s="7">
        <v>10728.603000000001</v>
      </c>
      <c r="Y417" s="7">
        <v>620825.25899999996</v>
      </c>
      <c r="Z417" s="8">
        <v>2.552987407435751E-3</v>
      </c>
      <c r="AA417" s="8">
        <v>8.8571076185075452E-4</v>
      </c>
      <c r="AB417" s="8">
        <v>6.6502634575760537E-4</v>
      </c>
      <c r="AC417" s="8">
        <v>9.4805532299807843E-4</v>
      </c>
      <c r="AD417" s="8">
        <v>6.0849014124273154E-4</v>
      </c>
      <c r="AE417" s="8">
        <v>5.7601400553647082E-4</v>
      </c>
      <c r="AF417" s="8">
        <v>7.0864647789211331E-4</v>
      </c>
      <c r="AG417" s="8">
        <v>1.1219840591646429E-3</v>
      </c>
      <c r="AH417" s="8">
        <v>1.4236881781204754E-3</v>
      </c>
      <c r="AI417" s="8">
        <v>5.4061092576545141E-3</v>
      </c>
      <c r="AJ417" s="8">
        <v>9.551802079625115E-4</v>
      </c>
    </row>
    <row r="418" spans="1:36" x14ac:dyDescent="0.2">
      <c r="A418" t="s">
        <v>478</v>
      </c>
      <c r="B418">
        <v>2010</v>
      </c>
      <c r="C418" t="s">
        <v>480</v>
      </c>
      <c r="D418" s="7">
        <v>111</v>
      </c>
      <c r="E418" s="7">
        <v>47</v>
      </c>
      <c r="F418" s="7">
        <v>49</v>
      </c>
      <c r="G418" s="7">
        <v>42</v>
      </c>
      <c r="H418" s="7">
        <v>55</v>
      </c>
      <c r="I418" s="7">
        <v>49</v>
      </c>
      <c r="J418" s="7">
        <v>64</v>
      </c>
      <c r="K418" s="7">
        <v>48</v>
      </c>
      <c r="L418" s="7">
        <v>67</v>
      </c>
      <c r="M418" s="7">
        <v>56</v>
      </c>
      <c r="N418" s="7">
        <v>588</v>
      </c>
      <c r="O418" s="7">
        <v>29364.756000000001</v>
      </c>
      <c r="P418" s="7">
        <v>67666.705000000002</v>
      </c>
      <c r="Q418" s="7">
        <v>84956.448999999993</v>
      </c>
      <c r="R418" s="7">
        <v>62465.757000000005</v>
      </c>
      <c r="S418" s="7">
        <v>76908.089999999982</v>
      </c>
      <c r="T418" s="7">
        <v>94816.569000000003</v>
      </c>
      <c r="U418" s="7">
        <v>77049.417000000001</v>
      </c>
      <c r="V418" s="7">
        <v>42024.949000000008</v>
      </c>
      <c r="W418" s="7">
        <v>27466.205000000002</v>
      </c>
      <c r="X418" s="7">
        <v>10509.152</v>
      </c>
      <c r="Y418" s="7">
        <v>573228.049</v>
      </c>
      <c r="Z418" s="8">
        <v>3.7800416254097258E-3</v>
      </c>
      <c r="AA418" s="8">
        <v>6.9458088730639392E-4</v>
      </c>
      <c r="AB418" s="8">
        <v>5.7676610282993352E-4</v>
      </c>
      <c r="AC418" s="8">
        <v>6.7236838256838855E-4</v>
      </c>
      <c r="AD418" s="8">
        <v>7.1513933059578019E-4</v>
      </c>
      <c r="AE418" s="8">
        <v>5.1678731382908403E-4</v>
      </c>
      <c r="AF418" s="8">
        <v>8.3063574640675089E-4</v>
      </c>
      <c r="AG418" s="8">
        <v>1.1421786615374593E-3</v>
      </c>
      <c r="AH418" s="8">
        <v>2.4393613897515146E-3</v>
      </c>
      <c r="AI418" s="8">
        <v>5.3286887467228561E-3</v>
      </c>
      <c r="AJ418" s="8">
        <v>1.0257697630563782E-3</v>
      </c>
    </row>
    <row r="419" spans="1:36" x14ac:dyDescent="0.2">
      <c r="A419" t="s">
        <v>478</v>
      </c>
      <c r="B419">
        <v>2011</v>
      </c>
      <c r="C419" t="s">
        <v>481</v>
      </c>
      <c r="D419" s="7">
        <v>92</v>
      </c>
      <c r="E419" s="7">
        <v>47</v>
      </c>
      <c r="F419" s="7">
        <v>40</v>
      </c>
      <c r="G419" s="7">
        <v>47</v>
      </c>
      <c r="H419" s="7">
        <v>51</v>
      </c>
      <c r="I419" s="7">
        <v>66</v>
      </c>
      <c r="J419" s="7">
        <v>62</v>
      </c>
      <c r="K419" s="7">
        <v>69</v>
      </c>
      <c r="L419" s="7">
        <v>74</v>
      </c>
      <c r="M419" s="7">
        <v>44</v>
      </c>
      <c r="N419" s="7">
        <v>592</v>
      </c>
      <c r="O419" s="7">
        <v>35564.800000000003</v>
      </c>
      <c r="P419" s="7">
        <v>80648.016000000003</v>
      </c>
      <c r="Q419" s="7">
        <v>98918.718999999983</v>
      </c>
      <c r="R419" s="7">
        <v>77618.155000000028</v>
      </c>
      <c r="S419" s="7">
        <v>89850.825000000012</v>
      </c>
      <c r="T419" s="7">
        <v>112472.60500000001</v>
      </c>
      <c r="U419" s="7">
        <v>95933.951000000001</v>
      </c>
      <c r="V419" s="7">
        <v>53430.446999999986</v>
      </c>
      <c r="W419" s="7">
        <v>33289.818999999996</v>
      </c>
      <c r="X419" s="7">
        <v>13038.345999999998</v>
      </c>
      <c r="Y419" s="7">
        <v>690765.68299999996</v>
      </c>
      <c r="Z419" s="8">
        <v>2.5868274248695335E-3</v>
      </c>
      <c r="AA419" s="8">
        <v>5.827793705427297E-4</v>
      </c>
      <c r="AB419" s="8">
        <v>4.0437240195154579E-4</v>
      </c>
      <c r="AC419" s="8">
        <v>6.0552843596965147E-4</v>
      </c>
      <c r="AD419" s="8">
        <v>5.6760747605823312E-4</v>
      </c>
      <c r="AE419" s="8">
        <v>5.8680956131495305E-4</v>
      </c>
      <c r="AF419" s="8">
        <v>6.4627797931516445E-4</v>
      </c>
      <c r="AG419" s="8">
        <v>1.2913985166547459E-3</v>
      </c>
      <c r="AH419" s="8">
        <v>2.2229018427525849E-3</v>
      </c>
      <c r="AI419" s="8">
        <v>3.3746611725137534E-3</v>
      </c>
      <c r="AJ419" s="8">
        <v>8.570199918284013E-4</v>
      </c>
    </row>
    <row r="420" spans="1:36" x14ac:dyDescent="0.2">
      <c r="A420" t="s">
        <v>478</v>
      </c>
      <c r="B420">
        <v>2012</v>
      </c>
      <c r="C420" t="s">
        <v>482</v>
      </c>
      <c r="D420" s="7">
        <v>107</v>
      </c>
      <c r="E420" s="7">
        <v>58</v>
      </c>
      <c r="F420" s="7">
        <v>73</v>
      </c>
      <c r="G420" s="7">
        <v>60</v>
      </c>
      <c r="H420" s="7">
        <v>54</v>
      </c>
      <c r="I420" s="7">
        <v>46</v>
      </c>
      <c r="J420" s="7">
        <v>54</v>
      </c>
      <c r="K420" s="7">
        <v>44</v>
      </c>
      <c r="L420" s="7">
        <v>47</v>
      </c>
      <c r="M420" s="7">
        <v>62</v>
      </c>
      <c r="N420" s="7">
        <v>605</v>
      </c>
      <c r="O420" s="7">
        <v>34450.637999999999</v>
      </c>
      <c r="P420" s="7">
        <v>77027.476999999999</v>
      </c>
      <c r="Q420" s="7">
        <v>93619.204999999987</v>
      </c>
      <c r="R420" s="7">
        <v>72888.324999999997</v>
      </c>
      <c r="S420" s="7">
        <v>81094.625</v>
      </c>
      <c r="T420" s="7">
        <v>102855.258</v>
      </c>
      <c r="U420" s="7">
        <v>90941.391000000003</v>
      </c>
      <c r="V420" s="7">
        <v>51158.722999999998</v>
      </c>
      <c r="W420" s="7">
        <v>30999.249000000003</v>
      </c>
      <c r="X420" s="7">
        <v>12933.883</v>
      </c>
      <c r="Y420" s="7">
        <v>647968.77399999998</v>
      </c>
      <c r="Z420" s="8">
        <v>3.1058931332418288E-3</v>
      </c>
      <c r="AA420" s="8">
        <v>7.5297805742748135E-4</v>
      </c>
      <c r="AB420" s="8">
        <v>7.7975453861202956E-4</v>
      </c>
      <c r="AC420" s="8">
        <v>8.2317710003625415E-4</v>
      </c>
      <c r="AD420" s="8">
        <v>6.6588876883023993E-4</v>
      </c>
      <c r="AE420" s="8">
        <v>4.4723041771962691E-4</v>
      </c>
      <c r="AF420" s="8">
        <v>5.9378902616521448E-4</v>
      </c>
      <c r="AG420" s="8">
        <v>8.6006837973653103E-4</v>
      </c>
      <c r="AH420" s="8">
        <v>1.5161657625963776E-3</v>
      </c>
      <c r="AI420" s="8">
        <v>4.7936107045347485E-3</v>
      </c>
      <c r="AJ420" s="8">
        <v>9.3368696806985332E-4</v>
      </c>
    </row>
    <row r="421" spans="1:36" x14ac:dyDescent="0.2">
      <c r="A421" t="s">
        <v>478</v>
      </c>
      <c r="B421">
        <v>2013</v>
      </c>
      <c r="C421" t="s">
        <v>483</v>
      </c>
      <c r="D421" s="7">
        <v>100</v>
      </c>
      <c r="E421" s="7">
        <v>66</v>
      </c>
      <c r="F421" s="7">
        <v>46</v>
      </c>
      <c r="G421" s="7">
        <v>32</v>
      </c>
      <c r="H421" s="7">
        <v>50</v>
      </c>
      <c r="I421" s="7">
        <v>53</v>
      </c>
      <c r="J421" s="7">
        <v>70</v>
      </c>
      <c r="K421" s="7">
        <v>59</v>
      </c>
      <c r="L421" s="7">
        <v>40</v>
      </c>
      <c r="M421" s="7">
        <v>40</v>
      </c>
      <c r="N421" s="7">
        <v>556</v>
      </c>
      <c r="O421" s="7">
        <v>28486.361000000004</v>
      </c>
      <c r="P421" s="7">
        <v>64030.434000000001</v>
      </c>
      <c r="Q421" s="7">
        <v>81489.354999999996</v>
      </c>
      <c r="R421" s="7">
        <v>63791.103999999999</v>
      </c>
      <c r="S421" s="7">
        <v>69040.64499999999</v>
      </c>
      <c r="T421" s="7">
        <v>87828.967000000004</v>
      </c>
      <c r="U421" s="7">
        <v>80417.132000000012</v>
      </c>
      <c r="V421" s="7">
        <v>46129.860999999997</v>
      </c>
      <c r="W421" s="7">
        <v>25962.094999999994</v>
      </c>
      <c r="X421" s="7">
        <v>10935.663</v>
      </c>
      <c r="Y421" s="7">
        <v>558111.61700000009</v>
      </c>
      <c r="Z421" s="8">
        <v>3.5104518966111533E-3</v>
      </c>
      <c r="AA421" s="8">
        <v>1.0307598414841291E-3</v>
      </c>
      <c r="AB421" s="8">
        <v>5.644909080455969E-4</v>
      </c>
      <c r="AC421" s="8">
        <v>5.0163734429176836E-4</v>
      </c>
      <c r="AD421" s="8">
        <v>7.242110788507264E-4</v>
      </c>
      <c r="AE421" s="8">
        <v>6.0344555800138238E-4</v>
      </c>
      <c r="AF421" s="8">
        <v>8.7046128429449571E-4</v>
      </c>
      <c r="AG421" s="8">
        <v>1.2789980008827688E-3</v>
      </c>
      <c r="AH421" s="8">
        <v>1.5407077125324444E-3</v>
      </c>
      <c r="AI421" s="8">
        <v>3.6577571931395471E-3</v>
      </c>
      <c r="AJ421" s="8">
        <v>9.9621649695924509E-4</v>
      </c>
    </row>
    <row r="422" spans="1:36" x14ac:dyDescent="0.2">
      <c r="A422" t="s">
        <v>478</v>
      </c>
      <c r="B422">
        <v>2014</v>
      </c>
      <c r="C422" t="s">
        <v>484</v>
      </c>
      <c r="D422" s="7">
        <v>106</v>
      </c>
      <c r="E422" s="7">
        <v>59</v>
      </c>
      <c r="F422" s="7">
        <v>59</v>
      </c>
      <c r="G422" s="7">
        <v>38</v>
      </c>
      <c r="H422" s="7">
        <v>51</v>
      </c>
      <c r="I422" s="7">
        <v>52</v>
      </c>
      <c r="J422" s="7">
        <v>64</v>
      </c>
      <c r="K422" s="7">
        <v>54</v>
      </c>
      <c r="L422" s="7">
        <v>61</v>
      </c>
      <c r="M422" s="7">
        <v>48</v>
      </c>
      <c r="N422" s="7">
        <v>592</v>
      </c>
      <c r="O422" s="7">
        <v>25489.142999999996</v>
      </c>
      <c r="P422" s="7">
        <v>58131.128000000004</v>
      </c>
      <c r="Q422" s="7">
        <v>72285.448000000004</v>
      </c>
      <c r="R422" s="7">
        <v>59504.741999999991</v>
      </c>
      <c r="S422" s="7">
        <v>61516.443999999996</v>
      </c>
      <c r="T422" s="7">
        <v>78245.801999999996</v>
      </c>
      <c r="U422" s="7">
        <v>75640.316999999981</v>
      </c>
      <c r="V422" s="7">
        <v>44133.85</v>
      </c>
      <c r="W422" s="7">
        <v>23956.532999999999</v>
      </c>
      <c r="X422" s="7">
        <v>10166.959999999999</v>
      </c>
      <c r="Y422" s="7">
        <v>509070.36700000003</v>
      </c>
      <c r="Z422" s="8">
        <v>4.158633344400791E-3</v>
      </c>
      <c r="AA422" s="8">
        <v>1.0149467596775345E-3</v>
      </c>
      <c r="AB422" s="8">
        <v>8.1620854034134222E-4</v>
      </c>
      <c r="AC422" s="8">
        <v>6.3860456701081078E-4</v>
      </c>
      <c r="AD422" s="8">
        <v>8.2904662044509597E-4</v>
      </c>
      <c r="AE422" s="8">
        <v>6.6457239456757056E-4</v>
      </c>
      <c r="AF422" s="8">
        <v>8.4610962167173379E-4</v>
      </c>
      <c r="AG422" s="8">
        <v>1.2235506306383875E-3</v>
      </c>
      <c r="AH422" s="8">
        <v>2.5462782949435964E-3</v>
      </c>
      <c r="AI422" s="8">
        <v>4.7211752578941992E-3</v>
      </c>
      <c r="AJ422" s="8">
        <v>1.1629040666592168E-3</v>
      </c>
    </row>
    <row r="423" spans="1:36" x14ac:dyDescent="0.2">
      <c r="A423" t="s">
        <v>478</v>
      </c>
      <c r="B423">
        <v>2015</v>
      </c>
      <c r="C423" t="s">
        <v>485</v>
      </c>
      <c r="D423" s="7">
        <v>119</v>
      </c>
      <c r="E423" s="7">
        <v>72</v>
      </c>
      <c r="F423" s="7">
        <v>58</v>
      </c>
      <c r="G423" s="7">
        <v>61</v>
      </c>
      <c r="H423" s="7">
        <v>72</v>
      </c>
      <c r="I423" s="7">
        <v>52</v>
      </c>
      <c r="J423" s="7">
        <v>60</v>
      </c>
      <c r="K423" s="7">
        <v>61</v>
      </c>
      <c r="L423" s="7">
        <v>24</v>
      </c>
      <c r="M423" s="7">
        <v>57</v>
      </c>
      <c r="N423" s="7">
        <v>636</v>
      </c>
      <c r="O423" s="7">
        <v>37228.029000000002</v>
      </c>
      <c r="P423" s="7">
        <v>85715.700000000012</v>
      </c>
      <c r="Q423" s="7">
        <v>105467.92499999999</v>
      </c>
      <c r="R423" s="7">
        <v>85644.553</v>
      </c>
      <c r="S423" s="7">
        <v>89133.162999999986</v>
      </c>
      <c r="T423" s="7">
        <v>111911.75200000002</v>
      </c>
      <c r="U423" s="7">
        <v>110588.76600000002</v>
      </c>
      <c r="V423" s="7">
        <v>69550.974999999991</v>
      </c>
      <c r="W423" s="7">
        <v>35466.881000000001</v>
      </c>
      <c r="X423" s="7">
        <v>15366.233999999999</v>
      </c>
      <c r="Y423" s="7">
        <v>746073.97800000012</v>
      </c>
      <c r="Z423" s="8">
        <v>3.1965162592948447E-3</v>
      </c>
      <c r="AA423" s="8">
        <v>8.3998614022868612E-4</v>
      </c>
      <c r="AB423" s="8">
        <v>5.4993022760237305E-4</v>
      </c>
      <c r="AC423" s="8">
        <v>7.1224611330506914E-4</v>
      </c>
      <c r="AD423" s="8">
        <v>8.0778015248937152E-4</v>
      </c>
      <c r="AE423" s="8">
        <v>4.6465182673576579E-4</v>
      </c>
      <c r="AF423" s="8">
        <v>5.4255058782372149E-4</v>
      </c>
      <c r="AG423" s="8">
        <v>8.7705456321784145E-4</v>
      </c>
      <c r="AH423" s="8">
        <v>6.7668763994217589E-4</v>
      </c>
      <c r="AI423" s="8">
        <v>3.7094319922500209E-3</v>
      </c>
      <c r="AJ423" s="8">
        <v>8.5246238141815998E-4</v>
      </c>
    </row>
    <row r="424" spans="1:36" x14ac:dyDescent="0.2">
      <c r="A424" t="s">
        <v>478</v>
      </c>
      <c r="B424">
        <v>2016</v>
      </c>
      <c r="C424" t="s">
        <v>486</v>
      </c>
      <c r="D424" s="7">
        <v>104</v>
      </c>
      <c r="E424" s="7">
        <v>41</v>
      </c>
      <c r="F424" s="7">
        <v>49</v>
      </c>
      <c r="G424" s="7">
        <v>49</v>
      </c>
      <c r="H424" s="7">
        <v>60</v>
      </c>
      <c r="I424" s="7">
        <v>61</v>
      </c>
      <c r="J424" s="7">
        <v>46</v>
      </c>
      <c r="K424" s="7">
        <v>41</v>
      </c>
      <c r="L424" s="7">
        <v>55</v>
      </c>
      <c r="M424" s="7">
        <v>54</v>
      </c>
      <c r="N424" s="7">
        <v>560</v>
      </c>
      <c r="O424" s="7">
        <v>26950.145999999997</v>
      </c>
      <c r="P424" s="7">
        <v>60017.729000000007</v>
      </c>
      <c r="Q424" s="7">
        <v>81278.62999999999</v>
      </c>
      <c r="R424" s="7">
        <v>64655.152999999991</v>
      </c>
      <c r="S424" s="7">
        <v>63089.375999999989</v>
      </c>
      <c r="T424" s="7">
        <v>80573.314999999988</v>
      </c>
      <c r="U424" s="7">
        <v>83937.842999999993</v>
      </c>
      <c r="V424" s="7">
        <v>54930.506000000008</v>
      </c>
      <c r="W424" s="7">
        <v>27402.936000000005</v>
      </c>
      <c r="X424" s="7">
        <v>12719.062000000002</v>
      </c>
      <c r="Y424" s="7">
        <v>555554.696</v>
      </c>
      <c r="Z424" s="8">
        <v>3.8589772389359231E-3</v>
      </c>
      <c r="AA424" s="8">
        <v>6.8313147936670509E-4</v>
      </c>
      <c r="AB424" s="8">
        <v>6.0286449217955573E-4</v>
      </c>
      <c r="AC424" s="8">
        <v>7.5786689422883285E-4</v>
      </c>
      <c r="AD424" s="8">
        <v>9.5103175533072339E-4</v>
      </c>
      <c r="AE424" s="8">
        <v>7.5707447310564314E-4</v>
      </c>
      <c r="AF424" s="8">
        <v>5.4802456622574873E-4</v>
      </c>
      <c r="AG424" s="8">
        <v>7.4639763922800916E-4</v>
      </c>
      <c r="AH424" s="8">
        <v>2.0070842044078775E-3</v>
      </c>
      <c r="AI424" s="8">
        <v>4.245596098202839E-3</v>
      </c>
      <c r="AJ424" s="8">
        <v>1.0080015595800131E-3</v>
      </c>
    </row>
    <row r="425" spans="1:36" x14ac:dyDescent="0.2">
      <c r="A425" t="s">
        <v>478</v>
      </c>
      <c r="B425">
        <v>2017</v>
      </c>
      <c r="C425" t="s">
        <v>487</v>
      </c>
      <c r="D425" s="7">
        <v>117</v>
      </c>
      <c r="E425" s="7">
        <v>29</v>
      </c>
      <c r="F425" s="7">
        <v>53</v>
      </c>
      <c r="G425" s="7">
        <v>54</v>
      </c>
      <c r="H425" s="7">
        <v>56</v>
      </c>
      <c r="I425" s="7">
        <v>49</v>
      </c>
      <c r="J425" s="7">
        <v>63</v>
      </c>
      <c r="K425" s="7">
        <v>32</v>
      </c>
      <c r="L425" s="7">
        <v>52</v>
      </c>
      <c r="M425" s="7">
        <v>54</v>
      </c>
      <c r="N425" s="7">
        <v>559</v>
      </c>
      <c r="O425" s="7">
        <v>32093</v>
      </c>
      <c r="P425" s="7">
        <v>72496</v>
      </c>
      <c r="Q425" s="7">
        <v>92808</v>
      </c>
      <c r="R425" s="7">
        <v>74877</v>
      </c>
      <c r="S425" s="7">
        <v>74671</v>
      </c>
      <c r="T425" s="7">
        <v>93129</v>
      </c>
      <c r="U425" s="7">
        <v>101817</v>
      </c>
      <c r="V425" s="7">
        <v>69213</v>
      </c>
      <c r="W425" s="7">
        <v>32302</v>
      </c>
      <c r="X425" s="7">
        <v>14061</v>
      </c>
      <c r="Y425" s="7">
        <v>657467</v>
      </c>
      <c r="Z425" s="8">
        <v>3.6456548156918954E-3</v>
      </c>
      <c r="AA425" s="8">
        <v>4.0002207018318249E-4</v>
      </c>
      <c r="AB425" s="8">
        <v>5.7107145935695203E-4</v>
      </c>
      <c r="AC425" s="8">
        <v>7.2118273969309671E-4</v>
      </c>
      <c r="AD425" s="8">
        <v>7.4995647574024719E-4</v>
      </c>
      <c r="AE425" s="8">
        <v>5.2615189683127709E-4</v>
      </c>
      <c r="AF425" s="8">
        <v>6.1875718200300538E-4</v>
      </c>
      <c r="AG425" s="8">
        <v>4.6234088971724963E-4</v>
      </c>
      <c r="AH425" s="8">
        <v>1.6098074422636369E-3</v>
      </c>
      <c r="AI425" s="8">
        <v>3.8404096436953274E-3</v>
      </c>
      <c r="AJ425" s="8">
        <v>8.5023278734902281E-4</v>
      </c>
    </row>
    <row r="426" spans="1:36" x14ac:dyDescent="0.2">
      <c r="A426" t="s">
        <v>488</v>
      </c>
      <c r="B426">
        <v>2009</v>
      </c>
      <c r="C426" t="s">
        <v>489</v>
      </c>
      <c r="D426" s="7">
        <v>118</v>
      </c>
      <c r="E426" s="7">
        <v>44</v>
      </c>
      <c r="F426" s="7">
        <v>73</v>
      </c>
      <c r="G426" s="7">
        <v>57</v>
      </c>
      <c r="H426" s="7">
        <v>62</v>
      </c>
      <c r="I426" s="7">
        <v>55</v>
      </c>
      <c r="J426" s="7">
        <v>65</v>
      </c>
      <c r="K426" s="7">
        <v>128</v>
      </c>
      <c r="L426" s="7">
        <v>351</v>
      </c>
      <c r="M426" s="7">
        <v>550</v>
      </c>
      <c r="N426" s="7">
        <v>1503</v>
      </c>
      <c r="O426" s="7">
        <v>520160.201</v>
      </c>
      <c r="P426" s="7">
        <v>992039.69600000023</v>
      </c>
      <c r="Q426" s="7">
        <v>1108231.0219999999</v>
      </c>
      <c r="R426" s="7">
        <v>1040514.4959999997</v>
      </c>
      <c r="S426" s="7">
        <v>1141703.4109999998</v>
      </c>
      <c r="T426" s="7">
        <v>1134931.9290000002</v>
      </c>
      <c r="U426" s="7">
        <v>847941.7999999997</v>
      </c>
      <c r="V426" s="7">
        <v>489290.29199999978</v>
      </c>
      <c r="W426" s="7">
        <v>299651.77899999992</v>
      </c>
      <c r="X426" s="7">
        <v>111586.35300000006</v>
      </c>
      <c r="Y426" s="7">
        <v>7686050.9789999994</v>
      </c>
      <c r="Z426" s="8">
        <v>2.2685318825459313E-4</v>
      </c>
      <c r="AA426" s="8">
        <v>4.435306387175054E-5</v>
      </c>
      <c r="AB426" s="8">
        <v>6.5870742246737073E-5</v>
      </c>
      <c r="AC426" s="8">
        <v>5.4780591927476633E-5</v>
      </c>
      <c r="AD426" s="8">
        <v>5.4304821552293677E-5</v>
      </c>
      <c r="AE426" s="8">
        <v>4.8461056204895958E-5</v>
      </c>
      <c r="AF426" s="8">
        <v>7.6656204470637042E-5</v>
      </c>
      <c r="AG426" s="8">
        <v>2.6160339187763826E-4</v>
      </c>
      <c r="AH426" s="8">
        <v>1.1713596400840993E-3</v>
      </c>
      <c r="AI426" s="8">
        <v>4.9289181446767038E-3</v>
      </c>
      <c r="AJ426" s="8">
        <v>1.9554905426811899E-4</v>
      </c>
    </row>
    <row r="427" spans="1:36" x14ac:dyDescent="0.2">
      <c r="A427" t="s">
        <v>488</v>
      </c>
      <c r="B427">
        <v>2010</v>
      </c>
      <c r="C427" t="s">
        <v>490</v>
      </c>
      <c r="D427" s="7">
        <v>101</v>
      </c>
      <c r="E427" s="7">
        <v>47</v>
      </c>
      <c r="F427" s="7">
        <v>42</v>
      </c>
      <c r="G427" s="7">
        <v>69</v>
      </c>
      <c r="H427" s="7">
        <v>51</v>
      </c>
      <c r="I427" s="7">
        <v>60</v>
      </c>
      <c r="J427" s="7">
        <v>71</v>
      </c>
      <c r="K427" s="7">
        <v>148</v>
      </c>
      <c r="L427" s="7">
        <v>329</v>
      </c>
      <c r="M427" s="7">
        <v>581</v>
      </c>
      <c r="N427" s="7">
        <v>1499</v>
      </c>
      <c r="O427" s="7">
        <v>491480.57300000015</v>
      </c>
      <c r="P427" s="7">
        <v>980611.00600000005</v>
      </c>
      <c r="Q427" s="7">
        <v>1065176.642</v>
      </c>
      <c r="R427" s="7">
        <v>1020824.8029999998</v>
      </c>
      <c r="S427" s="7">
        <v>1108666.9980000001</v>
      </c>
      <c r="T427" s="7">
        <v>1146428.6980000001</v>
      </c>
      <c r="U427" s="7">
        <v>868867.44900000014</v>
      </c>
      <c r="V427" s="7">
        <v>492348.85199999984</v>
      </c>
      <c r="W427" s="7">
        <v>289073.95099999988</v>
      </c>
      <c r="X427" s="7">
        <v>107965.701</v>
      </c>
      <c r="Y427" s="7">
        <v>7571444.6729999995</v>
      </c>
      <c r="Z427" s="8">
        <v>2.0550151022958129E-4</v>
      </c>
      <c r="AA427" s="8">
        <v>4.7929300928119501E-5</v>
      </c>
      <c r="AB427" s="8">
        <v>3.9430079804547573E-5</v>
      </c>
      <c r="AC427" s="8">
        <v>6.7592401553354505E-5</v>
      </c>
      <c r="AD427" s="8">
        <v>4.6001188898021108E-5</v>
      </c>
      <c r="AE427" s="8">
        <v>5.2336442819926684E-5</v>
      </c>
      <c r="AF427" s="8">
        <v>8.1715571324159463E-5</v>
      </c>
      <c r="AG427" s="8">
        <v>3.0059986816014764E-4</v>
      </c>
      <c r="AH427" s="8">
        <v>1.1381170764846954E-3</v>
      </c>
      <c r="AI427" s="8">
        <v>5.3813386530968755E-3</v>
      </c>
      <c r="AJ427" s="8">
        <v>1.9798071104520901E-4</v>
      </c>
    </row>
    <row r="428" spans="1:36" x14ac:dyDescent="0.2">
      <c r="A428" t="s">
        <v>488</v>
      </c>
      <c r="B428">
        <v>2011</v>
      </c>
      <c r="C428" t="s">
        <v>491</v>
      </c>
      <c r="D428" s="7">
        <v>100</v>
      </c>
      <c r="E428" s="7">
        <v>60</v>
      </c>
      <c r="F428" s="7">
        <v>54</v>
      </c>
      <c r="G428" s="7">
        <v>46</v>
      </c>
      <c r="H428" s="7">
        <v>51</v>
      </c>
      <c r="I428" s="7">
        <v>85</v>
      </c>
      <c r="J428" s="7">
        <v>97</v>
      </c>
      <c r="K428" s="7">
        <v>197</v>
      </c>
      <c r="L428" s="7">
        <v>346</v>
      </c>
      <c r="M428" s="7">
        <v>661</v>
      </c>
      <c r="N428" s="7">
        <v>1697</v>
      </c>
      <c r="O428" s="7">
        <v>508880.315</v>
      </c>
      <c r="P428" s="7">
        <v>1017991.3870000001</v>
      </c>
      <c r="Q428" s="7">
        <v>1117069.1209999998</v>
      </c>
      <c r="R428" s="7">
        <v>1071799.1509999998</v>
      </c>
      <c r="S428" s="7">
        <v>1126467.4209999996</v>
      </c>
      <c r="T428" s="7">
        <v>1193534.9299999997</v>
      </c>
      <c r="U428" s="7">
        <v>927378.223</v>
      </c>
      <c r="V428" s="7">
        <v>531499.228</v>
      </c>
      <c r="W428" s="7">
        <v>302107.88100000011</v>
      </c>
      <c r="X428" s="7">
        <v>117058.30799999998</v>
      </c>
      <c r="Y428" s="7">
        <v>7913785.9649999999</v>
      </c>
      <c r="Z428" s="8">
        <v>1.9650986106625092E-4</v>
      </c>
      <c r="AA428" s="8">
        <v>5.8939594937849893E-5</v>
      </c>
      <c r="AB428" s="8">
        <v>4.83407866038399E-5</v>
      </c>
      <c r="AC428" s="8">
        <v>4.291848893244739E-5</v>
      </c>
      <c r="AD428" s="8">
        <v>4.5274278731226631E-5</v>
      </c>
      <c r="AE428" s="8">
        <v>7.1217019178483555E-5</v>
      </c>
      <c r="AF428" s="8">
        <v>1.0459594326704391E-4</v>
      </c>
      <c r="AG428" s="8">
        <v>3.7064964466891002E-4</v>
      </c>
      <c r="AH428" s="8">
        <v>1.1452862429629893E-3</v>
      </c>
      <c r="AI428" s="8">
        <v>5.6467585367798081E-3</v>
      </c>
      <c r="AJ428" s="8">
        <v>2.1443592327430352E-4</v>
      </c>
    </row>
    <row r="429" spans="1:36" x14ac:dyDescent="0.2">
      <c r="A429" t="s">
        <v>488</v>
      </c>
      <c r="B429">
        <v>2012</v>
      </c>
      <c r="C429" t="s">
        <v>492</v>
      </c>
      <c r="D429" s="7">
        <v>87</v>
      </c>
      <c r="E429" s="7">
        <v>37</v>
      </c>
      <c r="F429" s="7">
        <v>60</v>
      </c>
      <c r="G429" s="7">
        <v>61</v>
      </c>
      <c r="H429" s="7">
        <v>44</v>
      </c>
      <c r="I429" s="7">
        <v>58</v>
      </c>
      <c r="J429" s="7">
        <v>59</v>
      </c>
      <c r="K429" s="7">
        <v>132</v>
      </c>
      <c r="L429" s="7">
        <v>330</v>
      </c>
      <c r="M429" s="7">
        <v>643</v>
      </c>
      <c r="N429" s="7">
        <v>1511</v>
      </c>
      <c r="O429" s="7">
        <v>484483.03699999989</v>
      </c>
      <c r="P429" s="7">
        <v>979830.39500000002</v>
      </c>
      <c r="Q429" s="7">
        <v>1067079.6940000006</v>
      </c>
      <c r="R429" s="7">
        <v>1040960.1819999996</v>
      </c>
      <c r="S429" s="7">
        <v>1065642.9179999998</v>
      </c>
      <c r="T429" s="7">
        <v>1147663.7379999999</v>
      </c>
      <c r="U429" s="7">
        <v>909371.35099999991</v>
      </c>
      <c r="V429" s="7">
        <v>526110.321</v>
      </c>
      <c r="W429" s="7">
        <v>289142.07600000006</v>
      </c>
      <c r="X429" s="7">
        <v>114265.446</v>
      </c>
      <c r="Y429" s="7">
        <v>7624549.1579999998</v>
      </c>
      <c r="Z429" s="8">
        <v>1.7957285055575644E-4</v>
      </c>
      <c r="AA429" s="8">
        <v>3.7761637308669122E-5</v>
      </c>
      <c r="AB429" s="8">
        <v>5.6228227692242045E-5</v>
      </c>
      <c r="AC429" s="8">
        <v>5.8599743827665469E-5</v>
      </c>
      <c r="AD429" s="8">
        <v>4.1289628314313078E-5</v>
      </c>
      <c r="AE429" s="8">
        <v>5.0537451066524858E-5</v>
      </c>
      <c r="AF429" s="8">
        <v>6.4879985426327777E-5</v>
      </c>
      <c r="AG429" s="8">
        <v>2.5089794807503881E-4</v>
      </c>
      <c r="AH429" s="8">
        <v>1.1413074311605895E-3</v>
      </c>
      <c r="AI429" s="8">
        <v>5.6272479783608421E-3</v>
      </c>
      <c r="AJ429" s="8">
        <v>1.9817565192226412E-4</v>
      </c>
    </row>
    <row r="430" spans="1:36" x14ac:dyDescent="0.2">
      <c r="A430" t="s">
        <v>488</v>
      </c>
      <c r="B430">
        <v>2013</v>
      </c>
      <c r="C430" t="s">
        <v>493</v>
      </c>
      <c r="D430" s="7">
        <v>78</v>
      </c>
      <c r="E430" s="7">
        <v>53</v>
      </c>
      <c r="F430" s="7">
        <v>45</v>
      </c>
      <c r="G430" s="7">
        <v>48</v>
      </c>
      <c r="H430" s="7">
        <v>62</v>
      </c>
      <c r="I430" s="7">
        <v>54</v>
      </c>
      <c r="J430" s="7">
        <v>80</v>
      </c>
      <c r="K430" s="7">
        <v>198</v>
      </c>
      <c r="L430" s="7">
        <v>382</v>
      </c>
      <c r="M430" s="7">
        <v>649</v>
      </c>
      <c r="N430" s="7">
        <v>1649</v>
      </c>
      <c r="O430" s="7">
        <v>514047.91599999997</v>
      </c>
      <c r="P430" s="7">
        <v>1039829.0399999998</v>
      </c>
      <c r="Q430" s="7">
        <v>1111505.6909999996</v>
      </c>
      <c r="R430" s="7">
        <v>1111687.7919999997</v>
      </c>
      <c r="S430" s="7">
        <v>1102910.8250000002</v>
      </c>
      <c r="T430" s="7">
        <v>1202101.9550000001</v>
      </c>
      <c r="U430" s="7">
        <v>978937.39600000018</v>
      </c>
      <c r="V430" s="7">
        <v>582322.78</v>
      </c>
      <c r="W430" s="7">
        <v>309379.87400000013</v>
      </c>
      <c r="X430" s="7">
        <v>125104.54800000004</v>
      </c>
      <c r="Y430" s="7">
        <v>8077827.8170000007</v>
      </c>
      <c r="Z430" s="8">
        <v>1.5173682758398734E-4</v>
      </c>
      <c r="AA430" s="8">
        <v>5.0969917131762359E-5</v>
      </c>
      <c r="AB430" s="8">
        <v>4.0485622668755203E-5</v>
      </c>
      <c r="AC430" s="8">
        <v>4.3177590277972589E-5</v>
      </c>
      <c r="AD430" s="8">
        <v>5.621488029188578E-5</v>
      </c>
      <c r="AE430" s="8">
        <v>4.4921314515290011E-5</v>
      </c>
      <c r="AF430" s="8">
        <v>8.1721262592362933E-5</v>
      </c>
      <c r="AG430" s="8">
        <v>3.4001761016458945E-4</v>
      </c>
      <c r="AH430" s="8">
        <v>1.2347280224181611E-3</v>
      </c>
      <c r="AI430" s="8">
        <v>5.1876611232390991E-3</v>
      </c>
      <c r="AJ430" s="8">
        <v>2.0413903803812657E-4</v>
      </c>
    </row>
    <row r="431" spans="1:36" x14ac:dyDescent="0.2">
      <c r="A431" t="s">
        <v>488</v>
      </c>
      <c r="B431">
        <v>2014</v>
      </c>
      <c r="C431" t="s">
        <v>494</v>
      </c>
      <c r="D431" s="7">
        <v>92</v>
      </c>
      <c r="E431" s="7">
        <v>52</v>
      </c>
      <c r="F431" s="7">
        <v>55</v>
      </c>
      <c r="G431" s="7">
        <v>42</v>
      </c>
      <c r="H431" s="7">
        <v>80</v>
      </c>
      <c r="I431" s="7">
        <v>55</v>
      </c>
      <c r="J431" s="7">
        <v>133</v>
      </c>
      <c r="K431" s="7">
        <v>237</v>
      </c>
      <c r="L431" s="7">
        <v>372</v>
      </c>
      <c r="M431" s="7">
        <v>620</v>
      </c>
      <c r="N431" s="7">
        <v>1738</v>
      </c>
      <c r="O431" s="7">
        <v>504885.02699999994</v>
      </c>
      <c r="P431" s="7">
        <v>1031533.0980000003</v>
      </c>
      <c r="Q431" s="7">
        <v>1120390.7050000003</v>
      </c>
      <c r="R431" s="7">
        <v>1121477.3060000001</v>
      </c>
      <c r="S431" s="7">
        <v>1089345.2340000004</v>
      </c>
      <c r="T431" s="7">
        <v>1190254.5730000001</v>
      </c>
      <c r="U431" s="7">
        <v>1002775.7540000001</v>
      </c>
      <c r="V431" s="7">
        <v>612465.08700000052</v>
      </c>
      <c r="W431" s="7">
        <v>310641.24000000017</v>
      </c>
      <c r="X431" s="7">
        <v>129442.75900000002</v>
      </c>
      <c r="Y431" s="7">
        <v>8113210.7830000008</v>
      </c>
      <c r="Z431" s="8">
        <v>1.8221970365542254E-4</v>
      </c>
      <c r="AA431" s="8">
        <v>5.041040379685421E-5</v>
      </c>
      <c r="AB431" s="8">
        <v>4.9090018111137386E-5</v>
      </c>
      <c r="AC431" s="8">
        <v>3.7450601786854163E-5</v>
      </c>
      <c r="AD431" s="8">
        <v>7.3438610188108615E-5</v>
      </c>
      <c r="AE431" s="8">
        <v>4.6208602132377604E-5</v>
      </c>
      <c r="AF431" s="8">
        <v>1.3263184662121378E-4</v>
      </c>
      <c r="AG431" s="8">
        <v>3.8696083259354797E-4</v>
      </c>
      <c r="AH431" s="8">
        <v>1.1975229045570375E-3</v>
      </c>
      <c r="AI431" s="8">
        <v>4.7897619363938305E-3</v>
      </c>
      <c r="AJ431" s="8">
        <v>2.1421851921334456E-4</v>
      </c>
    </row>
    <row r="432" spans="1:36" x14ac:dyDescent="0.2">
      <c r="A432" t="s">
        <v>488</v>
      </c>
      <c r="B432">
        <v>2015</v>
      </c>
      <c r="C432" t="s">
        <v>495</v>
      </c>
      <c r="D432" s="7">
        <v>97</v>
      </c>
      <c r="E432" s="7">
        <v>59</v>
      </c>
      <c r="F432" s="7">
        <v>52</v>
      </c>
      <c r="G432" s="7">
        <v>62</v>
      </c>
      <c r="H432" s="7">
        <v>41</v>
      </c>
      <c r="I432" s="7">
        <v>56</v>
      </c>
      <c r="J432" s="7">
        <v>111</v>
      </c>
      <c r="K432" s="7">
        <v>224</v>
      </c>
      <c r="L432" s="7">
        <v>350</v>
      </c>
      <c r="M432" s="7">
        <v>632</v>
      </c>
      <c r="N432" s="7">
        <v>1684</v>
      </c>
      <c r="O432" s="7">
        <v>519156.76800000004</v>
      </c>
      <c r="P432" s="7">
        <v>1053620.382</v>
      </c>
      <c r="Q432" s="7">
        <v>1150864.8640000001</v>
      </c>
      <c r="R432" s="7">
        <v>1162712.5460000003</v>
      </c>
      <c r="S432" s="7">
        <v>1102699.5280000002</v>
      </c>
      <c r="T432" s="7">
        <v>1195958.9739999999</v>
      </c>
      <c r="U432" s="7">
        <v>1033636.951</v>
      </c>
      <c r="V432" s="7">
        <v>645862.08500000008</v>
      </c>
      <c r="W432" s="7">
        <v>323496.64199999999</v>
      </c>
      <c r="X432" s="7">
        <v>138347.98799999995</v>
      </c>
      <c r="Y432" s="7">
        <v>8326356.7280000011</v>
      </c>
      <c r="Z432" s="8">
        <v>1.8684144362344129E-4</v>
      </c>
      <c r="AA432" s="8">
        <v>5.5997398121707936E-5</v>
      </c>
      <c r="AB432" s="8">
        <v>4.5183410864822441E-5</v>
      </c>
      <c r="AC432" s="8">
        <v>5.3323583901536386E-5</v>
      </c>
      <c r="AD432" s="8">
        <v>3.7181479595228408E-5</v>
      </c>
      <c r="AE432" s="8">
        <v>4.6824348675358494E-5</v>
      </c>
      <c r="AF432" s="8">
        <v>1.0738780177373903E-4</v>
      </c>
      <c r="AG432" s="8">
        <v>3.4682326955297273E-4</v>
      </c>
      <c r="AH432" s="8">
        <v>1.0819277685114271E-3</v>
      </c>
      <c r="AI432" s="8">
        <v>4.5681907567748673E-3</v>
      </c>
      <c r="AJ432" s="8">
        <v>2.0224932164352493E-4</v>
      </c>
    </row>
    <row r="433" spans="1:36" x14ac:dyDescent="0.2">
      <c r="A433" t="s">
        <v>488</v>
      </c>
      <c r="B433">
        <v>2016</v>
      </c>
      <c r="C433" t="s">
        <v>496</v>
      </c>
      <c r="D433" s="7">
        <v>87</v>
      </c>
      <c r="E433" s="7">
        <v>51</v>
      </c>
      <c r="F433" s="7">
        <v>65</v>
      </c>
      <c r="G433" s="7">
        <v>73</v>
      </c>
      <c r="H433" s="7">
        <v>52</v>
      </c>
      <c r="I433" s="7">
        <v>55</v>
      </c>
      <c r="J433" s="7">
        <v>106</v>
      </c>
      <c r="K433" s="7">
        <v>193</v>
      </c>
      <c r="L433" s="7">
        <v>295</v>
      </c>
      <c r="M433" s="7">
        <v>494</v>
      </c>
      <c r="N433" s="7">
        <v>1471</v>
      </c>
      <c r="O433" s="7">
        <v>504927.08199999988</v>
      </c>
      <c r="P433" s="7">
        <v>1028817.1699999998</v>
      </c>
      <c r="Q433" s="7">
        <v>1129045.1639999999</v>
      </c>
      <c r="R433" s="7">
        <v>1143409.2350000003</v>
      </c>
      <c r="S433" s="7">
        <v>1080543.0089999998</v>
      </c>
      <c r="T433" s="7">
        <v>1159132.4720000005</v>
      </c>
      <c r="U433" s="7">
        <v>1022770.4740000006</v>
      </c>
      <c r="V433" s="7">
        <v>658056.87000000023</v>
      </c>
      <c r="W433" s="7">
        <v>319672.10800000001</v>
      </c>
      <c r="X433" s="7">
        <v>132259.74100000004</v>
      </c>
      <c r="Y433" s="7">
        <v>8178633.3250000002</v>
      </c>
      <c r="Z433" s="8">
        <v>1.7230210678222251E-4</v>
      </c>
      <c r="AA433" s="8">
        <v>4.9571489947042786E-5</v>
      </c>
      <c r="AB433" s="8">
        <v>5.7570770481596085E-5</v>
      </c>
      <c r="AC433" s="8">
        <v>6.384415812419075E-5</v>
      </c>
      <c r="AD433" s="8">
        <v>4.8123952093423808E-5</v>
      </c>
      <c r="AE433" s="8">
        <v>4.7449278946608595E-5</v>
      </c>
      <c r="AF433" s="8">
        <v>1.0364006655905862E-4</v>
      </c>
      <c r="AG433" s="8">
        <v>2.932877214700303E-4</v>
      </c>
      <c r="AH433" s="8">
        <v>9.2282057964218763E-4</v>
      </c>
      <c r="AI433" s="8">
        <v>3.7350746059604022E-3</v>
      </c>
      <c r="AJ433" s="8">
        <v>1.7985890081458078E-4</v>
      </c>
    </row>
    <row r="434" spans="1:36" x14ac:dyDescent="0.2">
      <c r="A434" t="s">
        <v>488</v>
      </c>
      <c r="B434">
        <v>2017</v>
      </c>
      <c r="C434" t="s">
        <v>497</v>
      </c>
      <c r="D434" s="7">
        <v>125</v>
      </c>
      <c r="E434" s="7">
        <v>53</v>
      </c>
      <c r="F434" s="7">
        <v>53</v>
      </c>
      <c r="G434" s="7">
        <v>59</v>
      </c>
      <c r="H434" s="7">
        <v>54</v>
      </c>
      <c r="I434" s="7">
        <v>59</v>
      </c>
      <c r="J434" s="7">
        <v>114</v>
      </c>
      <c r="K434" s="7">
        <v>213</v>
      </c>
      <c r="L434" s="7">
        <v>315</v>
      </c>
      <c r="M434" s="7">
        <v>511</v>
      </c>
      <c r="N434" s="7">
        <v>1556</v>
      </c>
      <c r="O434" s="7">
        <v>504724</v>
      </c>
      <c r="P434" s="7">
        <v>1028939</v>
      </c>
      <c r="Q434" s="7">
        <v>1121874</v>
      </c>
      <c r="R434" s="7">
        <v>1149295</v>
      </c>
      <c r="S434" s="7">
        <v>1080076</v>
      </c>
      <c r="T434" s="7">
        <v>1149272</v>
      </c>
      <c r="U434" s="7">
        <v>1038827</v>
      </c>
      <c r="V434" s="7">
        <v>684948</v>
      </c>
      <c r="W434" s="7">
        <v>330496</v>
      </c>
      <c r="X434" s="7">
        <v>137011</v>
      </c>
      <c r="Y434" s="7">
        <v>8225462</v>
      </c>
      <c r="Z434" s="8">
        <v>2.476601073061713E-4</v>
      </c>
      <c r="AA434" s="8">
        <v>5.1509370331963315E-5</v>
      </c>
      <c r="AB434" s="8">
        <v>4.7242381943070256E-5</v>
      </c>
      <c r="AC434" s="8">
        <v>5.1335818915074026E-5</v>
      </c>
      <c r="AD434" s="8">
        <v>4.9996481729063507E-5</v>
      </c>
      <c r="AE434" s="8">
        <v>5.1336846281820146E-5</v>
      </c>
      <c r="AF434" s="8">
        <v>1.0973915772308575E-4</v>
      </c>
      <c r="AG434" s="8">
        <v>3.1097251178191629E-4</v>
      </c>
      <c r="AH434" s="8">
        <v>9.5311289697908594E-4</v>
      </c>
      <c r="AI434" s="8">
        <v>3.7296275481530682E-3</v>
      </c>
      <c r="AJ434" s="8">
        <v>1.8916870566054527E-4</v>
      </c>
    </row>
    <row r="435" spans="1:36" x14ac:dyDescent="0.2">
      <c r="A435" t="s">
        <v>498</v>
      </c>
      <c r="B435">
        <v>2009</v>
      </c>
      <c r="C435" t="s">
        <v>499</v>
      </c>
      <c r="D435" s="7">
        <v>134</v>
      </c>
      <c r="E435" s="7">
        <v>47</v>
      </c>
      <c r="F435" s="7">
        <v>59</v>
      </c>
      <c r="G435" s="7">
        <v>48</v>
      </c>
      <c r="H435" s="7">
        <v>60</v>
      </c>
      <c r="I435" s="7">
        <v>77</v>
      </c>
      <c r="J435" s="7">
        <v>82</v>
      </c>
      <c r="K435" s="7">
        <v>86</v>
      </c>
      <c r="L435" s="7">
        <v>148</v>
      </c>
      <c r="M435" s="7">
        <v>320</v>
      </c>
      <c r="N435" s="7">
        <v>1061</v>
      </c>
      <c r="O435" s="7">
        <v>431513.32899999997</v>
      </c>
      <c r="P435" s="7">
        <v>844117.80799999984</v>
      </c>
      <c r="Q435" s="7">
        <v>900477.19400000013</v>
      </c>
      <c r="R435" s="7">
        <v>895432.0340000001</v>
      </c>
      <c r="S435" s="7">
        <v>922174.39899999998</v>
      </c>
      <c r="T435" s="7">
        <v>972846.60000000021</v>
      </c>
      <c r="U435" s="7">
        <v>738332.50100000016</v>
      </c>
      <c r="V435" s="7">
        <v>400285.478</v>
      </c>
      <c r="W435" s="7">
        <v>255177.58699999994</v>
      </c>
      <c r="X435" s="7">
        <v>103078.38500000001</v>
      </c>
      <c r="Y435" s="7">
        <v>6463435.3150000013</v>
      </c>
      <c r="Z435" s="8">
        <v>3.1053501941767365E-4</v>
      </c>
      <c r="AA435" s="8">
        <v>5.5679431892757804E-5</v>
      </c>
      <c r="AB435" s="8">
        <v>6.5520815400017766E-5</v>
      </c>
      <c r="AC435" s="8">
        <v>5.3605408537349687E-5</v>
      </c>
      <c r="AD435" s="8">
        <v>6.506361493559528E-5</v>
      </c>
      <c r="AE435" s="8">
        <v>7.9149169046795236E-5</v>
      </c>
      <c r="AF435" s="8">
        <v>1.1106107328194128E-4</v>
      </c>
      <c r="AG435" s="8">
        <v>2.1484666500941611E-4</v>
      </c>
      <c r="AH435" s="8">
        <v>5.7998824167892159E-4</v>
      </c>
      <c r="AI435" s="8">
        <v>3.1044335822684841E-3</v>
      </c>
      <c r="AJ435" s="8">
        <v>1.641541917403717E-4</v>
      </c>
    </row>
    <row r="436" spans="1:36" x14ac:dyDescent="0.2">
      <c r="A436" t="s">
        <v>498</v>
      </c>
      <c r="B436">
        <v>2010</v>
      </c>
      <c r="C436" t="s">
        <v>500</v>
      </c>
      <c r="D436" s="7">
        <v>104</v>
      </c>
      <c r="E436" s="7">
        <v>42</v>
      </c>
      <c r="F436" s="7">
        <v>64</v>
      </c>
      <c r="G436" s="7">
        <v>67</v>
      </c>
      <c r="H436" s="7">
        <v>51</v>
      </c>
      <c r="I436" s="7">
        <v>55</v>
      </c>
      <c r="J436" s="7">
        <v>55</v>
      </c>
      <c r="K436" s="7">
        <v>45</v>
      </c>
      <c r="L436" s="7">
        <v>124</v>
      </c>
      <c r="M436" s="7">
        <v>298</v>
      </c>
      <c r="N436" s="7">
        <v>905</v>
      </c>
      <c r="O436" s="7">
        <v>425379.18200000009</v>
      </c>
      <c r="P436" s="7">
        <v>853474.2100000002</v>
      </c>
      <c r="Q436" s="7">
        <v>915993.04799999995</v>
      </c>
      <c r="R436" s="7">
        <v>895183.06699999992</v>
      </c>
      <c r="S436" s="7">
        <v>921788.9049999998</v>
      </c>
      <c r="T436" s="7">
        <v>977533.29300000018</v>
      </c>
      <c r="U436" s="7">
        <v>774018.30899999978</v>
      </c>
      <c r="V436" s="7">
        <v>415531.68199999997</v>
      </c>
      <c r="W436" s="7">
        <v>253453.77699999997</v>
      </c>
      <c r="X436" s="7">
        <v>106946.40900000001</v>
      </c>
      <c r="Y436" s="7">
        <v>6539301.8819999993</v>
      </c>
      <c r="Z436" s="8">
        <v>2.4448775210630778E-4</v>
      </c>
      <c r="AA436" s="8">
        <v>4.9210625825471623E-5</v>
      </c>
      <c r="AB436" s="8">
        <v>6.9869525909327647E-5</v>
      </c>
      <c r="AC436" s="8">
        <v>7.4845026084480217E-5</v>
      </c>
      <c r="AD436" s="8">
        <v>5.5327200971246244E-5</v>
      </c>
      <c r="AE436" s="8">
        <v>5.6264068337977301E-5</v>
      </c>
      <c r="AF436" s="8">
        <v>7.1057750650702005E-5</v>
      </c>
      <c r="AG436" s="8">
        <v>1.0829499157178587E-4</v>
      </c>
      <c r="AH436" s="8">
        <v>4.8924108161939133E-4</v>
      </c>
      <c r="AI436" s="8">
        <v>2.7864423199099649E-3</v>
      </c>
      <c r="AJ436" s="8">
        <v>1.3839397787875364E-4</v>
      </c>
    </row>
    <row r="437" spans="1:36" x14ac:dyDescent="0.2">
      <c r="A437" t="s">
        <v>498</v>
      </c>
      <c r="B437">
        <v>2011</v>
      </c>
      <c r="C437" t="s">
        <v>501</v>
      </c>
      <c r="D437" s="7">
        <v>114</v>
      </c>
      <c r="E437" s="7">
        <v>49</v>
      </c>
      <c r="F437" s="7">
        <v>66</v>
      </c>
      <c r="G437" s="7">
        <v>49</v>
      </c>
      <c r="H437" s="7">
        <v>55</v>
      </c>
      <c r="I437" s="7">
        <v>49</v>
      </c>
      <c r="J437" s="7">
        <v>63</v>
      </c>
      <c r="K437" s="7">
        <v>91</v>
      </c>
      <c r="L437" s="7">
        <v>170</v>
      </c>
      <c r="M437" s="7">
        <v>365</v>
      </c>
      <c r="N437" s="7">
        <v>1071</v>
      </c>
      <c r="O437" s="7">
        <v>431446.04999999993</v>
      </c>
      <c r="P437" s="7">
        <v>858672.20100000012</v>
      </c>
      <c r="Q437" s="7">
        <v>921586.12300000002</v>
      </c>
      <c r="R437" s="7">
        <v>915263.39800000028</v>
      </c>
      <c r="S437" s="7">
        <v>912897.66399999999</v>
      </c>
      <c r="T437" s="7">
        <v>978297.68700000003</v>
      </c>
      <c r="U437" s="7">
        <v>805824.68099999987</v>
      </c>
      <c r="V437" s="7">
        <v>437026.83799999999</v>
      </c>
      <c r="W437" s="7">
        <v>256535.08400000003</v>
      </c>
      <c r="X437" s="7">
        <v>111299.74999999999</v>
      </c>
      <c r="Y437" s="7">
        <v>6628849.4760000007</v>
      </c>
      <c r="Z437" s="8">
        <v>2.6422770587423392E-4</v>
      </c>
      <c r="AA437" s="8">
        <v>5.7064849593285007E-5</v>
      </c>
      <c r="AB437" s="8">
        <v>7.1615661686780845E-5</v>
      </c>
      <c r="AC437" s="8">
        <v>5.3536501194162233E-5</v>
      </c>
      <c r="AD437" s="8">
        <v>6.0247716878811075E-5</v>
      </c>
      <c r="AE437" s="8">
        <v>5.0087003834447378E-5</v>
      </c>
      <c r="AF437" s="8">
        <v>7.8180777389219743E-5</v>
      </c>
      <c r="AG437" s="8">
        <v>2.0822519828862318E-4</v>
      </c>
      <c r="AH437" s="8">
        <v>6.6267739035647845E-4</v>
      </c>
      <c r="AI437" s="8">
        <v>3.2794323437384185E-3</v>
      </c>
      <c r="AJ437" s="8">
        <v>1.6156649866279146E-4</v>
      </c>
    </row>
    <row r="438" spans="1:36" x14ac:dyDescent="0.2">
      <c r="A438" t="s">
        <v>498</v>
      </c>
      <c r="B438">
        <v>2012</v>
      </c>
      <c r="C438" t="s">
        <v>502</v>
      </c>
      <c r="D438" s="7">
        <v>135</v>
      </c>
      <c r="E438" s="7">
        <v>58</v>
      </c>
      <c r="F438" s="7">
        <v>47</v>
      </c>
      <c r="G438" s="7">
        <v>48</v>
      </c>
      <c r="H438" s="7">
        <v>49</v>
      </c>
      <c r="I438" s="7">
        <v>71</v>
      </c>
      <c r="J438" s="7">
        <v>40</v>
      </c>
      <c r="K438" s="7">
        <v>51</v>
      </c>
      <c r="L438" s="7">
        <v>157</v>
      </c>
      <c r="M438" s="7">
        <v>356</v>
      </c>
      <c r="N438" s="7">
        <v>1012</v>
      </c>
      <c r="O438" s="7">
        <v>439010.62700000004</v>
      </c>
      <c r="P438" s="7">
        <v>868375.25599999994</v>
      </c>
      <c r="Q438" s="7">
        <v>931726.18500000006</v>
      </c>
      <c r="R438" s="7">
        <v>943523.18099999975</v>
      </c>
      <c r="S438" s="7">
        <v>916011.49700000009</v>
      </c>
      <c r="T438" s="7">
        <v>985833.85600000003</v>
      </c>
      <c r="U438" s="7">
        <v>840025.50900000008</v>
      </c>
      <c r="V438" s="7">
        <v>466808.01599999995</v>
      </c>
      <c r="W438" s="7">
        <v>260373.06199999998</v>
      </c>
      <c r="X438" s="7">
        <v>114731.89100000002</v>
      </c>
      <c r="Y438" s="7">
        <v>6766419.0799999991</v>
      </c>
      <c r="Z438" s="8">
        <v>3.0750964030763653E-4</v>
      </c>
      <c r="AA438" s="8">
        <v>6.679140106682174E-5</v>
      </c>
      <c r="AB438" s="8">
        <v>5.0444004640698165E-5</v>
      </c>
      <c r="AC438" s="8">
        <v>5.0873153905054946E-5</v>
      </c>
      <c r="AD438" s="8">
        <v>5.3492778377212872E-5</v>
      </c>
      <c r="AE438" s="8">
        <v>7.2020249221386046E-5</v>
      </c>
      <c r="AF438" s="8">
        <v>4.7617601574525513E-5</v>
      </c>
      <c r="AG438" s="8">
        <v>1.0925262260277897E-4</v>
      </c>
      <c r="AH438" s="8">
        <v>6.0298096429038433E-4</v>
      </c>
      <c r="AI438" s="8">
        <v>3.1028861888103975E-3</v>
      </c>
      <c r="AJ438" s="8">
        <v>1.4956212259912226E-4</v>
      </c>
    </row>
    <row r="439" spans="1:36" x14ac:dyDescent="0.2">
      <c r="A439" t="s">
        <v>498</v>
      </c>
      <c r="B439">
        <v>2013</v>
      </c>
      <c r="C439" t="s">
        <v>503</v>
      </c>
      <c r="D439" s="7">
        <v>88</v>
      </c>
      <c r="E439" s="7">
        <v>42</v>
      </c>
      <c r="F439" s="7">
        <v>57</v>
      </c>
      <c r="G439" s="7">
        <v>47</v>
      </c>
      <c r="H439" s="7">
        <v>51</v>
      </c>
      <c r="I439" s="7">
        <v>45</v>
      </c>
      <c r="J439" s="7">
        <v>69</v>
      </c>
      <c r="K439" s="7">
        <v>101</v>
      </c>
      <c r="L439" s="7">
        <v>170</v>
      </c>
      <c r="M439" s="7">
        <v>416</v>
      </c>
      <c r="N439" s="7">
        <v>1086</v>
      </c>
      <c r="O439" s="7">
        <v>439044.24399999995</v>
      </c>
      <c r="P439" s="7">
        <v>867937.19799999997</v>
      </c>
      <c r="Q439" s="7">
        <v>926967.89999999979</v>
      </c>
      <c r="R439" s="7">
        <v>953260.40600000019</v>
      </c>
      <c r="S439" s="7">
        <v>907758.80099999986</v>
      </c>
      <c r="T439" s="7">
        <v>966288.59899999993</v>
      </c>
      <c r="U439" s="7">
        <v>854229.29600000009</v>
      </c>
      <c r="V439" s="7">
        <v>486829.64400000003</v>
      </c>
      <c r="W439" s="7">
        <v>257823.16100000002</v>
      </c>
      <c r="X439" s="7">
        <v>117463.72899999996</v>
      </c>
      <c r="Y439" s="7">
        <v>6777602.9780000011</v>
      </c>
      <c r="Z439" s="8">
        <v>2.0043538026659567E-4</v>
      </c>
      <c r="AA439" s="8">
        <v>4.8390597956604691E-5</v>
      </c>
      <c r="AB439" s="8">
        <v>6.1490802432317244E-5</v>
      </c>
      <c r="AC439" s="8">
        <v>4.9304470954812733E-5</v>
      </c>
      <c r="AD439" s="8">
        <v>5.6182325022701717E-5</v>
      </c>
      <c r="AE439" s="8">
        <v>4.6569937849385724E-5</v>
      </c>
      <c r="AF439" s="8">
        <v>8.0774565240384822E-5</v>
      </c>
      <c r="AG439" s="8">
        <v>2.074647697501346E-4</v>
      </c>
      <c r="AH439" s="8">
        <v>6.5936667342310644E-4</v>
      </c>
      <c r="AI439" s="8">
        <v>3.5415187610807089E-3</v>
      </c>
      <c r="AJ439" s="8">
        <v>1.6023364064332772E-4</v>
      </c>
    </row>
    <row r="440" spans="1:36" x14ac:dyDescent="0.2">
      <c r="A440" t="s">
        <v>498</v>
      </c>
      <c r="B440">
        <v>2014</v>
      </c>
      <c r="C440" t="s">
        <v>504</v>
      </c>
      <c r="D440" s="7">
        <v>100</v>
      </c>
      <c r="E440" s="7">
        <v>37</v>
      </c>
      <c r="F440" s="7">
        <v>39</v>
      </c>
      <c r="G440" s="7">
        <v>78</v>
      </c>
      <c r="H440" s="7">
        <v>58</v>
      </c>
      <c r="I440" s="7">
        <v>75</v>
      </c>
      <c r="J440" s="7">
        <v>77</v>
      </c>
      <c r="K440" s="7">
        <v>95</v>
      </c>
      <c r="L440" s="7">
        <v>148</v>
      </c>
      <c r="M440" s="7">
        <v>329</v>
      </c>
      <c r="N440" s="7">
        <v>1036</v>
      </c>
      <c r="O440" s="7">
        <v>446753.47199999995</v>
      </c>
      <c r="P440" s="7">
        <v>884069.02299999993</v>
      </c>
      <c r="Q440" s="7">
        <v>935517.06399999966</v>
      </c>
      <c r="R440" s="7">
        <v>983400.26099999982</v>
      </c>
      <c r="S440" s="7">
        <v>916947.79300000006</v>
      </c>
      <c r="T440" s="7">
        <v>968526.49199999985</v>
      </c>
      <c r="U440" s="7">
        <v>884994.39799999993</v>
      </c>
      <c r="V440" s="7">
        <v>525244.91900000011</v>
      </c>
      <c r="W440" s="7">
        <v>264004.97399999999</v>
      </c>
      <c r="X440" s="7">
        <v>124059.68500000001</v>
      </c>
      <c r="Y440" s="7">
        <v>6933518.0809999993</v>
      </c>
      <c r="Z440" s="8">
        <v>2.2383709644678489E-4</v>
      </c>
      <c r="AA440" s="8">
        <v>4.185193580750539E-5</v>
      </c>
      <c r="AB440" s="8">
        <v>4.168817598392841E-5</v>
      </c>
      <c r="AC440" s="8">
        <v>7.9316635446774624E-5</v>
      </c>
      <c r="AD440" s="8">
        <v>6.3253328534921286E-5</v>
      </c>
      <c r="AE440" s="8">
        <v>7.7437220994467135E-5</v>
      </c>
      <c r="AF440" s="8">
        <v>8.7006200461847453E-5</v>
      </c>
      <c r="AG440" s="8">
        <v>1.8086800378929507E-4</v>
      </c>
      <c r="AH440" s="8">
        <v>5.6059549847723702E-4</v>
      </c>
      <c r="AI440" s="8">
        <v>2.6519493419639101E-3</v>
      </c>
      <c r="AJ440" s="8">
        <v>1.49419095457321E-4</v>
      </c>
    </row>
    <row r="441" spans="1:36" x14ac:dyDescent="0.2">
      <c r="A441" t="s">
        <v>498</v>
      </c>
      <c r="B441">
        <v>2015</v>
      </c>
      <c r="C441" t="s">
        <v>505</v>
      </c>
      <c r="D441" s="7">
        <v>102</v>
      </c>
      <c r="E441" s="7">
        <v>72</v>
      </c>
      <c r="F441" s="7">
        <v>69</v>
      </c>
      <c r="G441" s="7">
        <v>64</v>
      </c>
      <c r="H441" s="7">
        <v>64</v>
      </c>
      <c r="I441" s="7">
        <v>67</v>
      </c>
      <c r="J441" s="7">
        <v>38</v>
      </c>
      <c r="K441" s="7">
        <v>109</v>
      </c>
      <c r="L441" s="7">
        <v>166</v>
      </c>
      <c r="M441" s="7">
        <v>436</v>
      </c>
      <c r="N441" s="7">
        <v>1187</v>
      </c>
      <c r="O441" s="7">
        <v>442528.08699999994</v>
      </c>
      <c r="P441" s="7">
        <v>878668.0700000003</v>
      </c>
      <c r="Q441" s="7">
        <v>925867.83100000012</v>
      </c>
      <c r="R441" s="7">
        <v>1001145.6440000001</v>
      </c>
      <c r="S441" s="7">
        <v>917728.92599999986</v>
      </c>
      <c r="T441" s="7">
        <v>952543.77899999986</v>
      </c>
      <c r="U441" s="7">
        <v>889665.69200000004</v>
      </c>
      <c r="V441" s="7">
        <v>546893.04999999981</v>
      </c>
      <c r="W441" s="7">
        <v>265424.64100000006</v>
      </c>
      <c r="X441" s="7">
        <v>124771.148</v>
      </c>
      <c r="Y441" s="7">
        <v>6945236.8679999998</v>
      </c>
      <c r="Z441" s="8">
        <v>2.3049384433761379E-4</v>
      </c>
      <c r="AA441" s="8">
        <v>8.1942206002774147E-5</v>
      </c>
      <c r="AB441" s="8">
        <v>7.452467586596601E-5</v>
      </c>
      <c r="AC441" s="8">
        <v>6.3926762687887195E-5</v>
      </c>
      <c r="AD441" s="8">
        <v>6.9737368177931895E-5</v>
      </c>
      <c r="AE441" s="8">
        <v>7.0337974460699308E-5</v>
      </c>
      <c r="AF441" s="8">
        <v>4.2712673245356525E-5</v>
      </c>
      <c r="AG441" s="8">
        <v>1.9930770742103971E-4</v>
      </c>
      <c r="AH441" s="8">
        <v>6.2541292087496861E-4</v>
      </c>
      <c r="AI441" s="8">
        <v>3.4943975990346741E-3</v>
      </c>
      <c r="AJ441" s="8">
        <v>1.709084978035914E-4</v>
      </c>
    </row>
    <row r="442" spans="1:36" x14ac:dyDescent="0.2">
      <c r="A442" t="s">
        <v>498</v>
      </c>
      <c r="B442">
        <v>2016</v>
      </c>
      <c r="C442" t="s">
        <v>506</v>
      </c>
      <c r="D442" s="7">
        <v>71</v>
      </c>
      <c r="E442" s="7">
        <v>65</v>
      </c>
      <c r="F442" s="7">
        <v>75</v>
      </c>
      <c r="G442" s="7">
        <v>45</v>
      </c>
      <c r="H442" s="7">
        <v>41</v>
      </c>
      <c r="I442" s="7">
        <v>47</v>
      </c>
      <c r="J442" s="7">
        <v>82</v>
      </c>
      <c r="K442" s="7">
        <v>102</v>
      </c>
      <c r="L442" s="7">
        <v>177</v>
      </c>
      <c r="M442" s="7">
        <v>365</v>
      </c>
      <c r="N442" s="7">
        <v>1070</v>
      </c>
      <c r="O442" s="7">
        <v>443365.13500000001</v>
      </c>
      <c r="P442" s="7">
        <v>882630.18600000022</v>
      </c>
      <c r="Q442" s="7">
        <v>924086.68499999982</v>
      </c>
      <c r="R442" s="7">
        <v>1015086.5590000001</v>
      </c>
      <c r="S442" s="7">
        <v>915660.19500000007</v>
      </c>
      <c r="T442" s="7">
        <v>945953.46200000017</v>
      </c>
      <c r="U442" s="7">
        <v>902154.277</v>
      </c>
      <c r="V442" s="7">
        <v>577679.47100000014</v>
      </c>
      <c r="W442" s="7">
        <v>271587.99799999996</v>
      </c>
      <c r="X442" s="7">
        <v>124636.997</v>
      </c>
      <c r="Y442" s="7">
        <v>7002840.9650000008</v>
      </c>
      <c r="Z442" s="8">
        <v>1.6013888868370311E-4</v>
      </c>
      <c r="AA442" s="8">
        <v>7.364352707510955E-5</v>
      </c>
      <c r="AB442" s="8">
        <v>8.1161217034525298E-5</v>
      </c>
      <c r="AC442" s="8">
        <v>4.4331194813899604E-5</v>
      </c>
      <c r="AD442" s="8">
        <v>4.4776435869858902E-5</v>
      </c>
      <c r="AE442" s="8">
        <v>4.9685319508878749E-5</v>
      </c>
      <c r="AF442" s="8">
        <v>9.0893544586055313E-5</v>
      </c>
      <c r="AG442" s="8">
        <v>1.7656850402426709E-4</v>
      </c>
      <c r="AH442" s="8">
        <v>6.5172246676379274E-4</v>
      </c>
      <c r="AI442" s="8">
        <v>2.9285044471987717E-3</v>
      </c>
      <c r="AJ442" s="8">
        <v>1.5279513062596017E-4</v>
      </c>
    </row>
    <row r="443" spans="1:36" x14ac:dyDescent="0.2">
      <c r="A443" t="s">
        <v>498</v>
      </c>
      <c r="B443">
        <v>2017</v>
      </c>
      <c r="C443" t="s">
        <v>507</v>
      </c>
      <c r="D443" s="7">
        <v>122</v>
      </c>
      <c r="E443" s="7">
        <v>45</v>
      </c>
      <c r="F443" s="7">
        <v>44</v>
      </c>
      <c r="G443" s="7">
        <v>68</v>
      </c>
      <c r="H443" s="7">
        <v>59</v>
      </c>
      <c r="I443" s="7">
        <v>60</v>
      </c>
      <c r="J443" s="7">
        <v>97</v>
      </c>
      <c r="K443" s="7">
        <v>150</v>
      </c>
      <c r="L443" s="7">
        <v>236</v>
      </c>
      <c r="M443" s="7">
        <v>488</v>
      </c>
      <c r="N443" s="7">
        <v>1369</v>
      </c>
      <c r="O443" s="7">
        <v>442652</v>
      </c>
      <c r="P443" s="7">
        <v>887651</v>
      </c>
      <c r="Q443" s="7">
        <v>917135</v>
      </c>
      <c r="R443" s="7">
        <v>1042519</v>
      </c>
      <c r="S443" s="7">
        <v>930595</v>
      </c>
      <c r="T443" s="7">
        <v>942242</v>
      </c>
      <c r="U443" s="7">
        <v>919015</v>
      </c>
      <c r="V443" s="7">
        <v>612201</v>
      </c>
      <c r="W443" s="7">
        <v>280157</v>
      </c>
      <c r="X443" s="7">
        <v>125907</v>
      </c>
      <c r="Y443" s="7">
        <v>7100074</v>
      </c>
      <c r="Z443" s="8">
        <v>2.7561154134624944E-4</v>
      </c>
      <c r="AA443" s="8">
        <v>5.0695599959894145E-5</v>
      </c>
      <c r="AB443" s="8">
        <v>4.7975488886587037E-5</v>
      </c>
      <c r="AC443" s="8">
        <v>6.5226628963117213E-5</v>
      </c>
      <c r="AD443" s="8">
        <v>6.3400297659024608E-5</v>
      </c>
      <c r="AE443" s="8">
        <v>6.3677908647672248E-5</v>
      </c>
      <c r="AF443" s="8">
        <v>1.0554778757691659E-4</v>
      </c>
      <c r="AG443" s="8">
        <v>2.4501756775960836E-4</v>
      </c>
      <c r="AH443" s="8">
        <v>8.4238480566253924E-4</v>
      </c>
      <c r="AI443" s="8">
        <v>3.8758766391066421E-3</v>
      </c>
      <c r="AJ443" s="8">
        <v>1.9281489178845179E-4</v>
      </c>
    </row>
    <row r="444" spans="1:36" x14ac:dyDescent="0.2">
      <c r="A444" t="s">
        <v>508</v>
      </c>
      <c r="B444">
        <v>2009</v>
      </c>
      <c r="C444" t="s">
        <v>509</v>
      </c>
      <c r="D444" s="7">
        <v>111</v>
      </c>
      <c r="E444" s="7">
        <v>48</v>
      </c>
      <c r="F444" s="7">
        <v>47</v>
      </c>
      <c r="G444" s="7">
        <v>54</v>
      </c>
      <c r="H444" s="7">
        <v>46</v>
      </c>
      <c r="I444" s="7">
        <v>44</v>
      </c>
      <c r="J444" s="7">
        <v>65</v>
      </c>
      <c r="K444" s="7">
        <v>69</v>
      </c>
      <c r="L444" s="7">
        <v>123</v>
      </c>
      <c r="M444" s="7">
        <v>174</v>
      </c>
      <c r="N444" s="7">
        <v>781</v>
      </c>
      <c r="O444" s="7">
        <v>103052.72900000001</v>
      </c>
      <c r="P444" s="7">
        <v>207112.391</v>
      </c>
      <c r="Q444" s="7">
        <v>235779.26299999995</v>
      </c>
      <c r="R444" s="7">
        <v>217248.19099999993</v>
      </c>
      <c r="S444" s="7">
        <v>236580.52999999997</v>
      </c>
      <c r="T444" s="7">
        <v>268575.61499999993</v>
      </c>
      <c r="U444" s="7">
        <v>228272.58100000012</v>
      </c>
      <c r="V444" s="7">
        <v>143809.76699999999</v>
      </c>
      <c r="W444" s="7">
        <v>96775.189999999988</v>
      </c>
      <c r="X444" s="7">
        <v>35053.653000000013</v>
      </c>
      <c r="Y444" s="7">
        <v>1772259.9099999997</v>
      </c>
      <c r="Z444" s="8">
        <v>1.0771184914472279E-3</v>
      </c>
      <c r="AA444" s="8">
        <v>2.3175822445118698E-4</v>
      </c>
      <c r="AB444" s="8">
        <v>1.9933898936650766E-4</v>
      </c>
      <c r="AC444" s="8">
        <v>2.4856363476002437E-4</v>
      </c>
      <c r="AD444" s="8">
        <v>1.9443696402235639E-4</v>
      </c>
      <c r="AE444" s="8">
        <v>1.6382723353346881E-4</v>
      </c>
      <c r="AF444" s="8">
        <v>2.8474729516463461E-4</v>
      </c>
      <c r="AG444" s="8">
        <v>4.7980051313204619E-4</v>
      </c>
      <c r="AH444" s="8">
        <v>1.2709869130714186E-3</v>
      </c>
      <c r="AI444" s="8">
        <v>4.9638193200577394E-3</v>
      </c>
      <c r="AJ444" s="8">
        <v>4.4068028374009776E-4</v>
      </c>
    </row>
    <row r="445" spans="1:36" x14ac:dyDescent="0.2">
      <c r="A445" t="s">
        <v>508</v>
      </c>
      <c r="B445">
        <v>2010</v>
      </c>
      <c r="C445" t="s">
        <v>510</v>
      </c>
      <c r="D445" s="7">
        <v>123</v>
      </c>
      <c r="E445" s="7">
        <v>61</v>
      </c>
      <c r="F445" s="7">
        <v>44</v>
      </c>
      <c r="G445" s="7">
        <v>74</v>
      </c>
      <c r="H445" s="7">
        <v>47</v>
      </c>
      <c r="I445" s="7">
        <v>64</v>
      </c>
      <c r="J445" s="7">
        <v>60</v>
      </c>
      <c r="K445" s="7">
        <v>61</v>
      </c>
      <c r="L445" s="7">
        <v>122</v>
      </c>
      <c r="M445" s="7">
        <v>186</v>
      </c>
      <c r="N445" s="7">
        <v>842</v>
      </c>
      <c r="O445" s="7">
        <v>106657.22100000001</v>
      </c>
      <c r="P445" s="7">
        <v>220851.78999999995</v>
      </c>
      <c r="Q445" s="7">
        <v>246092.24899999995</v>
      </c>
      <c r="R445" s="7">
        <v>225325.06099999999</v>
      </c>
      <c r="S445" s="7">
        <v>247463.10300000003</v>
      </c>
      <c r="T445" s="7">
        <v>284961.42700000003</v>
      </c>
      <c r="U445" s="7">
        <v>253306.49899999995</v>
      </c>
      <c r="V445" s="7">
        <v>159360.05500000002</v>
      </c>
      <c r="W445" s="7">
        <v>101273.91899999999</v>
      </c>
      <c r="X445" s="7">
        <v>35991.769000000015</v>
      </c>
      <c r="Y445" s="7">
        <v>1881283.0929999996</v>
      </c>
      <c r="Z445" s="8">
        <v>1.153227121865476E-3</v>
      </c>
      <c r="AA445" s="8">
        <v>2.7620333074954932E-4</v>
      </c>
      <c r="AB445" s="8">
        <v>1.7879474131670035E-4</v>
      </c>
      <c r="AC445" s="8">
        <v>3.284144234626436E-4</v>
      </c>
      <c r="AD445" s="8">
        <v>1.8992730403125994E-4</v>
      </c>
      <c r="AE445" s="8">
        <v>2.2459180062991472E-4</v>
      </c>
      <c r="AF445" s="8">
        <v>2.368671954208329E-4</v>
      </c>
      <c r="AG445" s="8">
        <v>3.8278099238858818E-4</v>
      </c>
      <c r="AH445" s="8">
        <v>1.2046536877870799E-3</v>
      </c>
      <c r="AI445" s="8">
        <v>5.1678482377456895E-3</v>
      </c>
      <c r="AJ445" s="8">
        <v>4.4756687769797554E-4</v>
      </c>
    </row>
    <row r="446" spans="1:36" x14ac:dyDescent="0.2">
      <c r="A446" t="s">
        <v>508</v>
      </c>
      <c r="B446">
        <v>2011</v>
      </c>
      <c r="C446" t="s">
        <v>511</v>
      </c>
      <c r="D446" s="7">
        <v>97</v>
      </c>
      <c r="E446" s="7">
        <v>74</v>
      </c>
      <c r="F446" s="7">
        <v>49</v>
      </c>
      <c r="G446" s="7">
        <v>56</v>
      </c>
      <c r="H446" s="7">
        <v>60</v>
      </c>
      <c r="I446" s="7">
        <v>51</v>
      </c>
      <c r="J446" s="7">
        <v>66</v>
      </c>
      <c r="K446" s="7">
        <v>61</v>
      </c>
      <c r="L446" s="7">
        <v>122</v>
      </c>
      <c r="M446" s="7">
        <v>158</v>
      </c>
      <c r="N446" s="7">
        <v>794</v>
      </c>
      <c r="O446" s="7">
        <v>103008.74000000002</v>
      </c>
      <c r="P446" s="7">
        <v>211896.30299999993</v>
      </c>
      <c r="Q446" s="7">
        <v>237660.94400000002</v>
      </c>
      <c r="R446" s="7">
        <v>214922.45499999993</v>
      </c>
      <c r="S446" s="7">
        <v>234576.71600000001</v>
      </c>
      <c r="T446" s="7">
        <v>270662.76400000002</v>
      </c>
      <c r="U446" s="7">
        <v>250878.84699999995</v>
      </c>
      <c r="V446" s="7">
        <v>156961.01799999995</v>
      </c>
      <c r="W446" s="7">
        <v>96926.139999999985</v>
      </c>
      <c r="X446" s="7">
        <v>35867.094000000012</v>
      </c>
      <c r="Y446" s="7">
        <v>1813361.0209999997</v>
      </c>
      <c r="Z446" s="8">
        <v>9.4166766819980504E-4</v>
      </c>
      <c r="AA446" s="8">
        <v>3.4922742375547735E-4</v>
      </c>
      <c r="AB446" s="8">
        <v>2.0617607241347992E-4</v>
      </c>
      <c r="AC446" s="8">
        <v>2.6055909327855025E-4</v>
      </c>
      <c r="AD446" s="8">
        <v>2.5577986180009443E-4</v>
      </c>
      <c r="AE446" s="8">
        <v>1.8842636218700551E-4</v>
      </c>
      <c r="AF446" s="8">
        <v>2.630751886387616E-4</v>
      </c>
      <c r="AG446" s="8">
        <v>3.8863152633222613E-4</v>
      </c>
      <c r="AH446" s="8">
        <v>1.2586903801183047E-3</v>
      </c>
      <c r="AI446" s="8">
        <v>4.4051519757915139E-3</v>
      </c>
      <c r="AJ446" s="8">
        <v>4.3786096138878026E-4</v>
      </c>
    </row>
    <row r="447" spans="1:36" x14ac:dyDescent="0.2">
      <c r="A447" t="s">
        <v>508</v>
      </c>
      <c r="B447">
        <v>2012</v>
      </c>
      <c r="C447" t="s">
        <v>512</v>
      </c>
      <c r="D447" s="7">
        <v>97</v>
      </c>
      <c r="E447" s="7">
        <v>50</v>
      </c>
      <c r="F447" s="7">
        <v>60</v>
      </c>
      <c r="G447" s="7">
        <v>53</v>
      </c>
      <c r="H447" s="7">
        <v>67</v>
      </c>
      <c r="I447" s="7">
        <v>67</v>
      </c>
      <c r="J447" s="7">
        <v>58</v>
      </c>
      <c r="K447" s="7">
        <v>43</v>
      </c>
      <c r="L447" s="7">
        <v>119</v>
      </c>
      <c r="M447" s="7">
        <v>179</v>
      </c>
      <c r="N447" s="7">
        <v>793</v>
      </c>
      <c r="O447" s="7">
        <v>102740.90699999998</v>
      </c>
      <c r="P447" s="7">
        <v>211864.43600000007</v>
      </c>
      <c r="Q447" s="7">
        <v>234155.59899999993</v>
      </c>
      <c r="R447" s="7">
        <v>213814.60800000004</v>
      </c>
      <c r="S447" s="7">
        <v>228370.03199999998</v>
      </c>
      <c r="T447" s="7">
        <v>261112.84199999998</v>
      </c>
      <c r="U447" s="7">
        <v>248115.10600000006</v>
      </c>
      <c r="V447" s="7">
        <v>156890.64599999995</v>
      </c>
      <c r="W447" s="7">
        <v>92547.417999999991</v>
      </c>
      <c r="X447" s="7">
        <v>35308.166000000012</v>
      </c>
      <c r="Y447" s="7">
        <v>1784919.7600000002</v>
      </c>
      <c r="Z447" s="8">
        <v>9.4412248083424084E-4</v>
      </c>
      <c r="AA447" s="8">
        <v>2.3599996745088441E-4</v>
      </c>
      <c r="AB447" s="8">
        <v>2.562398689428734E-4</v>
      </c>
      <c r="AC447" s="8">
        <v>2.4787829276847162E-4</v>
      </c>
      <c r="AD447" s="8">
        <v>2.9338350313845037E-4</v>
      </c>
      <c r="AE447" s="8">
        <v>2.5659404373531351E-4</v>
      </c>
      <c r="AF447" s="8">
        <v>2.3376246990781764E-4</v>
      </c>
      <c r="AG447" s="8">
        <v>2.740762505369505E-4</v>
      </c>
      <c r="AH447" s="8">
        <v>1.2858273366416339E-3</v>
      </c>
      <c r="AI447" s="8">
        <v>5.069648760572836E-3</v>
      </c>
      <c r="AJ447" s="8">
        <v>4.4427767442050162E-4</v>
      </c>
    </row>
    <row r="448" spans="1:36" x14ac:dyDescent="0.2">
      <c r="A448" t="s">
        <v>508</v>
      </c>
      <c r="B448">
        <v>2013</v>
      </c>
      <c r="C448" t="s">
        <v>513</v>
      </c>
      <c r="D448" s="7">
        <v>101</v>
      </c>
      <c r="E448" s="7">
        <v>47</v>
      </c>
      <c r="F448" s="7">
        <v>37</v>
      </c>
      <c r="G448" s="7">
        <v>47</v>
      </c>
      <c r="H448" s="7">
        <v>49</v>
      </c>
      <c r="I448" s="7">
        <v>55</v>
      </c>
      <c r="J448" s="7">
        <v>66</v>
      </c>
      <c r="K448" s="7">
        <v>89</v>
      </c>
      <c r="L448" s="7">
        <v>125</v>
      </c>
      <c r="M448" s="7">
        <v>194</v>
      </c>
      <c r="N448" s="7">
        <v>810</v>
      </c>
      <c r="O448" s="7">
        <v>104006.58899999999</v>
      </c>
      <c r="P448" s="7">
        <v>216715.171</v>
      </c>
      <c r="Q448" s="7">
        <v>239772.72500000001</v>
      </c>
      <c r="R448" s="7">
        <v>221179.50999999998</v>
      </c>
      <c r="S448" s="7">
        <v>237084.77499999991</v>
      </c>
      <c r="T448" s="7">
        <v>273507.37899999996</v>
      </c>
      <c r="U448" s="7">
        <v>269729.33100000001</v>
      </c>
      <c r="V448" s="7">
        <v>169285.61000000002</v>
      </c>
      <c r="W448" s="7">
        <v>98034.27900000001</v>
      </c>
      <c r="X448" s="7">
        <v>37013.311999999998</v>
      </c>
      <c r="Y448" s="7">
        <v>1866328.6809999999</v>
      </c>
      <c r="Z448" s="8">
        <v>9.7109232185280114E-4</v>
      </c>
      <c r="AA448" s="8">
        <v>2.1687452605706131E-4</v>
      </c>
      <c r="AB448" s="8">
        <v>1.5431279767121135E-4</v>
      </c>
      <c r="AC448" s="8">
        <v>2.1249707986060735E-4</v>
      </c>
      <c r="AD448" s="8">
        <v>2.0667712635701732E-4</v>
      </c>
      <c r="AE448" s="8">
        <v>2.0109146671322533E-4</v>
      </c>
      <c r="AF448" s="8">
        <v>2.4468974047171755E-4</v>
      </c>
      <c r="AG448" s="8">
        <v>5.2573872049727077E-4</v>
      </c>
      <c r="AH448" s="8">
        <v>1.2750642048379832E-3</v>
      </c>
      <c r="AI448" s="8">
        <v>5.2413574878141141E-3</v>
      </c>
      <c r="AJ448" s="8">
        <v>4.3400715439147241E-4</v>
      </c>
    </row>
    <row r="449" spans="1:36" x14ac:dyDescent="0.2">
      <c r="A449" t="s">
        <v>508</v>
      </c>
      <c r="B449">
        <v>2014</v>
      </c>
      <c r="C449" t="s">
        <v>514</v>
      </c>
      <c r="D449" s="7">
        <v>140</v>
      </c>
      <c r="E449" s="7">
        <v>64</v>
      </c>
      <c r="F449" s="7">
        <v>32</v>
      </c>
      <c r="G449" s="7">
        <v>55</v>
      </c>
      <c r="H449" s="7">
        <v>48</v>
      </c>
      <c r="I449" s="7">
        <v>58</v>
      </c>
      <c r="J449" s="7">
        <v>83</v>
      </c>
      <c r="K449" s="7">
        <v>68</v>
      </c>
      <c r="L449" s="7">
        <v>86</v>
      </c>
      <c r="M449" s="7">
        <v>181</v>
      </c>
      <c r="N449" s="7">
        <v>815</v>
      </c>
      <c r="O449" s="7">
        <v>108577.28500000003</v>
      </c>
      <c r="P449" s="7">
        <v>223260.63299999991</v>
      </c>
      <c r="Q449" s="7">
        <v>245379.07400000005</v>
      </c>
      <c r="R449" s="7">
        <v>228330.62499999994</v>
      </c>
      <c r="S449" s="7">
        <v>239359.98599999998</v>
      </c>
      <c r="T449" s="7">
        <v>271149.19</v>
      </c>
      <c r="U449" s="7">
        <v>280810.08399999997</v>
      </c>
      <c r="V449" s="7">
        <v>182525.70899999994</v>
      </c>
      <c r="W449" s="7">
        <v>101930.43300000002</v>
      </c>
      <c r="X449" s="7">
        <v>40147.676999999989</v>
      </c>
      <c r="Y449" s="7">
        <v>1921470.6959999998</v>
      </c>
      <c r="Z449" s="8">
        <v>1.2894041327336557E-3</v>
      </c>
      <c r="AA449" s="8">
        <v>2.8666047901064592E-4</v>
      </c>
      <c r="AB449" s="8">
        <v>1.3041046849822244E-4</v>
      </c>
      <c r="AC449" s="8">
        <v>2.4087876954744907E-4</v>
      </c>
      <c r="AD449" s="8">
        <v>2.0053477108742814E-4</v>
      </c>
      <c r="AE449" s="8">
        <v>2.1390438230702442E-4</v>
      </c>
      <c r="AF449" s="8">
        <v>2.9557343104530393E-4</v>
      </c>
      <c r="AG449" s="8">
        <v>3.7255025811185874E-4</v>
      </c>
      <c r="AH449" s="8">
        <v>8.4371269177282884E-4</v>
      </c>
      <c r="AI449" s="8">
        <v>4.5083554896588425E-3</v>
      </c>
      <c r="AJ449" s="8">
        <v>4.2415426979792987E-4</v>
      </c>
    </row>
    <row r="450" spans="1:36" x14ac:dyDescent="0.2">
      <c r="A450" t="s">
        <v>508</v>
      </c>
      <c r="B450">
        <v>2015</v>
      </c>
      <c r="C450" t="s">
        <v>515</v>
      </c>
      <c r="D450" s="7">
        <v>127</v>
      </c>
      <c r="E450" s="7">
        <v>42</v>
      </c>
      <c r="F450" s="7">
        <v>51</v>
      </c>
      <c r="G450" s="7">
        <v>61</v>
      </c>
      <c r="H450" s="7">
        <v>52</v>
      </c>
      <c r="I450" s="7">
        <v>58</v>
      </c>
      <c r="J450" s="7">
        <v>50</v>
      </c>
      <c r="K450" s="7">
        <v>101</v>
      </c>
      <c r="L450" s="7">
        <v>114</v>
      </c>
      <c r="M450" s="7">
        <v>215</v>
      </c>
      <c r="N450" s="7">
        <v>871</v>
      </c>
      <c r="O450" s="7">
        <v>94981.095999999976</v>
      </c>
      <c r="P450" s="7">
        <v>195820.99499999997</v>
      </c>
      <c r="Q450" s="7">
        <v>220865.08000000002</v>
      </c>
      <c r="R450" s="7">
        <v>200473.13200000001</v>
      </c>
      <c r="S450" s="7">
        <v>207663.67199999996</v>
      </c>
      <c r="T450" s="7">
        <v>231586.53500000003</v>
      </c>
      <c r="U450" s="7">
        <v>240584.99899999995</v>
      </c>
      <c r="V450" s="7">
        <v>161310.69999999998</v>
      </c>
      <c r="W450" s="7">
        <v>87311.702000000005</v>
      </c>
      <c r="X450" s="7">
        <v>36338.036000000007</v>
      </c>
      <c r="Y450" s="7">
        <v>1676935.9469999997</v>
      </c>
      <c r="Z450" s="8">
        <v>1.3371081757153026E-3</v>
      </c>
      <c r="AA450" s="8">
        <v>2.1448159835976734E-4</v>
      </c>
      <c r="AB450" s="8">
        <v>2.3091020092447389E-4</v>
      </c>
      <c r="AC450" s="8">
        <v>3.0428017655752493E-4</v>
      </c>
      <c r="AD450" s="8">
        <v>2.50404895084394E-4</v>
      </c>
      <c r="AE450" s="8">
        <v>2.5044633963714684E-4</v>
      </c>
      <c r="AF450" s="8">
        <v>2.0782675648035732E-4</v>
      </c>
      <c r="AG450" s="8">
        <v>6.2612089588601379E-4</v>
      </c>
      <c r="AH450" s="8">
        <v>1.3056669081997737E-3</v>
      </c>
      <c r="AI450" s="8">
        <v>5.9166653916023406E-3</v>
      </c>
      <c r="AJ450" s="8">
        <v>5.193996834275031E-4</v>
      </c>
    </row>
    <row r="451" spans="1:36" x14ac:dyDescent="0.2">
      <c r="A451" t="s">
        <v>508</v>
      </c>
      <c r="B451">
        <v>2016</v>
      </c>
      <c r="C451" t="s">
        <v>516</v>
      </c>
      <c r="D451" s="7">
        <v>99</v>
      </c>
      <c r="E451" s="7">
        <v>56</v>
      </c>
      <c r="F451" s="7">
        <v>41</v>
      </c>
      <c r="G451" s="7">
        <v>41</v>
      </c>
      <c r="H451" s="7">
        <v>69</v>
      </c>
      <c r="I451" s="7">
        <v>53</v>
      </c>
      <c r="J451" s="7">
        <v>61</v>
      </c>
      <c r="K451" s="7">
        <v>82</v>
      </c>
      <c r="L451" s="7">
        <v>88</v>
      </c>
      <c r="M451" s="7">
        <v>154</v>
      </c>
      <c r="N451" s="7">
        <v>744</v>
      </c>
      <c r="O451" s="7">
        <v>102524.13400000003</v>
      </c>
      <c r="P451" s="7">
        <v>212908.90199999997</v>
      </c>
      <c r="Q451" s="7">
        <v>233946.13500000004</v>
      </c>
      <c r="R451" s="7">
        <v>218566.27200000006</v>
      </c>
      <c r="S451" s="7">
        <v>225459.24699999997</v>
      </c>
      <c r="T451" s="7">
        <v>248462.54999999993</v>
      </c>
      <c r="U451" s="7">
        <v>262769.85000000003</v>
      </c>
      <c r="V451" s="7">
        <v>184996.07299999997</v>
      </c>
      <c r="W451" s="7">
        <v>96566.765000000014</v>
      </c>
      <c r="X451" s="7">
        <v>37528.494999999988</v>
      </c>
      <c r="Y451" s="7">
        <v>1823728.4230000002</v>
      </c>
      <c r="Z451" s="8">
        <v>9.6562629829187311E-4</v>
      </c>
      <c r="AA451" s="8">
        <v>2.6302329059026385E-4</v>
      </c>
      <c r="AB451" s="8">
        <v>1.7525401734035912E-4</v>
      </c>
      <c r="AC451" s="8">
        <v>1.8758612490768928E-4</v>
      </c>
      <c r="AD451" s="8">
        <v>3.0604200501033348E-4</v>
      </c>
      <c r="AE451" s="8">
        <v>2.1331182506176491E-4</v>
      </c>
      <c r="AF451" s="8">
        <v>2.3214231008618374E-4</v>
      </c>
      <c r="AG451" s="8">
        <v>4.4325265217927092E-4</v>
      </c>
      <c r="AH451" s="8">
        <v>9.1128661087486965E-4</v>
      </c>
      <c r="AI451" s="8">
        <v>4.1035485169336004E-3</v>
      </c>
      <c r="AJ451" s="8">
        <v>4.0795547769998205E-4</v>
      </c>
    </row>
    <row r="452" spans="1:36" x14ac:dyDescent="0.2">
      <c r="A452" t="s">
        <v>508</v>
      </c>
      <c r="B452">
        <v>2017</v>
      </c>
      <c r="C452" t="s">
        <v>517</v>
      </c>
      <c r="D452" s="7">
        <v>100</v>
      </c>
      <c r="E452" s="7">
        <v>51</v>
      </c>
      <c r="F452" s="7">
        <v>30</v>
      </c>
      <c r="G452" s="7">
        <v>65</v>
      </c>
      <c r="H452" s="7">
        <v>58</v>
      </c>
      <c r="I452" s="7">
        <v>64</v>
      </c>
      <c r="J452" s="7">
        <v>58</v>
      </c>
      <c r="K452" s="7">
        <v>78</v>
      </c>
      <c r="L452" s="7">
        <v>118</v>
      </c>
      <c r="M452" s="7">
        <v>162</v>
      </c>
      <c r="N452" s="7">
        <v>784</v>
      </c>
      <c r="O452" s="7">
        <v>97919</v>
      </c>
      <c r="P452" s="7">
        <v>207767</v>
      </c>
      <c r="Q452" s="7">
        <v>224618</v>
      </c>
      <c r="R452" s="7">
        <v>213472</v>
      </c>
      <c r="S452" s="7">
        <v>214790</v>
      </c>
      <c r="T452" s="7">
        <v>237863</v>
      </c>
      <c r="U452" s="7">
        <v>257692</v>
      </c>
      <c r="V452" s="7">
        <v>187986</v>
      </c>
      <c r="W452" s="7">
        <v>97923</v>
      </c>
      <c r="X452" s="7">
        <v>37589</v>
      </c>
      <c r="Y452" s="7">
        <v>1777619</v>
      </c>
      <c r="Z452" s="8">
        <v>1.0212522595206242E-3</v>
      </c>
      <c r="AA452" s="8">
        <v>2.4546727824919259E-4</v>
      </c>
      <c r="AB452" s="8">
        <v>1.3356008868389889E-4</v>
      </c>
      <c r="AC452" s="8">
        <v>3.0448958177184832E-4</v>
      </c>
      <c r="AD452" s="8">
        <v>2.7003119325853158E-4</v>
      </c>
      <c r="AE452" s="8">
        <v>2.6906244350739713E-4</v>
      </c>
      <c r="AF452" s="8">
        <v>2.2507489561181566E-4</v>
      </c>
      <c r="AG452" s="8">
        <v>4.1492451565542114E-4</v>
      </c>
      <c r="AH452" s="8">
        <v>1.205028440713622E-3</v>
      </c>
      <c r="AI452" s="8">
        <v>4.3097714756976779E-3</v>
      </c>
      <c r="AJ452" s="8">
        <v>4.4103939033054892E-4</v>
      </c>
    </row>
    <row r="453" spans="1:36" x14ac:dyDescent="0.2">
      <c r="A453" t="s">
        <v>518</v>
      </c>
      <c r="B453">
        <v>2009</v>
      </c>
      <c r="C453" t="s">
        <v>519</v>
      </c>
      <c r="D453" s="7">
        <v>115</v>
      </c>
      <c r="E453" s="7">
        <v>63</v>
      </c>
      <c r="F453" s="7">
        <v>59</v>
      </c>
      <c r="G453" s="7">
        <v>52</v>
      </c>
      <c r="H453" s="7">
        <v>47</v>
      </c>
      <c r="I453" s="7">
        <v>71</v>
      </c>
      <c r="J453" s="7">
        <v>59</v>
      </c>
      <c r="K453" s="7">
        <v>87</v>
      </c>
      <c r="L453" s="7">
        <v>234</v>
      </c>
      <c r="M453" s="7">
        <v>514</v>
      </c>
      <c r="N453" s="7">
        <v>1301</v>
      </c>
      <c r="O453" s="7">
        <v>356612.68</v>
      </c>
      <c r="P453" s="7">
        <v>723103.33299999975</v>
      </c>
      <c r="Q453" s="7">
        <v>826691.03999999992</v>
      </c>
      <c r="R453" s="7">
        <v>687415.73300000036</v>
      </c>
      <c r="S453" s="7">
        <v>786252.96199999994</v>
      </c>
      <c r="T453" s="7">
        <v>860910.71599999978</v>
      </c>
      <c r="U453" s="7">
        <v>620627.3670000002</v>
      </c>
      <c r="V453" s="7">
        <v>369176.98999999993</v>
      </c>
      <c r="W453" s="7">
        <v>261492.45700000011</v>
      </c>
      <c r="X453" s="7">
        <v>108896.36799999999</v>
      </c>
      <c r="Y453" s="7">
        <v>5601179.6460000006</v>
      </c>
      <c r="Z453" s="8">
        <v>3.2247871836750167E-4</v>
      </c>
      <c r="AA453" s="8">
        <v>8.712447740854213E-5</v>
      </c>
      <c r="AB453" s="8">
        <v>7.1368863511572602E-5</v>
      </c>
      <c r="AC453" s="8">
        <v>7.5645635535664959E-5</v>
      </c>
      <c r="AD453" s="8">
        <v>5.9777199287676585E-5</v>
      </c>
      <c r="AE453" s="8">
        <v>8.2470805253630989E-5</v>
      </c>
      <c r="AF453" s="8">
        <v>9.5065095638942362E-5</v>
      </c>
      <c r="AG453" s="8">
        <v>2.3565932427153713E-4</v>
      </c>
      <c r="AH453" s="8">
        <v>8.9486328854220031E-4</v>
      </c>
      <c r="AI453" s="8">
        <v>4.7200839609269621E-3</v>
      </c>
      <c r="AJ453" s="8">
        <v>2.3227250012041478E-4</v>
      </c>
    </row>
    <row r="454" spans="1:36" x14ac:dyDescent="0.2">
      <c r="A454" t="s">
        <v>518</v>
      </c>
      <c r="B454">
        <v>2010</v>
      </c>
      <c r="C454" t="s">
        <v>520</v>
      </c>
      <c r="D454" s="7">
        <v>111</v>
      </c>
      <c r="E454" s="7">
        <v>60</v>
      </c>
      <c r="F454" s="7">
        <v>54</v>
      </c>
      <c r="G454" s="7">
        <v>71</v>
      </c>
      <c r="H454" s="7">
        <v>36</v>
      </c>
      <c r="I454" s="7">
        <v>32</v>
      </c>
      <c r="J454" s="7">
        <v>66</v>
      </c>
      <c r="K454" s="7">
        <v>61</v>
      </c>
      <c r="L454" s="7">
        <v>225</v>
      </c>
      <c r="M454" s="7">
        <v>501</v>
      </c>
      <c r="N454" s="7">
        <v>1217</v>
      </c>
      <c r="O454" s="7">
        <v>352802.071</v>
      </c>
      <c r="P454" s="7">
        <v>741260.86800000002</v>
      </c>
      <c r="Q454" s="7">
        <v>795699.28099999996</v>
      </c>
      <c r="R454" s="7">
        <v>697098.72800000012</v>
      </c>
      <c r="S454" s="7">
        <v>758612.44600000011</v>
      </c>
      <c r="T454" s="7">
        <v>861930.98699999996</v>
      </c>
      <c r="U454" s="7">
        <v>647185.86399999994</v>
      </c>
      <c r="V454" s="7">
        <v>374887.33299999993</v>
      </c>
      <c r="W454" s="7">
        <v>259910.94900000002</v>
      </c>
      <c r="X454" s="7">
        <v>110653.67700000001</v>
      </c>
      <c r="Y454" s="7">
        <v>5600042.2039999999</v>
      </c>
      <c r="Z454" s="8">
        <v>3.1462400344016119E-4</v>
      </c>
      <c r="AA454" s="8">
        <v>8.0943163992841456E-5</v>
      </c>
      <c r="AB454" s="8">
        <v>6.7864834478843772E-5</v>
      </c>
      <c r="AC454" s="8">
        <v>1.0185070944498981E-4</v>
      </c>
      <c r="AD454" s="8">
        <v>4.7455061131438377E-5</v>
      </c>
      <c r="AE454" s="8">
        <v>3.7125942195648203E-5</v>
      </c>
      <c r="AF454" s="8">
        <v>1.0197997773325903E-4</v>
      </c>
      <c r="AG454" s="8">
        <v>1.6271555379546529E-4</v>
      </c>
      <c r="AH454" s="8">
        <v>8.6568111449587294E-4</v>
      </c>
      <c r="AI454" s="8">
        <v>4.5276398722836836E-3</v>
      </c>
      <c r="AJ454" s="8">
        <v>2.1731979075634839E-4</v>
      </c>
    </row>
    <row r="455" spans="1:36" x14ac:dyDescent="0.2">
      <c r="A455" t="s">
        <v>518</v>
      </c>
      <c r="B455">
        <v>2011</v>
      </c>
      <c r="C455" t="s">
        <v>521</v>
      </c>
      <c r="D455" s="7">
        <v>124</v>
      </c>
      <c r="E455" s="7">
        <v>52</v>
      </c>
      <c r="F455" s="7">
        <v>52</v>
      </c>
      <c r="G455" s="7">
        <v>55</v>
      </c>
      <c r="H455" s="7">
        <v>48</v>
      </c>
      <c r="I455" s="7">
        <v>55</v>
      </c>
      <c r="J455" s="7">
        <v>40</v>
      </c>
      <c r="K455" s="7">
        <v>78</v>
      </c>
      <c r="L455" s="7">
        <v>241</v>
      </c>
      <c r="M455" s="7">
        <v>532</v>
      </c>
      <c r="N455" s="7">
        <v>1277</v>
      </c>
      <c r="O455" s="7">
        <v>342937.75700000004</v>
      </c>
      <c r="P455" s="7">
        <v>716424.82899999991</v>
      </c>
      <c r="Q455" s="7">
        <v>769875.56700000027</v>
      </c>
      <c r="R455" s="7">
        <v>686946.38899999997</v>
      </c>
      <c r="S455" s="7">
        <v>717252.41899999988</v>
      </c>
      <c r="T455" s="7">
        <v>832210.02500000014</v>
      </c>
      <c r="U455" s="7">
        <v>650993.71100000001</v>
      </c>
      <c r="V455" s="7">
        <v>372765.93699999992</v>
      </c>
      <c r="W455" s="7">
        <v>251435.00600000005</v>
      </c>
      <c r="X455" s="7">
        <v>109637.28299999998</v>
      </c>
      <c r="Y455" s="7">
        <v>5450478.9230000004</v>
      </c>
      <c r="Z455" s="8">
        <v>3.6158164993188542E-4</v>
      </c>
      <c r="AA455" s="8">
        <v>7.2582632392267368E-5</v>
      </c>
      <c r="AB455" s="8">
        <v>6.7543382630819322E-5</v>
      </c>
      <c r="AC455" s="8">
        <v>8.0064472105406185E-5</v>
      </c>
      <c r="AD455" s="8">
        <v>6.6922046867296808E-5</v>
      </c>
      <c r="AE455" s="8">
        <v>6.6089086105397481E-5</v>
      </c>
      <c r="AF455" s="8">
        <v>6.1444525997886323E-5</v>
      </c>
      <c r="AG455" s="8">
        <v>2.0924658681997549E-4</v>
      </c>
      <c r="AH455" s="8">
        <v>9.5849819734329254E-4</v>
      </c>
      <c r="AI455" s="8">
        <v>4.852363953601441E-3</v>
      </c>
      <c r="AJ455" s="8">
        <v>2.3429133807146727E-4</v>
      </c>
    </row>
    <row r="456" spans="1:36" x14ac:dyDescent="0.2">
      <c r="A456" t="s">
        <v>518</v>
      </c>
      <c r="B456">
        <v>2012</v>
      </c>
      <c r="C456" t="s">
        <v>522</v>
      </c>
      <c r="D456" s="7">
        <v>87</v>
      </c>
      <c r="E456" s="7">
        <v>46</v>
      </c>
      <c r="F456" s="7">
        <v>63</v>
      </c>
      <c r="G456" s="7">
        <v>43</v>
      </c>
      <c r="H456" s="7">
        <v>47</v>
      </c>
      <c r="I456" s="7">
        <v>33</v>
      </c>
      <c r="J456" s="7">
        <v>46</v>
      </c>
      <c r="K456" s="7">
        <v>70</v>
      </c>
      <c r="L456" s="7">
        <v>257</v>
      </c>
      <c r="M456" s="7">
        <v>546</v>
      </c>
      <c r="N456" s="7">
        <v>1238</v>
      </c>
      <c r="O456" s="7">
        <v>372734.53100000002</v>
      </c>
      <c r="P456" s="7">
        <v>779805.79099999974</v>
      </c>
      <c r="Q456" s="7">
        <v>826314.68299999973</v>
      </c>
      <c r="R456" s="7">
        <v>753507.29700000025</v>
      </c>
      <c r="S456" s="7">
        <v>763540.5149999999</v>
      </c>
      <c r="T456" s="7">
        <v>909270.14900000009</v>
      </c>
      <c r="U456" s="7">
        <v>743279.62800000026</v>
      </c>
      <c r="V456" s="7">
        <v>427679.75600000005</v>
      </c>
      <c r="W456" s="7">
        <v>273361.77899999998</v>
      </c>
      <c r="X456" s="7">
        <v>121166.33599999995</v>
      </c>
      <c r="Y456" s="7">
        <v>5970660.4650000008</v>
      </c>
      <c r="Z456" s="8">
        <v>2.3341008885490139E-4</v>
      </c>
      <c r="AA456" s="8">
        <v>5.8989046415019527E-5</v>
      </c>
      <c r="AB456" s="8">
        <v>7.6242140308185744E-5</v>
      </c>
      <c r="AC456" s="8">
        <v>5.7066467930966814E-5</v>
      </c>
      <c r="AD456" s="8">
        <v>6.1555345232728096E-5</v>
      </c>
      <c r="AE456" s="8">
        <v>3.6292844361263638E-5</v>
      </c>
      <c r="AF456" s="8">
        <v>6.1887879429409014E-5</v>
      </c>
      <c r="AG456" s="8">
        <v>1.636738681641036E-4</v>
      </c>
      <c r="AH456" s="8">
        <v>9.4014606189697072E-4</v>
      </c>
      <c r="AI456" s="8">
        <v>4.5062021187138998E-3</v>
      </c>
      <c r="AJ456" s="8">
        <v>2.0734724529340655E-4</v>
      </c>
    </row>
    <row r="457" spans="1:36" x14ac:dyDescent="0.2">
      <c r="A457" t="s">
        <v>518</v>
      </c>
      <c r="B457">
        <v>2013</v>
      </c>
      <c r="C457" t="s">
        <v>523</v>
      </c>
      <c r="D457" s="7">
        <v>117</v>
      </c>
      <c r="E457" s="7">
        <v>55</v>
      </c>
      <c r="F457" s="7">
        <v>49</v>
      </c>
      <c r="G457" s="7">
        <v>57</v>
      </c>
      <c r="H457" s="7">
        <v>59</v>
      </c>
      <c r="I457" s="7">
        <v>58</v>
      </c>
      <c r="J457" s="7">
        <v>61</v>
      </c>
      <c r="K457" s="7">
        <v>100</v>
      </c>
      <c r="L457" s="7">
        <v>233</v>
      </c>
      <c r="M457" s="7">
        <v>642</v>
      </c>
      <c r="N457" s="7">
        <v>1431</v>
      </c>
      <c r="O457" s="7">
        <v>345495.31899999996</v>
      </c>
      <c r="P457" s="7">
        <v>728173.12999999977</v>
      </c>
      <c r="Q457" s="7">
        <v>777201.20999999985</v>
      </c>
      <c r="R457" s="7">
        <v>715220.52500000002</v>
      </c>
      <c r="S457" s="7">
        <v>702748.81600000022</v>
      </c>
      <c r="T457" s="7">
        <v>842062.28800000018</v>
      </c>
      <c r="U457" s="7">
        <v>709697.55999999994</v>
      </c>
      <c r="V457" s="7">
        <v>408751.78399999987</v>
      </c>
      <c r="W457" s="7">
        <v>252233.97000000003</v>
      </c>
      <c r="X457" s="7">
        <v>117273.65499999998</v>
      </c>
      <c r="Y457" s="7">
        <v>5598858.2569999993</v>
      </c>
      <c r="Z457" s="8">
        <v>3.3864424079215968E-4</v>
      </c>
      <c r="AA457" s="8">
        <v>7.553148795809043E-5</v>
      </c>
      <c r="AB457" s="8">
        <v>6.3046736635934995E-5</v>
      </c>
      <c r="AC457" s="8">
        <v>7.9695699448781895E-5</v>
      </c>
      <c r="AD457" s="8">
        <v>8.3956029034419583E-5</v>
      </c>
      <c r="AE457" s="8">
        <v>6.8878515077259924E-5</v>
      </c>
      <c r="AF457" s="8">
        <v>8.595210613377338E-5</v>
      </c>
      <c r="AG457" s="8">
        <v>2.4464725027353038E-4</v>
      </c>
      <c r="AH457" s="8">
        <v>9.2374552087492404E-4</v>
      </c>
      <c r="AI457" s="8">
        <v>5.4743752976744867E-3</v>
      </c>
      <c r="AJ457" s="8">
        <v>2.555878242159257E-4</v>
      </c>
    </row>
    <row r="458" spans="1:36" x14ac:dyDescent="0.2">
      <c r="A458" t="s">
        <v>518</v>
      </c>
      <c r="B458">
        <v>2014</v>
      </c>
      <c r="C458" t="s">
        <v>524</v>
      </c>
      <c r="D458" s="7">
        <v>101</v>
      </c>
      <c r="E458" s="7">
        <v>63</v>
      </c>
      <c r="F458" s="7">
        <v>68</v>
      </c>
      <c r="G458" s="7">
        <v>42</v>
      </c>
      <c r="H458" s="7">
        <v>46</v>
      </c>
      <c r="I458" s="7">
        <v>73</v>
      </c>
      <c r="J458" s="7">
        <v>58</v>
      </c>
      <c r="K458" s="7">
        <v>83</v>
      </c>
      <c r="L458" s="7">
        <v>193</v>
      </c>
      <c r="M458" s="7">
        <v>560</v>
      </c>
      <c r="N458" s="7">
        <v>1287</v>
      </c>
      <c r="O458" s="7">
        <v>344165.7080000001</v>
      </c>
      <c r="P458" s="7">
        <v>734668.0560000001</v>
      </c>
      <c r="Q458" s="7">
        <v>783003.67099999974</v>
      </c>
      <c r="R458" s="7">
        <v>724271.63100000017</v>
      </c>
      <c r="S458" s="7">
        <v>698781.62099999981</v>
      </c>
      <c r="T458" s="7">
        <v>840070.8520000003</v>
      </c>
      <c r="U458" s="7">
        <v>741174.67699999979</v>
      </c>
      <c r="V458" s="7">
        <v>435391.01</v>
      </c>
      <c r="W458" s="7">
        <v>258240.84299999999</v>
      </c>
      <c r="X458" s="7">
        <v>120649.95100000002</v>
      </c>
      <c r="Y458" s="7">
        <v>5680418.0200000005</v>
      </c>
      <c r="Z458" s="8">
        <v>2.93463287167471E-4</v>
      </c>
      <c r="AA458" s="8">
        <v>8.575301387542566E-5</v>
      </c>
      <c r="AB458" s="8">
        <v>8.6845058993344131E-5</v>
      </c>
      <c r="AC458" s="8">
        <v>5.798929324625168E-5</v>
      </c>
      <c r="AD458" s="8">
        <v>6.5828863578539957E-5</v>
      </c>
      <c r="AE458" s="8">
        <v>8.68974323132449E-5</v>
      </c>
      <c r="AF458" s="8">
        <v>7.825415762281908E-5</v>
      </c>
      <c r="AG458" s="8">
        <v>1.9063324251917833E-4</v>
      </c>
      <c r="AH458" s="8">
        <v>7.4736435088232735E-4</v>
      </c>
      <c r="AI458" s="8">
        <v>4.6415269576031565E-3</v>
      </c>
      <c r="AJ458" s="8">
        <v>2.2656783276664555E-4</v>
      </c>
    </row>
    <row r="459" spans="1:36" x14ac:dyDescent="0.2">
      <c r="A459" t="s">
        <v>518</v>
      </c>
      <c r="B459">
        <v>2015</v>
      </c>
      <c r="C459" t="s">
        <v>525</v>
      </c>
      <c r="D459" s="7">
        <v>86</v>
      </c>
      <c r="E459" s="7">
        <v>51</v>
      </c>
      <c r="F459" s="7">
        <v>61</v>
      </c>
      <c r="G459" s="7">
        <v>52</v>
      </c>
      <c r="H459" s="7">
        <v>38</v>
      </c>
      <c r="I459" s="7">
        <v>45</v>
      </c>
      <c r="J459" s="7">
        <v>48</v>
      </c>
      <c r="K459" s="7">
        <v>95</v>
      </c>
      <c r="L459" s="7">
        <v>244</v>
      </c>
      <c r="M459" s="7">
        <v>595</v>
      </c>
      <c r="N459" s="7">
        <v>1315</v>
      </c>
      <c r="O459" s="7">
        <v>342008.89399999997</v>
      </c>
      <c r="P459" s="7">
        <v>731318.73699999996</v>
      </c>
      <c r="Q459" s="7">
        <v>787011.92599999986</v>
      </c>
      <c r="R459" s="7">
        <v>729174.46100000001</v>
      </c>
      <c r="S459" s="7">
        <v>695763.66299999983</v>
      </c>
      <c r="T459" s="7">
        <v>822600.08900000015</v>
      </c>
      <c r="U459" s="7">
        <v>757189.6</v>
      </c>
      <c r="V459" s="7">
        <v>457661.91899999994</v>
      </c>
      <c r="W459" s="7">
        <v>259861.66600000011</v>
      </c>
      <c r="X459" s="7">
        <v>121939.39099999999</v>
      </c>
      <c r="Y459" s="7">
        <v>5704530.3459999999</v>
      </c>
      <c r="Z459" s="8">
        <v>2.5145544899192007E-4</v>
      </c>
      <c r="AA459" s="8">
        <v>6.9737034510029247E-5</v>
      </c>
      <c r="AB459" s="8">
        <v>7.7508355318112434E-5</v>
      </c>
      <c r="AC459" s="8">
        <v>7.1313523417546027E-5</v>
      </c>
      <c r="AD459" s="8">
        <v>5.461624689646951E-5</v>
      </c>
      <c r="AE459" s="8">
        <v>5.4704589267312845E-5</v>
      </c>
      <c r="AF459" s="8">
        <v>6.3392312836837699E-5</v>
      </c>
      <c r="AG459" s="8">
        <v>2.0757680736814812E-4</v>
      </c>
      <c r="AH459" s="8">
        <v>9.3896111633487293E-4</v>
      </c>
      <c r="AI459" s="8">
        <v>4.8794732786552955E-3</v>
      </c>
      <c r="AJ459" s="8">
        <v>2.3051853881749865E-4</v>
      </c>
    </row>
    <row r="460" spans="1:36" x14ac:dyDescent="0.2">
      <c r="A460" t="s">
        <v>518</v>
      </c>
      <c r="B460">
        <v>2016</v>
      </c>
      <c r="C460" t="s">
        <v>526</v>
      </c>
      <c r="D460" s="7">
        <v>116</v>
      </c>
      <c r="E460" s="7">
        <v>33</v>
      </c>
      <c r="F460" s="7">
        <v>60</v>
      </c>
      <c r="G460" s="7">
        <v>72</v>
      </c>
      <c r="H460" s="7">
        <v>55</v>
      </c>
      <c r="I460" s="7">
        <v>45</v>
      </c>
      <c r="J460" s="7">
        <v>68</v>
      </c>
      <c r="K460" s="7">
        <v>81</v>
      </c>
      <c r="L460" s="7">
        <v>164</v>
      </c>
      <c r="M460" s="7">
        <v>471</v>
      </c>
      <c r="N460" s="7">
        <v>1165</v>
      </c>
      <c r="O460" s="7">
        <v>339130.30900000001</v>
      </c>
      <c r="P460" s="7">
        <v>731300.22200000018</v>
      </c>
      <c r="Q460" s="7">
        <v>785299.5190000002</v>
      </c>
      <c r="R460" s="7">
        <v>724944.37999999989</v>
      </c>
      <c r="S460" s="7">
        <v>687993.98299999989</v>
      </c>
      <c r="T460" s="7">
        <v>804035.45599999989</v>
      </c>
      <c r="U460" s="7">
        <v>765383.67100000009</v>
      </c>
      <c r="V460" s="7">
        <v>474602.10699999996</v>
      </c>
      <c r="W460" s="7">
        <v>257183.75200000004</v>
      </c>
      <c r="X460" s="7">
        <v>122997.08700000007</v>
      </c>
      <c r="Y460" s="7">
        <v>5692870.4860000005</v>
      </c>
      <c r="Z460" s="8">
        <v>3.4205140891727256E-4</v>
      </c>
      <c r="AA460" s="8">
        <v>4.5125105951355768E-5</v>
      </c>
      <c r="AB460" s="8">
        <v>7.6403968865795243E-5</v>
      </c>
      <c r="AC460" s="8">
        <v>9.9317964227821188E-5</v>
      </c>
      <c r="AD460" s="8">
        <v>7.9942559613926177E-5</v>
      </c>
      <c r="AE460" s="8">
        <v>5.5967681106839157E-5</v>
      </c>
      <c r="AF460" s="8">
        <v>8.8844330727823944E-5</v>
      </c>
      <c r="AG460" s="8">
        <v>1.7066928023562274E-4</v>
      </c>
      <c r="AH460" s="8">
        <v>6.3767636456287479E-4</v>
      </c>
      <c r="AI460" s="8">
        <v>3.8293589831115246E-3</v>
      </c>
      <c r="AJ460" s="8">
        <v>2.046419293860605E-4</v>
      </c>
    </row>
    <row r="461" spans="1:36" x14ac:dyDescent="0.2">
      <c r="A461" t="s">
        <v>518</v>
      </c>
      <c r="B461">
        <v>2017</v>
      </c>
      <c r="C461" t="s">
        <v>527</v>
      </c>
      <c r="D461" s="7">
        <v>113</v>
      </c>
      <c r="E461" s="7">
        <v>59</v>
      </c>
      <c r="F461" s="7">
        <v>57</v>
      </c>
      <c r="G461" s="7">
        <v>52</v>
      </c>
      <c r="H461" s="7">
        <v>60</v>
      </c>
      <c r="I461" s="7">
        <v>50</v>
      </c>
      <c r="J461" s="7">
        <v>70</v>
      </c>
      <c r="K461" s="7">
        <v>117</v>
      </c>
      <c r="L461" s="7">
        <v>187</v>
      </c>
      <c r="M461" s="7">
        <v>521</v>
      </c>
      <c r="N461" s="7">
        <v>1286</v>
      </c>
      <c r="O461" s="7">
        <v>341261</v>
      </c>
      <c r="P461" s="7">
        <v>740143</v>
      </c>
      <c r="Q461" s="7">
        <v>792281</v>
      </c>
      <c r="R461" s="7">
        <v>738604</v>
      </c>
      <c r="S461" s="7">
        <v>702893</v>
      </c>
      <c r="T461" s="7">
        <v>806048</v>
      </c>
      <c r="U461" s="7">
        <v>802186</v>
      </c>
      <c r="V461" s="7">
        <v>513232</v>
      </c>
      <c r="W461" s="7">
        <v>269252</v>
      </c>
      <c r="X461" s="7">
        <v>126275</v>
      </c>
      <c r="Y461" s="7">
        <v>5832175</v>
      </c>
      <c r="Z461" s="8">
        <v>3.3112485751375046E-4</v>
      </c>
      <c r="AA461" s="8">
        <v>7.9714325474942004E-5</v>
      </c>
      <c r="AB461" s="8">
        <v>7.1944171323053306E-5</v>
      </c>
      <c r="AC461" s="8">
        <v>7.0403084738235915E-5</v>
      </c>
      <c r="AD461" s="8">
        <v>8.5361498834104189E-5</v>
      </c>
      <c r="AE461" s="8">
        <v>6.2031045297550517E-5</v>
      </c>
      <c r="AF461" s="8">
        <v>8.7261557793329731E-5</v>
      </c>
      <c r="AG461" s="8">
        <v>2.2796707921563737E-4</v>
      </c>
      <c r="AH461" s="8">
        <v>6.9451666097187766E-4</v>
      </c>
      <c r="AI461" s="8">
        <v>4.1259156602652938E-3</v>
      </c>
      <c r="AJ461" s="8">
        <v>2.2050092804142536E-4</v>
      </c>
    </row>
    <row r="462" spans="1:36" x14ac:dyDescent="0.2">
      <c r="A462" t="s">
        <v>528</v>
      </c>
      <c r="B462">
        <v>2009</v>
      </c>
      <c r="C462" t="s">
        <v>529</v>
      </c>
      <c r="D462" s="7">
        <v>100</v>
      </c>
      <c r="E462" s="7">
        <v>50</v>
      </c>
      <c r="F462" s="7">
        <v>65</v>
      </c>
      <c r="G462" s="7">
        <v>55</v>
      </c>
      <c r="H462" s="7">
        <v>46</v>
      </c>
      <c r="I462" s="7">
        <v>53</v>
      </c>
      <c r="J462" s="7">
        <v>62</v>
      </c>
      <c r="K462" s="7">
        <v>49</v>
      </c>
      <c r="L462" s="7">
        <v>49</v>
      </c>
      <c r="M462" s="7">
        <v>54</v>
      </c>
      <c r="N462" s="7">
        <v>583</v>
      </c>
      <c r="O462" s="7">
        <v>35722.439000000006</v>
      </c>
      <c r="P462" s="7">
        <v>67029.884000000005</v>
      </c>
      <c r="Q462" s="7">
        <v>80415.207000000009</v>
      </c>
      <c r="R462" s="7">
        <v>67060.034</v>
      </c>
      <c r="S462" s="7">
        <v>64126.428</v>
      </c>
      <c r="T462" s="7">
        <v>81240.143999999986</v>
      </c>
      <c r="U462" s="7">
        <v>61507.877999999997</v>
      </c>
      <c r="V462" s="7">
        <v>33323.114999999998</v>
      </c>
      <c r="W462" s="7">
        <v>21280.575999999997</v>
      </c>
      <c r="X462" s="7">
        <v>7882.1490000000003</v>
      </c>
      <c r="Y462" s="7">
        <v>519587.85399999993</v>
      </c>
      <c r="Z462" s="8">
        <v>2.7993609282949573E-3</v>
      </c>
      <c r="AA462" s="8">
        <v>7.4593594701730342E-4</v>
      </c>
      <c r="AB462" s="8">
        <v>8.083048272200554E-4</v>
      </c>
      <c r="AC462" s="8">
        <v>8.2016063397760881E-4</v>
      </c>
      <c r="AD462" s="8">
        <v>7.1733295358350534E-4</v>
      </c>
      <c r="AE462" s="8">
        <v>6.5238682984116825E-4</v>
      </c>
      <c r="AF462" s="8">
        <v>1.0080009588365249E-3</v>
      </c>
      <c r="AG462" s="8">
        <v>1.4704507666825266E-3</v>
      </c>
      <c r="AH462" s="8">
        <v>2.3025692537645601E-3</v>
      </c>
      <c r="AI462" s="8">
        <v>6.8509235235213132E-3</v>
      </c>
      <c r="AJ462" s="8">
        <v>1.1220431646194718E-3</v>
      </c>
    </row>
    <row r="463" spans="1:36" x14ac:dyDescent="0.2">
      <c r="A463" t="s">
        <v>528</v>
      </c>
      <c r="B463">
        <v>2010</v>
      </c>
      <c r="C463" t="s">
        <v>530</v>
      </c>
      <c r="D463" s="7">
        <v>102</v>
      </c>
      <c r="E463" s="7">
        <v>51</v>
      </c>
      <c r="F463" s="7">
        <v>38</v>
      </c>
      <c r="G463" s="7">
        <v>43</v>
      </c>
      <c r="H463" s="7">
        <v>67</v>
      </c>
      <c r="I463" s="7">
        <v>45</v>
      </c>
      <c r="J463" s="7">
        <v>48</v>
      </c>
      <c r="K463" s="7">
        <v>53</v>
      </c>
      <c r="L463" s="7">
        <v>73</v>
      </c>
      <c r="M463" s="7">
        <v>49</v>
      </c>
      <c r="N463" s="7">
        <v>569</v>
      </c>
      <c r="O463" s="7">
        <v>40494.825000000004</v>
      </c>
      <c r="P463" s="7">
        <v>77715.874999999985</v>
      </c>
      <c r="Q463" s="7">
        <v>88851.178</v>
      </c>
      <c r="R463" s="7">
        <v>77156.800999999992</v>
      </c>
      <c r="S463" s="7">
        <v>73259.838999999993</v>
      </c>
      <c r="T463" s="7">
        <v>93035.099999999991</v>
      </c>
      <c r="U463" s="7">
        <v>74793.721999999994</v>
      </c>
      <c r="V463" s="7">
        <v>41131.65</v>
      </c>
      <c r="W463" s="7">
        <v>24625.828999999994</v>
      </c>
      <c r="X463" s="7">
        <v>9434.969000000001</v>
      </c>
      <c r="Y463" s="7">
        <v>600499.78799999994</v>
      </c>
      <c r="Z463" s="8">
        <v>2.5188403703436178E-3</v>
      </c>
      <c r="AA463" s="8">
        <v>6.5623657972068144E-4</v>
      </c>
      <c r="AB463" s="8">
        <v>4.2768144278289706E-4</v>
      </c>
      <c r="AC463" s="8">
        <v>5.5730667216231532E-4</v>
      </c>
      <c r="AD463" s="8">
        <v>9.1455292442015881E-4</v>
      </c>
      <c r="AE463" s="8">
        <v>4.8368841437264006E-4</v>
      </c>
      <c r="AF463" s="8">
        <v>6.4176509359970089E-4</v>
      </c>
      <c r="AG463" s="8">
        <v>1.2885454388530486E-3</v>
      </c>
      <c r="AH463" s="8">
        <v>2.9643672097292651E-3</v>
      </c>
      <c r="AI463" s="8">
        <v>5.1934457866263254E-3</v>
      </c>
      <c r="AJ463" s="8">
        <v>9.4754404809215367E-4</v>
      </c>
    </row>
    <row r="464" spans="1:36" x14ac:dyDescent="0.2">
      <c r="A464" t="s">
        <v>528</v>
      </c>
      <c r="B464">
        <v>2011</v>
      </c>
      <c r="C464" t="s">
        <v>531</v>
      </c>
      <c r="D464" s="7">
        <v>102</v>
      </c>
      <c r="E464" s="7">
        <v>33</v>
      </c>
      <c r="F464" s="7">
        <v>56</v>
      </c>
      <c r="G464" s="7">
        <v>55</v>
      </c>
      <c r="H464" s="7">
        <v>49</v>
      </c>
      <c r="I464" s="7">
        <v>71</v>
      </c>
      <c r="J464" s="7">
        <v>39</v>
      </c>
      <c r="K464" s="7">
        <v>46</v>
      </c>
      <c r="L464" s="7">
        <v>59</v>
      </c>
      <c r="M464" s="7">
        <v>53</v>
      </c>
      <c r="N464" s="7">
        <v>563</v>
      </c>
      <c r="O464" s="7">
        <v>45915.47</v>
      </c>
      <c r="P464" s="7">
        <v>84792.402999999991</v>
      </c>
      <c r="Q464" s="7">
        <v>91280.776000000027</v>
      </c>
      <c r="R464" s="7">
        <v>86544.811999999991</v>
      </c>
      <c r="S464" s="7">
        <v>76519.243999999992</v>
      </c>
      <c r="T464" s="7">
        <v>93801.688999999998</v>
      </c>
      <c r="U464" s="7">
        <v>78728.544999999984</v>
      </c>
      <c r="V464" s="7">
        <v>42336.460999999996</v>
      </c>
      <c r="W464" s="7">
        <v>24834.790000000005</v>
      </c>
      <c r="X464" s="7">
        <v>9252.020999999997</v>
      </c>
      <c r="Y464" s="7">
        <v>634006.21100000001</v>
      </c>
      <c r="Z464" s="8">
        <v>2.2214735033747883E-3</v>
      </c>
      <c r="AA464" s="8">
        <v>3.8918580948814487E-4</v>
      </c>
      <c r="AB464" s="8">
        <v>6.1349171702922405E-4</v>
      </c>
      <c r="AC464" s="8">
        <v>6.3550891993387204E-4</v>
      </c>
      <c r="AD464" s="8">
        <v>6.403617892513419E-4</v>
      </c>
      <c r="AE464" s="8">
        <v>7.5691600819682468E-4</v>
      </c>
      <c r="AF464" s="8">
        <v>4.9537305687536847E-4</v>
      </c>
      <c r="AG464" s="8">
        <v>1.0865338980506662E-3</v>
      </c>
      <c r="AH464" s="8">
        <v>2.3756995730585999E-3</v>
      </c>
      <c r="AI464" s="8">
        <v>5.7284781346691729E-3</v>
      </c>
      <c r="AJ464" s="8">
        <v>8.8800391893952598E-4</v>
      </c>
    </row>
    <row r="465" spans="1:36" x14ac:dyDescent="0.2">
      <c r="A465" t="s">
        <v>528</v>
      </c>
      <c r="B465">
        <v>2012</v>
      </c>
      <c r="C465" t="s">
        <v>532</v>
      </c>
      <c r="D465" s="7">
        <v>126</v>
      </c>
      <c r="E465" s="7">
        <v>53</v>
      </c>
      <c r="F465" s="7">
        <v>56</v>
      </c>
      <c r="G465" s="7">
        <v>50</v>
      </c>
      <c r="H465" s="7">
        <v>60</v>
      </c>
      <c r="I465" s="7">
        <v>48</v>
      </c>
      <c r="J465" s="7">
        <v>72</v>
      </c>
      <c r="K465" s="7">
        <v>52</v>
      </c>
      <c r="L465" s="7">
        <v>65</v>
      </c>
      <c r="M465" s="7">
        <v>51</v>
      </c>
      <c r="N465" s="7">
        <v>633</v>
      </c>
      <c r="O465" s="7">
        <v>49010.877000000015</v>
      </c>
      <c r="P465" s="7">
        <v>94064.870999999985</v>
      </c>
      <c r="Q465" s="7">
        <v>100166.54399999999</v>
      </c>
      <c r="R465" s="7">
        <v>95369.759000000005</v>
      </c>
      <c r="S465" s="7">
        <v>86695.840000000011</v>
      </c>
      <c r="T465" s="7">
        <v>105041.95300000001</v>
      </c>
      <c r="U465" s="7">
        <v>93464.829000000027</v>
      </c>
      <c r="V465" s="7">
        <v>52432.534</v>
      </c>
      <c r="W465" s="7">
        <v>29317.275999999994</v>
      </c>
      <c r="X465" s="7">
        <v>11632.696</v>
      </c>
      <c r="Y465" s="7">
        <v>717197.179</v>
      </c>
      <c r="Z465" s="8">
        <v>2.5708578934427141E-3</v>
      </c>
      <c r="AA465" s="8">
        <v>5.6344094704600196E-4</v>
      </c>
      <c r="AB465" s="8">
        <v>5.5906890428404925E-4</v>
      </c>
      <c r="AC465" s="8">
        <v>5.2427520551876405E-4</v>
      </c>
      <c r="AD465" s="8">
        <v>6.9207472930650417E-4</v>
      </c>
      <c r="AE465" s="8">
        <v>4.5696027757595096E-4</v>
      </c>
      <c r="AF465" s="8">
        <v>7.7034324858177381E-4</v>
      </c>
      <c r="AG465" s="8">
        <v>9.9175065618610004E-4</v>
      </c>
      <c r="AH465" s="8">
        <v>2.2171227640658026E-3</v>
      </c>
      <c r="AI465" s="8">
        <v>4.3841943432545646E-3</v>
      </c>
      <c r="AJ465" s="8">
        <v>8.8260246768204318E-4</v>
      </c>
    </row>
    <row r="466" spans="1:36" x14ac:dyDescent="0.2">
      <c r="A466" t="s">
        <v>528</v>
      </c>
      <c r="B466">
        <v>2013</v>
      </c>
      <c r="C466" t="s">
        <v>533</v>
      </c>
      <c r="D466" s="7">
        <v>99</v>
      </c>
      <c r="E466" s="7">
        <v>65</v>
      </c>
      <c r="F466" s="7">
        <v>64</v>
      </c>
      <c r="G466" s="7">
        <v>43</v>
      </c>
      <c r="H466" s="7">
        <v>44</v>
      </c>
      <c r="I466" s="7">
        <v>56</v>
      </c>
      <c r="J466" s="7">
        <v>49</v>
      </c>
      <c r="K466" s="7">
        <v>46</v>
      </c>
      <c r="L466" s="7">
        <v>67</v>
      </c>
      <c r="M466" s="7">
        <v>51</v>
      </c>
      <c r="N466" s="7">
        <v>584</v>
      </c>
      <c r="O466" s="7">
        <v>38707.881000000001</v>
      </c>
      <c r="P466" s="7">
        <v>75759.210999999996</v>
      </c>
      <c r="Q466" s="7">
        <v>78987.667000000001</v>
      </c>
      <c r="R466" s="7">
        <v>76794.134999999995</v>
      </c>
      <c r="S466" s="7">
        <v>67701.121999999988</v>
      </c>
      <c r="T466" s="7">
        <v>79644.967000000004</v>
      </c>
      <c r="U466" s="7">
        <v>76243.84599999999</v>
      </c>
      <c r="V466" s="7">
        <v>41835.700000000004</v>
      </c>
      <c r="W466" s="7">
        <v>22436.706000000002</v>
      </c>
      <c r="X466" s="7">
        <v>8757.4509999999991</v>
      </c>
      <c r="Y466" s="7">
        <v>566868.68599999999</v>
      </c>
      <c r="Z466" s="8">
        <v>2.5576186926894811E-3</v>
      </c>
      <c r="AA466" s="8">
        <v>8.5798148029815147E-4</v>
      </c>
      <c r="AB466" s="8">
        <v>8.1025307406534742E-4</v>
      </c>
      <c r="AC466" s="8">
        <v>5.5993859426895041E-4</v>
      </c>
      <c r="AD466" s="8">
        <v>6.4991537363295112E-4</v>
      </c>
      <c r="AE466" s="8">
        <v>7.0312038675337759E-4</v>
      </c>
      <c r="AF466" s="8">
        <v>6.4267481994546816E-4</v>
      </c>
      <c r="AG466" s="8">
        <v>1.0995393886082938E-3</v>
      </c>
      <c r="AH466" s="8">
        <v>2.9861780958399149E-3</v>
      </c>
      <c r="AI466" s="8">
        <v>5.8236123730523873E-3</v>
      </c>
      <c r="AJ466" s="8">
        <v>1.0302209566749644E-3</v>
      </c>
    </row>
    <row r="467" spans="1:36" x14ac:dyDescent="0.2">
      <c r="A467" t="s">
        <v>528</v>
      </c>
      <c r="B467">
        <v>2014</v>
      </c>
      <c r="C467" t="s">
        <v>534</v>
      </c>
      <c r="D467" s="7">
        <v>102</v>
      </c>
      <c r="E467" s="7">
        <v>73</v>
      </c>
      <c r="F467" s="7">
        <v>44</v>
      </c>
      <c r="G467" s="7">
        <v>38</v>
      </c>
      <c r="H467" s="7">
        <v>48</v>
      </c>
      <c r="I467" s="7">
        <v>59</v>
      </c>
      <c r="J467" s="7">
        <v>38</v>
      </c>
      <c r="K467" s="7">
        <v>60</v>
      </c>
      <c r="L467" s="7">
        <v>34</v>
      </c>
      <c r="M467" s="7">
        <v>26</v>
      </c>
      <c r="N467" s="7">
        <v>522</v>
      </c>
      <c r="O467" s="7">
        <v>42941.430999999997</v>
      </c>
      <c r="P467" s="7">
        <v>85763.886999999988</v>
      </c>
      <c r="Q467" s="7">
        <v>90180.114999999991</v>
      </c>
      <c r="R467" s="7">
        <v>90796.286000000007</v>
      </c>
      <c r="S467" s="7">
        <v>78030.465000000011</v>
      </c>
      <c r="T467" s="7">
        <v>88806.283999999971</v>
      </c>
      <c r="U467" s="7">
        <v>88308.285000000003</v>
      </c>
      <c r="V467" s="7">
        <v>51068.714000000007</v>
      </c>
      <c r="W467" s="7">
        <v>27424.261999999999</v>
      </c>
      <c r="X467" s="7">
        <v>10953.800000000001</v>
      </c>
      <c r="Y467" s="7">
        <v>654273.5290000001</v>
      </c>
      <c r="Z467" s="8">
        <v>2.3753283862384561E-3</v>
      </c>
      <c r="AA467" s="8">
        <v>8.5117410781533273E-4</v>
      </c>
      <c r="AB467" s="8">
        <v>4.8791244056408669E-4</v>
      </c>
      <c r="AC467" s="8">
        <v>4.1851932137400419E-4</v>
      </c>
      <c r="AD467" s="8">
        <v>6.1514435419550548E-4</v>
      </c>
      <c r="AE467" s="8">
        <v>6.6436739994660764E-4</v>
      </c>
      <c r="AF467" s="8">
        <v>4.3031070074568879E-4</v>
      </c>
      <c r="AG467" s="8">
        <v>1.174887622977935E-3</v>
      </c>
      <c r="AH467" s="8">
        <v>1.2397781205561703E-3</v>
      </c>
      <c r="AI467" s="8">
        <v>2.3736055067647755E-3</v>
      </c>
      <c r="AJ467" s="8">
        <v>7.9783145253917176E-4</v>
      </c>
    </row>
    <row r="468" spans="1:36" x14ac:dyDescent="0.2">
      <c r="A468" t="s">
        <v>528</v>
      </c>
      <c r="B468">
        <v>2015</v>
      </c>
      <c r="C468" t="s">
        <v>535</v>
      </c>
      <c r="D468" s="7">
        <v>94</v>
      </c>
      <c r="E468" s="7">
        <v>58</v>
      </c>
      <c r="F468" s="7">
        <v>66</v>
      </c>
      <c r="G468" s="7">
        <v>55</v>
      </c>
      <c r="H468" s="7">
        <v>53</v>
      </c>
      <c r="I468" s="7">
        <v>52</v>
      </c>
      <c r="J468" s="7">
        <v>44</v>
      </c>
      <c r="K468" s="7">
        <v>53</v>
      </c>
      <c r="L468" s="7">
        <v>53</v>
      </c>
      <c r="M468" s="7">
        <v>43</v>
      </c>
      <c r="N468" s="7">
        <v>571</v>
      </c>
      <c r="O468" s="7">
        <v>39527.417000000001</v>
      </c>
      <c r="P468" s="7">
        <v>79470.554000000018</v>
      </c>
      <c r="Q468" s="7">
        <v>83521.739999999976</v>
      </c>
      <c r="R468" s="7">
        <v>84054.645999999979</v>
      </c>
      <c r="S468" s="7">
        <v>73225.517999999996</v>
      </c>
      <c r="T468" s="7">
        <v>80365.710000000036</v>
      </c>
      <c r="U468" s="7">
        <v>83839.366999999998</v>
      </c>
      <c r="V468" s="7">
        <v>48198.788999999982</v>
      </c>
      <c r="W468" s="7">
        <v>24389.503000000008</v>
      </c>
      <c r="X468" s="7">
        <v>9883.5869999999995</v>
      </c>
      <c r="Y468" s="7">
        <v>606476.83100000001</v>
      </c>
      <c r="Z468" s="8">
        <v>2.3780961958632407E-3</v>
      </c>
      <c r="AA468" s="8">
        <v>7.2983007014145124E-4</v>
      </c>
      <c r="AB468" s="8">
        <v>7.9021342227784074E-4</v>
      </c>
      <c r="AC468" s="8">
        <v>6.5433622788679661E-4</v>
      </c>
      <c r="AD468" s="8">
        <v>7.2379139741968093E-4</v>
      </c>
      <c r="AE468" s="8">
        <v>6.4704212779305968E-4</v>
      </c>
      <c r="AF468" s="8">
        <v>5.2481312269449742E-4</v>
      </c>
      <c r="AG468" s="8">
        <v>1.0996126894391479E-3</v>
      </c>
      <c r="AH468" s="8">
        <v>2.1730660112262222E-3</v>
      </c>
      <c r="AI468" s="8">
        <v>4.3506471891227349E-3</v>
      </c>
      <c r="AJ468" s="8">
        <v>9.4150340262545002E-4</v>
      </c>
    </row>
    <row r="469" spans="1:36" x14ac:dyDescent="0.2">
      <c r="A469" t="s">
        <v>528</v>
      </c>
      <c r="B469">
        <v>2016</v>
      </c>
      <c r="C469" t="s">
        <v>536</v>
      </c>
      <c r="D469" s="7">
        <v>72</v>
      </c>
      <c r="E469" s="7">
        <v>36</v>
      </c>
      <c r="F469" s="7">
        <v>49</v>
      </c>
      <c r="G469" s="7">
        <v>43</v>
      </c>
      <c r="H469" s="7">
        <v>52</v>
      </c>
      <c r="I469" s="7">
        <v>44</v>
      </c>
      <c r="J469" s="7">
        <v>46</v>
      </c>
      <c r="K469" s="7">
        <v>62</v>
      </c>
      <c r="L469" s="7">
        <v>52</v>
      </c>
      <c r="M469" s="7">
        <v>42</v>
      </c>
      <c r="N469" s="7">
        <v>498</v>
      </c>
      <c r="O469" s="7">
        <v>35176.455000000002</v>
      </c>
      <c r="P469" s="7">
        <v>73714.14899999999</v>
      </c>
      <c r="Q469" s="7">
        <v>70389.62</v>
      </c>
      <c r="R469" s="7">
        <v>71218.364000000016</v>
      </c>
      <c r="S469" s="7">
        <v>64976.394</v>
      </c>
      <c r="T469" s="7">
        <v>68859.576000000001</v>
      </c>
      <c r="U469" s="7">
        <v>75210.060999999987</v>
      </c>
      <c r="V469" s="7">
        <v>47088.686999999998</v>
      </c>
      <c r="W469" s="7">
        <v>23758.260999999999</v>
      </c>
      <c r="X469" s="7">
        <v>9213.5969999999998</v>
      </c>
      <c r="Y469" s="7">
        <v>539605.16399999987</v>
      </c>
      <c r="Z469" s="8">
        <v>2.0468236495121521E-3</v>
      </c>
      <c r="AA469" s="8">
        <v>4.8837299878480599E-4</v>
      </c>
      <c r="AB469" s="8">
        <v>6.9612536621166594E-4</v>
      </c>
      <c r="AC469" s="8">
        <v>6.0377685732853942E-4</v>
      </c>
      <c r="AD469" s="8">
        <v>8.0029064093646075E-4</v>
      </c>
      <c r="AE469" s="8">
        <v>6.3898157026119357E-4</v>
      </c>
      <c r="AF469" s="8">
        <v>6.1162029904483133E-4</v>
      </c>
      <c r="AG469" s="8">
        <v>1.3166644463881527E-3</v>
      </c>
      <c r="AH469" s="8">
        <v>2.1887123809272071E-3</v>
      </c>
      <c r="AI469" s="8">
        <v>4.5584802547799733E-3</v>
      </c>
      <c r="AJ469" s="8">
        <v>9.2289702401736123E-4</v>
      </c>
    </row>
    <row r="470" spans="1:36" x14ac:dyDescent="0.2">
      <c r="A470" t="s">
        <v>528</v>
      </c>
      <c r="B470">
        <v>2017</v>
      </c>
      <c r="C470" t="s">
        <v>537</v>
      </c>
      <c r="D470" s="7">
        <v>101</v>
      </c>
      <c r="E470" s="7">
        <v>46</v>
      </c>
      <c r="F470" s="7">
        <v>57</v>
      </c>
      <c r="G470" s="7">
        <v>52</v>
      </c>
      <c r="H470" s="7">
        <v>56</v>
      </c>
      <c r="I470" s="7">
        <v>60</v>
      </c>
      <c r="J470" s="7">
        <v>73</v>
      </c>
      <c r="K470" s="7">
        <v>65</v>
      </c>
      <c r="L470" s="7">
        <v>54</v>
      </c>
      <c r="M470" s="7">
        <v>67</v>
      </c>
      <c r="N470" s="7">
        <v>631</v>
      </c>
      <c r="O470" s="7">
        <v>39641</v>
      </c>
      <c r="P470" s="7">
        <v>83314</v>
      </c>
      <c r="Q470" s="7">
        <v>85784</v>
      </c>
      <c r="R470" s="7">
        <v>86765</v>
      </c>
      <c r="S470" s="7">
        <v>74910</v>
      </c>
      <c r="T470" s="7">
        <v>76858</v>
      </c>
      <c r="U470" s="7">
        <v>88143</v>
      </c>
      <c r="V470" s="7">
        <v>55233</v>
      </c>
      <c r="W470" s="7">
        <v>26931</v>
      </c>
      <c r="X470" s="7">
        <v>10586</v>
      </c>
      <c r="Y470" s="7">
        <v>628165</v>
      </c>
      <c r="Z470" s="8">
        <v>2.5478671072879091E-3</v>
      </c>
      <c r="AA470" s="8">
        <v>5.5212809371774248E-4</v>
      </c>
      <c r="AB470" s="8">
        <v>6.6445957288072371E-4</v>
      </c>
      <c r="AC470" s="8">
        <v>5.9932000230507689E-4</v>
      </c>
      <c r="AD470" s="8">
        <v>7.4756374315845678E-4</v>
      </c>
      <c r="AE470" s="8">
        <v>7.806604387311666E-4</v>
      </c>
      <c r="AF470" s="8">
        <v>8.2819963014646653E-4</v>
      </c>
      <c r="AG470" s="8">
        <v>1.176832690601633E-3</v>
      </c>
      <c r="AH470" s="8">
        <v>2.0051242063050018E-3</v>
      </c>
      <c r="AI470" s="8">
        <v>6.3291139240506328E-3</v>
      </c>
      <c r="AJ470" s="8">
        <v>1.0045131454315347E-3</v>
      </c>
    </row>
  </sheetData>
  <mergeCells count="2">
    <mergeCell ref="O1:Y1"/>
    <mergeCell ref="Z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Integrated data</vt:lpstr>
      <vt:lpstr>Statistical analysis</vt:lpstr>
      <vt:lpstr>Influenza dealth - pivot chart</vt:lpstr>
      <vt:lpstr>Census data - pivot chart</vt:lpstr>
      <vt:lpstr>Integrated data - 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Nimrat Kaur</dc:creator>
  <cp:lastModifiedBy>Nimrat Kaur</cp:lastModifiedBy>
  <dcterms:created xsi:type="dcterms:W3CDTF">2025-10-06T19:11:57Z</dcterms:created>
  <dcterms:modified xsi:type="dcterms:W3CDTF">2025-10-06T21:18:48Z</dcterms:modified>
</cp:coreProperties>
</file>